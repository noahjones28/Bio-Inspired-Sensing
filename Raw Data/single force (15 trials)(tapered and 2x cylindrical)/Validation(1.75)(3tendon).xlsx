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75)(3tendon)/10-09-2025 V2/"/>
    </mc:Choice>
  </mc:AlternateContent>
  <xr:revisionPtr revIDLastSave="2070" documentId="8_{DFFD6B0C-681F-42C8-B2E4-5D4B90AAE966}" xr6:coauthVersionLast="47" xr6:coauthVersionMax="47" xr10:uidLastSave="{AA46E779-0781-46B0-9B3F-CEC62CB29BB4}"/>
  <bookViews>
    <workbookView xWindow="-110" yWindow="-110" windowWidth="19420" windowHeight="10300" firstSheet="2" activeTab="3" xr2:uid="{3D16C37F-3C74-4527-A308-796C339DFE9F}"/>
  </bookViews>
  <sheets>
    <sheet name="Proximal Validation (single)" sheetId="8" r:id="rId1"/>
    <sheet name="Distal Validation (single)" sheetId="9" r:id="rId2"/>
    <sheet name="Distal Vali (noise 0.5x spec)" sheetId="14" r:id="rId3"/>
    <sheet name="Distal Vali (noise 1.0x spec)" sheetId="15" r:id="rId4"/>
    <sheet name="Sheet1" sheetId="13" r:id="rId5"/>
    <sheet name="Convers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2" i="15" l="1"/>
  <c r="U152" i="15"/>
  <c r="T152" i="15"/>
  <c r="S152" i="15"/>
  <c r="V151" i="15"/>
  <c r="U151" i="15"/>
  <c r="T151" i="15"/>
  <c r="S151" i="15"/>
  <c r="V150" i="15"/>
  <c r="U150" i="15"/>
  <c r="T150" i="15"/>
  <c r="S150" i="15"/>
  <c r="V149" i="15"/>
  <c r="U149" i="15"/>
  <c r="T149" i="15"/>
  <c r="S149" i="15"/>
  <c r="V148" i="15"/>
  <c r="U148" i="15"/>
  <c r="T148" i="15"/>
  <c r="S148" i="15"/>
  <c r="V147" i="15"/>
  <c r="U147" i="15"/>
  <c r="T147" i="15"/>
  <c r="S147" i="15"/>
  <c r="V146" i="15"/>
  <c r="U146" i="15"/>
  <c r="T146" i="15"/>
  <c r="S146" i="15"/>
  <c r="V145" i="15"/>
  <c r="U145" i="15"/>
  <c r="T145" i="15"/>
  <c r="S145" i="15"/>
  <c r="V144" i="15"/>
  <c r="U144" i="15"/>
  <c r="T144" i="15"/>
  <c r="S144" i="15"/>
  <c r="V143" i="15"/>
  <c r="U143" i="15"/>
  <c r="T143" i="15"/>
  <c r="S143" i="15"/>
  <c r="V142" i="15"/>
  <c r="U142" i="15"/>
  <c r="T142" i="15"/>
  <c r="S142" i="15"/>
  <c r="V141" i="15"/>
  <c r="U141" i="15"/>
  <c r="T141" i="15"/>
  <c r="S141" i="15"/>
  <c r="V140" i="15"/>
  <c r="U140" i="15"/>
  <c r="T140" i="15"/>
  <c r="S140" i="15"/>
  <c r="V139" i="15"/>
  <c r="U139" i="15"/>
  <c r="T139" i="15"/>
  <c r="S139" i="15"/>
  <c r="V138" i="15"/>
  <c r="U138" i="15"/>
  <c r="T138" i="15"/>
  <c r="S138" i="15"/>
  <c r="V137" i="15"/>
  <c r="U137" i="15"/>
  <c r="T137" i="15"/>
  <c r="S137" i="15"/>
  <c r="V136" i="15"/>
  <c r="U136" i="15"/>
  <c r="T136" i="15"/>
  <c r="S136" i="15"/>
  <c r="V135" i="15"/>
  <c r="U135" i="15"/>
  <c r="T135" i="15"/>
  <c r="S135" i="15"/>
  <c r="V134" i="15"/>
  <c r="U134" i="15"/>
  <c r="T134" i="15"/>
  <c r="S134" i="15"/>
  <c r="V133" i="15"/>
  <c r="U133" i="15"/>
  <c r="T133" i="15"/>
  <c r="S133" i="15"/>
  <c r="V132" i="15"/>
  <c r="U132" i="15"/>
  <c r="T132" i="15"/>
  <c r="S132" i="15"/>
  <c r="V131" i="15"/>
  <c r="U131" i="15"/>
  <c r="T131" i="15"/>
  <c r="S131" i="15"/>
  <c r="V130" i="15"/>
  <c r="U130" i="15"/>
  <c r="T130" i="15"/>
  <c r="S130" i="15"/>
  <c r="V129" i="15"/>
  <c r="U129" i="15"/>
  <c r="T129" i="15"/>
  <c r="S129" i="15"/>
  <c r="V128" i="15"/>
  <c r="U128" i="15"/>
  <c r="T128" i="15"/>
  <c r="S128" i="15"/>
  <c r="V127" i="15"/>
  <c r="U127" i="15"/>
  <c r="T127" i="15"/>
  <c r="S127" i="15"/>
  <c r="V126" i="15"/>
  <c r="U126" i="15"/>
  <c r="T126" i="15"/>
  <c r="S126" i="15"/>
  <c r="V125" i="15"/>
  <c r="U125" i="15"/>
  <c r="T125" i="15"/>
  <c r="S125" i="15"/>
  <c r="V124" i="15"/>
  <c r="U124" i="15"/>
  <c r="T124" i="15"/>
  <c r="S124" i="15"/>
  <c r="V123" i="15"/>
  <c r="U123" i="15"/>
  <c r="T123" i="15"/>
  <c r="S123" i="15"/>
  <c r="V122" i="15"/>
  <c r="U122" i="15"/>
  <c r="T122" i="15"/>
  <c r="S122" i="15"/>
  <c r="V121" i="15"/>
  <c r="U121" i="15"/>
  <c r="T121" i="15"/>
  <c r="S121" i="15"/>
  <c r="V120" i="15"/>
  <c r="U120" i="15"/>
  <c r="T120" i="15"/>
  <c r="S120" i="15"/>
  <c r="V119" i="15"/>
  <c r="U119" i="15"/>
  <c r="T119" i="15"/>
  <c r="S119" i="15"/>
  <c r="V118" i="15"/>
  <c r="U118" i="15"/>
  <c r="T118" i="15"/>
  <c r="S118" i="15"/>
  <c r="V117" i="15"/>
  <c r="U117" i="15"/>
  <c r="T117" i="15"/>
  <c r="S117" i="15"/>
  <c r="V116" i="15"/>
  <c r="U116" i="15"/>
  <c r="T116" i="15"/>
  <c r="S116" i="15"/>
  <c r="V115" i="15"/>
  <c r="U115" i="15"/>
  <c r="T115" i="15"/>
  <c r="S115" i="15"/>
  <c r="V114" i="15"/>
  <c r="U114" i="15"/>
  <c r="T114" i="15"/>
  <c r="S114" i="15"/>
  <c r="V113" i="15"/>
  <c r="U113" i="15"/>
  <c r="T113" i="15"/>
  <c r="S113" i="15"/>
  <c r="V112" i="15"/>
  <c r="U112" i="15"/>
  <c r="T112" i="15"/>
  <c r="S112" i="15"/>
  <c r="V111" i="15"/>
  <c r="U111" i="15"/>
  <c r="T111" i="15"/>
  <c r="S111" i="15"/>
  <c r="V110" i="15"/>
  <c r="U110" i="15"/>
  <c r="T110" i="15"/>
  <c r="S110" i="15"/>
  <c r="V109" i="15"/>
  <c r="U109" i="15"/>
  <c r="T109" i="15"/>
  <c r="S109" i="15"/>
  <c r="V108" i="15"/>
  <c r="U108" i="15"/>
  <c r="T108" i="15"/>
  <c r="S108" i="15"/>
  <c r="V107" i="15"/>
  <c r="U107" i="15"/>
  <c r="T107" i="15"/>
  <c r="S107" i="15"/>
  <c r="V106" i="15"/>
  <c r="U106" i="15"/>
  <c r="T106" i="15"/>
  <c r="S106" i="15"/>
  <c r="V105" i="15"/>
  <c r="U105" i="15"/>
  <c r="T105" i="15"/>
  <c r="S105" i="15"/>
  <c r="V104" i="15"/>
  <c r="U104" i="15"/>
  <c r="T104" i="15"/>
  <c r="S104" i="15"/>
  <c r="V103" i="15"/>
  <c r="U103" i="15"/>
  <c r="T103" i="15"/>
  <c r="S103" i="15"/>
  <c r="V102" i="15"/>
  <c r="U102" i="15"/>
  <c r="T102" i="15"/>
  <c r="S102" i="15"/>
  <c r="V101" i="15"/>
  <c r="U101" i="15"/>
  <c r="T101" i="15"/>
  <c r="S101" i="15"/>
  <c r="V100" i="15"/>
  <c r="U100" i="15"/>
  <c r="T100" i="15"/>
  <c r="S100" i="15"/>
  <c r="V99" i="15"/>
  <c r="U99" i="15"/>
  <c r="T99" i="15"/>
  <c r="S99" i="15"/>
  <c r="V98" i="15"/>
  <c r="U98" i="15"/>
  <c r="T98" i="15"/>
  <c r="S98" i="15"/>
  <c r="V97" i="15"/>
  <c r="U97" i="15"/>
  <c r="T97" i="15"/>
  <c r="S97" i="15"/>
  <c r="V96" i="15"/>
  <c r="U96" i="15"/>
  <c r="T96" i="15"/>
  <c r="S96" i="15"/>
  <c r="V95" i="15"/>
  <c r="U95" i="15"/>
  <c r="T95" i="15"/>
  <c r="S95" i="15"/>
  <c r="V94" i="15"/>
  <c r="U94" i="15"/>
  <c r="T94" i="15"/>
  <c r="S94" i="15"/>
  <c r="V93" i="15"/>
  <c r="U93" i="15"/>
  <c r="T93" i="15"/>
  <c r="S93" i="15"/>
  <c r="V92" i="15"/>
  <c r="U92" i="15"/>
  <c r="T92" i="15"/>
  <c r="S92" i="15"/>
  <c r="V91" i="15"/>
  <c r="U91" i="15"/>
  <c r="T91" i="15"/>
  <c r="S91" i="15"/>
  <c r="V90" i="15"/>
  <c r="U90" i="15"/>
  <c r="T90" i="15"/>
  <c r="S90" i="15"/>
  <c r="V89" i="15"/>
  <c r="U89" i="15"/>
  <c r="T89" i="15"/>
  <c r="S89" i="15"/>
  <c r="V88" i="15"/>
  <c r="U88" i="15"/>
  <c r="T88" i="15"/>
  <c r="S88" i="15"/>
  <c r="V87" i="15"/>
  <c r="U87" i="15"/>
  <c r="T87" i="15"/>
  <c r="S87" i="15"/>
  <c r="V86" i="15"/>
  <c r="U86" i="15"/>
  <c r="T86" i="15"/>
  <c r="S86" i="15"/>
  <c r="V85" i="15"/>
  <c r="U85" i="15"/>
  <c r="T85" i="15"/>
  <c r="S85" i="15"/>
  <c r="V84" i="15"/>
  <c r="U84" i="15"/>
  <c r="T84" i="15"/>
  <c r="S84" i="15"/>
  <c r="V83" i="15"/>
  <c r="U83" i="15"/>
  <c r="T83" i="15"/>
  <c r="S83" i="15"/>
  <c r="V82" i="15"/>
  <c r="U82" i="15"/>
  <c r="T82" i="15"/>
  <c r="S82" i="15"/>
  <c r="V81" i="15"/>
  <c r="U81" i="15"/>
  <c r="T81" i="15"/>
  <c r="S81" i="15"/>
  <c r="V80" i="15"/>
  <c r="U80" i="15"/>
  <c r="T80" i="15"/>
  <c r="S80" i="15"/>
  <c r="V79" i="15"/>
  <c r="U79" i="15"/>
  <c r="T79" i="15"/>
  <c r="S79" i="15"/>
  <c r="V78" i="15"/>
  <c r="U78" i="15"/>
  <c r="T78" i="15"/>
  <c r="S78" i="15"/>
  <c r="V77" i="15"/>
  <c r="U77" i="15"/>
  <c r="T77" i="15"/>
  <c r="S77" i="15"/>
  <c r="V76" i="15"/>
  <c r="U76" i="15"/>
  <c r="T76" i="15"/>
  <c r="S76" i="15"/>
  <c r="V75" i="15"/>
  <c r="U75" i="15"/>
  <c r="T75" i="15"/>
  <c r="S75" i="15"/>
  <c r="V74" i="15"/>
  <c r="U74" i="15"/>
  <c r="T74" i="15"/>
  <c r="S74" i="15"/>
  <c r="V73" i="15"/>
  <c r="U73" i="15"/>
  <c r="T73" i="15"/>
  <c r="S73" i="15"/>
  <c r="V72" i="15"/>
  <c r="U72" i="15"/>
  <c r="T72" i="15"/>
  <c r="S72" i="15"/>
  <c r="V71" i="15"/>
  <c r="U71" i="15"/>
  <c r="T71" i="15"/>
  <c r="S71" i="15"/>
  <c r="V70" i="15"/>
  <c r="U70" i="15"/>
  <c r="T70" i="15"/>
  <c r="S70" i="15"/>
  <c r="V69" i="15"/>
  <c r="U69" i="15"/>
  <c r="T69" i="15"/>
  <c r="S69" i="15"/>
  <c r="V68" i="15"/>
  <c r="U68" i="15"/>
  <c r="T68" i="15"/>
  <c r="S68" i="15"/>
  <c r="V67" i="15"/>
  <c r="U67" i="15"/>
  <c r="T67" i="15"/>
  <c r="S67" i="15"/>
  <c r="V66" i="15"/>
  <c r="U66" i="15"/>
  <c r="T66" i="15"/>
  <c r="S66" i="15"/>
  <c r="V65" i="15"/>
  <c r="U65" i="15"/>
  <c r="T65" i="15"/>
  <c r="S65" i="15"/>
  <c r="V64" i="15"/>
  <c r="U64" i="15"/>
  <c r="T64" i="15"/>
  <c r="S64" i="15"/>
  <c r="V63" i="15"/>
  <c r="U63" i="15"/>
  <c r="T63" i="15"/>
  <c r="S63" i="15"/>
  <c r="V62" i="15"/>
  <c r="U62" i="15"/>
  <c r="T62" i="15"/>
  <c r="S62" i="15"/>
  <c r="V61" i="15"/>
  <c r="U61" i="15"/>
  <c r="T61" i="15"/>
  <c r="S61" i="15"/>
  <c r="V60" i="15"/>
  <c r="U60" i="15"/>
  <c r="T60" i="15"/>
  <c r="S60" i="15"/>
  <c r="V59" i="15"/>
  <c r="U59" i="15"/>
  <c r="T59" i="15"/>
  <c r="S59" i="15"/>
  <c r="V58" i="15"/>
  <c r="U58" i="15"/>
  <c r="T58" i="15"/>
  <c r="S58" i="15"/>
  <c r="V57" i="15"/>
  <c r="U57" i="15"/>
  <c r="T57" i="15"/>
  <c r="S57" i="15"/>
  <c r="V56" i="15"/>
  <c r="U56" i="15"/>
  <c r="T56" i="15"/>
  <c r="S56" i="15"/>
  <c r="V55" i="15"/>
  <c r="U55" i="15"/>
  <c r="T55" i="15"/>
  <c r="S55" i="15"/>
  <c r="V54" i="15"/>
  <c r="U54" i="15"/>
  <c r="T54" i="15"/>
  <c r="S54" i="15"/>
  <c r="V53" i="15"/>
  <c r="U53" i="15"/>
  <c r="T53" i="15"/>
  <c r="S53" i="15"/>
  <c r="V52" i="15"/>
  <c r="U52" i="15"/>
  <c r="T52" i="15"/>
  <c r="S52" i="15"/>
  <c r="V51" i="15"/>
  <c r="U51" i="15"/>
  <c r="T51" i="15"/>
  <c r="S51" i="15"/>
  <c r="V50" i="15"/>
  <c r="U50" i="15"/>
  <c r="T50" i="15"/>
  <c r="S50" i="15"/>
  <c r="V49" i="15"/>
  <c r="U49" i="15"/>
  <c r="T49" i="15"/>
  <c r="S49" i="15"/>
  <c r="V48" i="15"/>
  <c r="U48" i="15"/>
  <c r="T48" i="15"/>
  <c r="S48" i="15"/>
  <c r="V47" i="15"/>
  <c r="U47" i="15"/>
  <c r="T47" i="15"/>
  <c r="S47" i="15"/>
  <c r="V46" i="15"/>
  <c r="U46" i="15"/>
  <c r="T46" i="15"/>
  <c r="S46" i="15"/>
  <c r="V45" i="15"/>
  <c r="U45" i="15"/>
  <c r="T45" i="15"/>
  <c r="S45" i="15"/>
  <c r="V44" i="15"/>
  <c r="U44" i="15"/>
  <c r="T44" i="15"/>
  <c r="S44" i="15"/>
  <c r="V43" i="15"/>
  <c r="U43" i="15"/>
  <c r="T43" i="15"/>
  <c r="S43" i="15"/>
  <c r="V42" i="15"/>
  <c r="U42" i="15"/>
  <c r="T42" i="15"/>
  <c r="S42" i="15"/>
  <c r="V41" i="15"/>
  <c r="U41" i="15"/>
  <c r="T41" i="15"/>
  <c r="S41" i="15"/>
  <c r="V40" i="15"/>
  <c r="U40" i="15"/>
  <c r="T40" i="15"/>
  <c r="S40" i="15"/>
  <c r="V39" i="15"/>
  <c r="U39" i="15"/>
  <c r="T39" i="15"/>
  <c r="S39" i="15"/>
  <c r="V38" i="15"/>
  <c r="U38" i="15"/>
  <c r="T38" i="15"/>
  <c r="S38" i="15"/>
  <c r="V37" i="15"/>
  <c r="U37" i="15"/>
  <c r="T37" i="15"/>
  <c r="S37" i="15"/>
  <c r="V36" i="15"/>
  <c r="U36" i="15"/>
  <c r="T36" i="15"/>
  <c r="S36" i="15"/>
  <c r="V35" i="15"/>
  <c r="U35" i="15"/>
  <c r="T35" i="15"/>
  <c r="S35" i="15"/>
  <c r="V34" i="15"/>
  <c r="U34" i="15"/>
  <c r="T34" i="15"/>
  <c r="S34" i="15"/>
  <c r="V33" i="15"/>
  <c r="U33" i="15"/>
  <c r="T33" i="15"/>
  <c r="S33" i="15"/>
  <c r="V32" i="15"/>
  <c r="U32" i="15"/>
  <c r="T32" i="15"/>
  <c r="S32" i="15"/>
  <c r="V31" i="15"/>
  <c r="U31" i="15"/>
  <c r="T31" i="15"/>
  <c r="S31" i="15"/>
  <c r="V30" i="15"/>
  <c r="U30" i="15"/>
  <c r="T30" i="15"/>
  <c r="S30" i="15"/>
  <c r="V29" i="15"/>
  <c r="U29" i="15"/>
  <c r="T29" i="15"/>
  <c r="S29" i="15"/>
  <c r="V28" i="15"/>
  <c r="U28" i="15"/>
  <c r="T28" i="15"/>
  <c r="S28" i="15"/>
  <c r="V27" i="15"/>
  <c r="U27" i="15"/>
  <c r="T27" i="15"/>
  <c r="S27" i="15"/>
  <c r="V26" i="15"/>
  <c r="U26" i="15"/>
  <c r="T26" i="15"/>
  <c r="S26" i="15"/>
  <c r="V25" i="15"/>
  <c r="U25" i="15"/>
  <c r="T25" i="15"/>
  <c r="S25" i="15"/>
  <c r="V24" i="15"/>
  <c r="U24" i="15"/>
  <c r="T24" i="15"/>
  <c r="S24" i="15"/>
  <c r="V23" i="15"/>
  <c r="U23" i="15"/>
  <c r="T23" i="15"/>
  <c r="S23" i="15"/>
  <c r="V22" i="15"/>
  <c r="U22" i="15"/>
  <c r="T22" i="15"/>
  <c r="S22" i="15"/>
  <c r="V21" i="15"/>
  <c r="U21" i="15"/>
  <c r="T21" i="15"/>
  <c r="S21" i="15"/>
  <c r="V20" i="15"/>
  <c r="U20" i="15"/>
  <c r="T20" i="15"/>
  <c r="S20" i="15"/>
  <c r="V19" i="15"/>
  <c r="U19" i="15"/>
  <c r="T19" i="15"/>
  <c r="S19" i="15"/>
  <c r="V18" i="15"/>
  <c r="U18" i="15"/>
  <c r="T18" i="15"/>
  <c r="S18" i="15"/>
  <c r="V17" i="15"/>
  <c r="U17" i="15"/>
  <c r="T17" i="15"/>
  <c r="S17" i="15"/>
  <c r="M17" i="15"/>
  <c r="L17" i="15"/>
  <c r="K17" i="15"/>
  <c r="J17" i="15"/>
  <c r="I17" i="15"/>
  <c r="H17" i="15"/>
  <c r="V16" i="15"/>
  <c r="U16" i="15"/>
  <c r="T16" i="15"/>
  <c r="S16" i="15"/>
  <c r="M16" i="15"/>
  <c r="L16" i="15"/>
  <c r="K16" i="15"/>
  <c r="J16" i="15"/>
  <c r="I16" i="15"/>
  <c r="H16" i="15"/>
  <c r="V15" i="15"/>
  <c r="U15" i="15"/>
  <c r="T15" i="15"/>
  <c r="S15" i="15"/>
  <c r="M15" i="15"/>
  <c r="L15" i="15"/>
  <c r="K15" i="15"/>
  <c r="J15" i="15"/>
  <c r="I15" i="15"/>
  <c r="H15" i="15"/>
  <c r="V14" i="15"/>
  <c r="U14" i="15"/>
  <c r="T14" i="15"/>
  <c r="S14" i="15"/>
  <c r="M14" i="15"/>
  <c r="L14" i="15"/>
  <c r="K14" i="15"/>
  <c r="J14" i="15"/>
  <c r="I14" i="15"/>
  <c r="H14" i="15"/>
  <c r="V13" i="15"/>
  <c r="U13" i="15"/>
  <c r="T13" i="15"/>
  <c r="S13" i="15"/>
  <c r="M13" i="15"/>
  <c r="L13" i="15"/>
  <c r="K13" i="15"/>
  <c r="J13" i="15"/>
  <c r="I13" i="15"/>
  <c r="H13" i="15"/>
  <c r="V12" i="15"/>
  <c r="U12" i="15"/>
  <c r="T12" i="15"/>
  <c r="S12" i="15"/>
  <c r="M12" i="15"/>
  <c r="L12" i="15"/>
  <c r="K12" i="15"/>
  <c r="J12" i="15"/>
  <c r="I12" i="15"/>
  <c r="H12" i="15"/>
  <c r="V11" i="15"/>
  <c r="U11" i="15"/>
  <c r="T11" i="15"/>
  <c r="S11" i="15"/>
  <c r="M11" i="15"/>
  <c r="L11" i="15"/>
  <c r="K11" i="15"/>
  <c r="J11" i="15"/>
  <c r="I11" i="15"/>
  <c r="H11" i="15"/>
  <c r="V10" i="15"/>
  <c r="U10" i="15"/>
  <c r="T10" i="15"/>
  <c r="S10" i="15"/>
  <c r="M10" i="15"/>
  <c r="L10" i="15"/>
  <c r="K10" i="15"/>
  <c r="J10" i="15"/>
  <c r="I10" i="15"/>
  <c r="H10" i="15"/>
  <c r="V9" i="15"/>
  <c r="U9" i="15"/>
  <c r="T9" i="15"/>
  <c r="S9" i="15"/>
  <c r="M9" i="15"/>
  <c r="L9" i="15"/>
  <c r="K9" i="15"/>
  <c r="J9" i="15"/>
  <c r="I9" i="15"/>
  <c r="H9" i="15"/>
  <c r="V8" i="15"/>
  <c r="U8" i="15"/>
  <c r="T8" i="15"/>
  <c r="S8" i="15"/>
  <c r="M8" i="15"/>
  <c r="L8" i="15"/>
  <c r="K8" i="15"/>
  <c r="J8" i="15"/>
  <c r="I8" i="15"/>
  <c r="H8" i="15"/>
  <c r="V7" i="15"/>
  <c r="U7" i="15"/>
  <c r="T7" i="15"/>
  <c r="S7" i="15"/>
  <c r="M7" i="15"/>
  <c r="L7" i="15"/>
  <c r="K7" i="15"/>
  <c r="J7" i="15"/>
  <c r="I7" i="15"/>
  <c r="H7" i="15"/>
  <c r="V6" i="15"/>
  <c r="U6" i="15"/>
  <c r="T6" i="15"/>
  <c r="S6" i="15"/>
  <c r="M6" i="15"/>
  <c r="L6" i="15"/>
  <c r="K6" i="15"/>
  <c r="J6" i="15"/>
  <c r="I6" i="15"/>
  <c r="H6" i="15"/>
  <c r="V5" i="15"/>
  <c r="U5" i="15"/>
  <c r="T5" i="15"/>
  <c r="S5" i="15"/>
  <c r="M5" i="15"/>
  <c r="L5" i="15"/>
  <c r="K5" i="15"/>
  <c r="J5" i="15"/>
  <c r="I5" i="15"/>
  <c r="H5" i="15"/>
  <c r="V4" i="15"/>
  <c r="U4" i="15"/>
  <c r="T4" i="15"/>
  <c r="S4" i="15"/>
  <c r="M4" i="15"/>
  <c r="L4" i="15"/>
  <c r="K4" i="15"/>
  <c r="J4" i="15"/>
  <c r="I4" i="15"/>
  <c r="H4" i="15"/>
  <c r="V3" i="15"/>
  <c r="U3" i="15"/>
  <c r="T3" i="15"/>
  <c r="S3" i="15"/>
  <c r="M3" i="15"/>
  <c r="L3" i="15"/>
  <c r="K3" i="15"/>
  <c r="J3" i="15"/>
  <c r="I3" i="15"/>
  <c r="H3" i="15"/>
  <c r="Z3" i="14"/>
  <c r="Y3" i="14"/>
  <c r="X3" i="14"/>
  <c r="W3" i="14"/>
  <c r="S18" i="14"/>
  <c r="T18" i="14"/>
  <c r="U18" i="14"/>
  <c r="V18" i="14"/>
  <c r="S19" i="14"/>
  <c r="T19" i="14"/>
  <c r="U19" i="14"/>
  <c r="V19" i="14"/>
  <c r="S20" i="14"/>
  <c r="T20" i="14"/>
  <c r="U20" i="14"/>
  <c r="V20" i="14"/>
  <c r="S21" i="14"/>
  <c r="T21" i="14"/>
  <c r="U21" i="14"/>
  <c r="V21" i="14"/>
  <c r="S22" i="14"/>
  <c r="T22" i="14"/>
  <c r="U22" i="14"/>
  <c r="V22" i="14"/>
  <c r="S23" i="14"/>
  <c r="T23" i="14"/>
  <c r="U23" i="14"/>
  <c r="V23" i="14"/>
  <c r="S24" i="14"/>
  <c r="T24" i="14"/>
  <c r="U24" i="14"/>
  <c r="V24" i="14"/>
  <c r="S25" i="14"/>
  <c r="T25" i="14"/>
  <c r="U25" i="14"/>
  <c r="V25" i="14"/>
  <c r="S26" i="14"/>
  <c r="T26" i="14"/>
  <c r="U26" i="14"/>
  <c r="V26" i="14"/>
  <c r="S27" i="14"/>
  <c r="T27" i="14"/>
  <c r="U27" i="14"/>
  <c r="V27" i="14"/>
  <c r="S28" i="14"/>
  <c r="T28" i="14"/>
  <c r="U28" i="14"/>
  <c r="V28" i="14"/>
  <c r="S29" i="14"/>
  <c r="T29" i="14"/>
  <c r="U29" i="14"/>
  <c r="V29" i="14"/>
  <c r="S30" i="14"/>
  <c r="T30" i="14"/>
  <c r="U30" i="14"/>
  <c r="V30" i="14"/>
  <c r="S31" i="14"/>
  <c r="T31" i="14"/>
  <c r="U31" i="14"/>
  <c r="V31" i="14"/>
  <c r="S32" i="14"/>
  <c r="T32" i="14"/>
  <c r="U32" i="14"/>
  <c r="V32" i="14"/>
  <c r="S33" i="14"/>
  <c r="T33" i="14"/>
  <c r="U33" i="14"/>
  <c r="V33" i="14"/>
  <c r="S34" i="14"/>
  <c r="T34" i="14"/>
  <c r="U34" i="14"/>
  <c r="V34" i="14"/>
  <c r="S35" i="14"/>
  <c r="T35" i="14"/>
  <c r="U35" i="14"/>
  <c r="V35" i="14"/>
  <c r="S36" i="14"/>
  <c r="T36" i="14"/>
  <c r="U36" i="14"/>
  <c r="V36" i="14"/>
  <c r="S37" i="14"/>
  <c r="T37" i="14"/>
  <c r="U37" i="14"/>
  <c r="V37" i="14"/>
  <c r="S38" i="14"/>
  <c r="T38" i="14"/>
  <c r="U38" i="14"/>
  <c r="V38" i="14"/>
  <c r="S39" i="14"/>
  <c r="T39" i="14"/>
  <c r="U39" i="14"/>
  <c r="V39" i="14"/>
  <c r="S40" i="14"/>
  <c r="T40" i="14"/>
  <c r="U40" i="14"/>
  <c r="V40" i="14"/>
  <c r="S41" i="14"/>
  <c r="T41" i="14"/>
  <c r="U41" i="14"/>
  <c r="V41" i="14"/>
  <c r="S42" i="14"/>
  <c r="T42" i="14"/>
  <c r="U42" i="14"/>
  <c r="V42" i="14"/>
  <c r="S43" i="14"/>
  <c r="T43" i="14"/>
  <c r="U43" i="14"/>
  <c r="V43" i="14"/>
  <c r="S44" i="14"/>
  <c r="T44" i="14"/>
  <c r="U44" i="14"/>
  <c r="V44" i="14"/>
  <c r="S45" i="14"/>
  <c r="T45" i="14"/>
  <c r="U45" i="14"/>
  <c r="V45" i="14"/>
  <c r="S46" i="14"/>
  <c r="T46" i="14"/>
  <c r="U46" i="14"/>
  <c r="V46" i="14"/>
  <c r="S47" i="14"/>
  <c r="T47" i="14"/>
  <c r="U47" i="14"/>
  <c r="V47" i="14"/>
  <c r="S48" i="14"/>
  <c r="T48" i="14"/>
  <c r="U48" i="14"/>
  <c r="V48" i="14"/>
  <c r="S49" i="14"/>
  <c r="T49" i="14"/>
  <c r="U49" i="14"/>
  <c r="V49" i="14"/>
  <c r="S50" i="14"/>
  <c r="T50" i="14"/>
  <c r="U50" i="14"/>
  <c r="V50" i="14"/>
  <c r="S51" i="14"/>
  <c r="T51" i="14"/>
  <c r="U51" i="14"/>
  <c r="V51" i="14"/>
  <c r="S52" i="14"/>
  <c r="T52" i="14"/>
  <c r="U52" i="14"/>
  <c r="V52" i="14"/>
  <c r="S53" i="14"/>
  <c r="T53" i="14"/>
  <c r="U53" i="14"/>
  <c r="V53" i="14"/>
  <c r="S54" i="14"/>
  <c r="T54" i="14"/>
  <c r="U54" i="14"/>
  <c r="V54" i="14"/>
  <c r="S55" i="14"/>
  <c r="T55" i="14"/>
  <c r="U55" i="14"/>
  <c r="V55" i="14"/>
  <c r="S56" i="14"/>
  <c r="T56" i="14"/>
  <c r="U56" i="14"/>
  <c r="V56" i="14"/>
  <c r="S57" i="14"/>
  <c r="T57" i="14"/>
  <c r="U57" i="14"/>
  <c r="V57" i="14"/>
  <c r="S58" i="14"/>
  <c r="T58" i="14"/>
  <c r="U58" i="14"/>
  <c r="V58" i="14"/>
  <c r="S59" i="14"/>
  <c r="T59" i="14"/>
  <c r="U59" i="14"/>
  <c r="V59" i="14"/>
  <c r="S60" i="14"/>
  <c r="T60" i="14"/>
  <c r="U60" i="14"/>
  <c r="V60" i="14"/>
  <c r="S61" i="14"/>
  <c r="T61" i="14"/>
  <c r="U61" i="14"/>
  <c r="V61" i="14"/>
  <c r="S62" i="14"/>
  <c r="T62" i="14"/>
  <c r="U62" i="14"/>
  <c r="V62" i="14"/>
  <c r="S63" i="14"/>
  <c r="T63" i="14"/>
  <c r="U63" i="14"/>
  <c r="V63" i="14"/>
  <c r="S64" i="14"/>
  <c r="T64" i="14"/>
  <c r="U64" i="14"/>
  <c r="V64" i="14"/>
  <c r="S65" i="14"/>
  <c r="T65" i="14"/>
  <c r="U65" i="14"/>
  <c r="V65" i="14"/>
  <c r="S66" i="14"/>
  <c r="T66" i="14"/>
  <c r="U66" i="14"/>
  <c r="V66" i="14"/>
  <c r="S67" i="14"/>
  <c r="T67" i="14"/>
  <c r="U67" i="14"/>
  <c r="V67" i="14"/>
  <c r="S68" i="14"/>
  <c r="T68" i="14"/>
  <c r="U68" i="14"/>
  <c r="V68" i="14"/>
  <c r="S69" i="14"/>
  <c r="T69" i="14"/>
  <c r="U69" i="14"/>
  <c r="V69" i="14"/>
  <c r="S70" i="14"/>
  <c r="T70" i="14"/>
  <c r="U70" i="14"/>
  <c r="V70" i="14"/>
  <c r="S71" i="14"/>
  <c r="T71" i="14"/>
  <c r="U71" i="14"/>
  <c r="V71" i="14"/>
  <c r="S72" i="14"/>
  <c r="T72" i="14"/>
  <c r="U72" i="14"/>
  <c r="V72" i="14"/>
  <c r="S73" i="14"/>
  <c r="T73" i="14"/>
  <c r="U73" i="14"/>
  <c r="V73" i="14"/>
  <c r="S74" i="14"/>
  <c r="T74" i="14"/>
  <c r="U74" i="14"/>
  <c r="V74" i="14"/>
  <c r="S75" i="14"/>
  <c r="T75" i="14"/>
  <c r="U75" i="14"/>
  <c r="V75" i="14"/>
  <c r="S76" i="14"/>
  <c r="T76" i="14"/>
  <c r="U76" i="14"/>
  <c r="V76" i="14"/>
  <c r="S77" i="14"/>
  <c r="T77" i="14"/>
  <c r="U77" i="14"/>
  <c r="V77" i="14"/>
  <c r="S78" i="14"/>
  <c r="T78" i="14"/>
  <c r="U78" i="14"/>
  <c r="V78" i="14"/>
  <c r="S79" i="14"/>
  <c r="T79" i="14"/>
  <c r="U79" i="14"/>
  <c r="V79" i="14"/>
  <c r="S80" i="14"/>
  <c r="T80" i="14"/>
  <c r="U80" i="14"/>
  <c r="V80" i="14"/>
  <c r="S81" i="14"/>
  <c r="T81" i="14"/>
  <c r="U81" i="14"/>
  <c r="V81" i="14"/>
  <c r="S82" i="14"/>
  <c r="T82" i="14"/>
  <c r="U82" i="14"/>
  <c r="V82" i="14"/>
  <c r="S83" i="14"/>
  <c r="T83" i="14"/>
  <c r="U83" i="14"/>
  <c r="V83" i="14"/>
  <c r="S84" i="14"/>
  <c r="T84" i="14"/>
  <c r="U84" i="14"/>
  <c r="V84" i="14"/>
  <c r="S85" i="14"/>
  <c r="T85" i="14"/>
  <c r="U85" i="14"/>
  <c r="V85" i="14"/>
  <c r="S86" i="14"/>
  <c r="T86" i="14"/>
  <c r="U86" i="14"/>
  <c r="V86" i="14"/>
  <c r="S87" i="14"/>
  <c r="T87" i="14"/>
  <c r="U87" i="14"/>
  <c r="V87" i="14"/>
  <c r="S88" i="14"/>
  <c r="T88" i="14"/>
  <c r="U88" i="14"/>
  <c r="V88" i="14"/>
  <c r="S89" i="14"/>
  <c r="T89" i="14"/>
  <c r="U89" i="14"/>
  <c r="V89" i="14"/>
  <c r="S90" i="14"/>
  <c r="T90" i="14"/>
  <c r="U90" i="14"/>
  <c r="V90" i="14"/>
  <c r="S91" i="14"/>
  <c r="T91" i="14"/>
  <c r="U91" i="14"/>
  <c r="V91" i="14"/>
  <c r="S92" i="14"/>
  <c r="T92" i="14"/>
  <c r="U92" i="14"/>
  <c r="V92" i="14"/>
  <c r="S93" i="14"/>
  <c r="T93" i="14"/>
  <c r="U93" i="14"/>
  <c r="V93" i="14"/>
  <c r="S94" i="14"/>
  <c r="T94" i="14"/>
  <c r="U94" i="14"/>
  <c r="V94" i="14"/>
  <c r="S95" i="14"/>
  <c r="T95" i="14"/>
  <c r="U95" i="14"/>
  <c r="V95" i="14"/>
  <c r="S96" i="14"/>
  <c r="T96" i="14"/>
  <c r="U96" i="14"/>
  <c r="V96" i="14"/>
  <c r="S97" i="14"/>
  <c r="T97" i="14"/>
  <c r="U97" i="14"/>
  <c r="V97" i="14"/>
  <c r="S98" i="14"/>
  <c r="T98" i="14"/>
  <c r="U98" i="14"/>
  <c r="V98" i="14"/>
  <c r="S99" i="14"/>
  <c r="T99" i="14"/>
  <c r="U99" i="14"/>
  <c r="V99" i="14"/>
  <c r="S100" i="14"/>
  <c r="T100" i="14"/>
  <c r="U100" i="14"/>
  <c r="V100" i="14"/>
  <c r="S101" i="14"/>
  <c r="T101" i="14"/>
  <c r="U101" i="14"/>
  <c r="V101" i="14"/>
  <c r="S102" i="14"/>
  <c r="T102" i="14"/>
  <c r="U102" i="14"/>
  <c r="V102" i="14"/>
  <c r="S103" i="14"/>
  <c r="T103" i="14"/>
  <c r="U103" i="14"/>
  <c r="V103" i="14"/>
  <c r="S104" i="14"/>
  <c r="T104" i="14"/>
  <c r="U104" i="14"/>
  <c r="V104" i="14"/>
  <c r="S105" i="14"/>
  <c r="T105" i="14"/>
  <c r="U105" i="14"/>
  <c r="V105" i="14"/>
  <c r="S106" i="14"/>
  <c r="T106" i="14"/>
  <c r="U106" i="14"/>
  <c r="V106" i="14"/>
  <c r="S107" i="14"/>
  <c r="T107" i="14"/>
  <c r="U107" i="14"/>
  <c r="V107" i="14"/>
  <c r="S108" i="14"/>
  <c r="T108" i="14"/>
  <c r="U108" i="14"/>
  <c r="V108" i="14"/>
  <c r="S109" i="14"/>
  <c r="T109" i="14"/>
  <c r="U109" i="14"/>
  <c r="V109" i="14"/>
  <c r="S110" i="14"/>
  <c r="T110" i="14"/>
  <c r="U110" i="14"/>
  <c r="V110" i="14"/>
  <c r="S111" i="14"/>
  <c r="T111" i="14"/>
  <c r="U111" i="14"/>
  <c r="V111" i="14"/>
  <c r="S112" i="14"/>
  <c r="T112" i="14"/>
  <c r="U112" i="14"/>
  <c r="V112" i="14"/>
  <c r="S113" i="14"/>
  <c r="T113" i="14"/>
  <c r="U113" i="14"/>
  <c r="V113" i="14"/>
  <c r="S114" i="14"/>
  <c r="T114" i="14"/>
  <c r="U114" i="14"/>
  <c r="V114" i="14"/>
  <c r="S115" i="14"/>
  <c r="T115" i="14"/>
  <c r="U115" i="14"/>
  <c r="V115" i="14"/>
  <c r="S116" i="14"/>
  <c r="T116" i="14"/>
  <c r="U116" i="14"/>
  <c r="V116" i="14"/>
  <c r="S117" i="14"/>
  <c r="T117" i="14"/>
  <c r="U117" i="14"/>
  <c r="V117" i="14"/>
  <c r="S118" i="14"/>
  <c r="T118" i="14"/>
  <c r="U118" i="14"/>
  <c r="V118" i="14"/>
  <c r="S119" i="14"/>
  <c r="T119" i="14"/>
  <c r="U119" i="14"/>
  <c r="V119" i="14"/>
  <c r="S120" i="14"/>
  <c r="T120" i="14"/>
  <c r="U120" i="14"/>
  <c r="V120" i="14"/>
  <c r="S121" i="14"/>
  <c r="T121" i="14"/>
  <c r="U121" i="14"/>
  <c r="V121" i="14"/>
  <c r="S122" i="14"/>
  <c r="T122" i="14"/>
  <c r="U122" i="14"/>
  <c r="V122" i="14"/>
  <c r="S123" i="14"/>
  <c r="T123" i="14"/>
  <c r="U123" i="14"/>
  <c r="V123" i="14"/>
  <c r="S124" i="14"/>
  <c r="T124" i="14"/>
  <c r="U124" i="14"/>
  <c r="V124" i="14"/>
  <c r="S125" i="14"/>
  <c r="T125" i="14"/>
  <c r="U125" i="14"/>
  <c r="V125" i="14"/>
  <c r="S126" i="14"/>
  <c r="T126" i="14"/>
  <c r="U126" i="14"/>
  <c r="V126" i="14"/>
  <c r="S127" i="14"/>
  <c r="T127" i="14"/>
  <c r="U127" i="14"/>
  <c r="V127" i="14"/>
  <c r="S128" i="14"/>
  <c r="T128" i="14"/>
  <c r="U128" i="14"/>
  <c r="V128" i="14"/>
  <c r="S129" i="14"/>
  <c r="T129" i="14"/>
  <c r="U129" i="14"/>
  <c r="V129" i="14"/>
  <c r="S130" i="14"/>
  <c r="T130" i="14"/>
  <c r="U130" i="14"/>
  <c r="V130" i="14"/>
  <c r="S131" i="14"/>
  <c r="T131" i="14"/>
  <c r="U131" i="14"/>
  <c r="V131" i="14"/>
  <c r="S132" i="14"/>
  <c r="T132" i="14"/>
  <c r="U132" i="14"/>
  <c r="V132" i="14"/>
  <c r="S133" i="14"/>
  <c r="T133" i="14"/>
  <c r="U133" i="14"/>
  <c r="V133" i="14"/>
  <c r="S134" i="14"/>
  <c r="T134" i="14"/>
  <c r="U134" i="14"/>
  <c r="V134" i="14"/>
  <c r="S135" i="14"/>
  <c r="T135" i="14"/>
  <c r="U135" i="14"/>
  <c r="V135" i="14"/>
  <c r="S136" i="14"/>
  <c r="T136" i="14"/>
  <c r="U136" i="14"/>
  <c r="V136" i="14"/>
  <c r="S137" i="14"/>
  <c r="T137" i="14"/>
  <c r="U137" i="14"/>
  <c r="V137" i="14"/>
  <c r="S138" i="14"/>
  <c r="T138" i="14"/>
  <c r="U138" i="14"/>
  <c r="V138" i="14"/>
  <c r="S139" i="14"/>
  <c r="T139" i="14"/>
  <c r="U139" i="14"/>
  <c r="V139" i="14"/>
  <c r="S140" i="14"/>
  <c r="T140" i="14"/>
  <c r="U140" i="14"/>
  <c r="V140" i="14"/>
  <c r="S141" i="14"/>
  <c r="T141" i="14"/>
  <c r="U141" i="14"/>
  <c r="V141" i="14"/>
  <c r="S142" i="14"/>
  <c r="T142" i="14"/>
  <c r="U142" i="14"/>
  <c r="V142" i="14"/>
  <c r="S143" i="14"/>
  <c r="T143" i="14"/>
  <c r="U143" i="14"/>
  <c r="V143" i="14"/>
  <c r="S144" i="14"/>
  <c r="T144" i="14"/>
  <c r="U144" i="14"/>
  <c r="V144" i="14"/>
  <c r="S145" i="14"/>
  <c r="T145" i="14"/>
  <c r="U145" i="14"/>
  <c r="V145" i="14"/>
  <c r="S146" i="14"/>
  <c r="T146" i="14"/>
  <c r="U146" i="14"/>
  <c r="V146" i="14"/>
  <c r="S147" i="14"/>
  <c r="T147" i="14"/>
  <c r="U147" i="14"/>
  <c r="V147" i="14"/>
  <c r="S148" i="14"/>
  <c r="T148" i="14"/>
  <c r="U148" i="14"/>
  <c r="V148" i="14"/>
  <c r="S149" i="14"/>
  <c r="T149" i="14"/>
  <c r="U149" i="14"/>
  <c r="V149" i="14"/>
  <c r="S150" i="14"/>
  <c r="T150" i="14"/>
  <c r="U150" i="14"/>
  <c r="V150" i="14"/>
  <c r="S151" i="14"/>
  <c r="T151" i="14"/>
  <c r="U151" i="14"/>
  <c r="V151" i="14"/>
  <c r="S152" i="14"/>
  <c r="T152" i="14"/>
  <c r="U152" i="14"/>
  <c r="V152" i="14"/>
  <c r="M17" i="14"/>
  <c r="L17" i="14"/>
  <c r="K17" i="14"/>
  <c r="J17" i="14"/>
  <c r="I17" i="14"/>
  <c r="H17" i="14"/>
  <c r="V17" i="14"/>
  <c r="U17" i="14"/>
  <c r="T17" i="14"/>
  <c r="S17" i="14"/>
  <c r="S16" i="14"/>
  <c r="M16" i="14"/>
  <c r="L16" i="14"/>
  <c r="K16" i="14"/>
  <c r="J16" i="14"/>
  <c r="I16" i="14"/>
  <c r="H16" i="14"/>
  <c r="V16" i="14"/>
  <c r="U16" i="14"/>
  <c r="T16" i="14"/>
  <c r="M15" i="14"/>
  <c r="L15" i="14"/>
  <c r="K15" i="14"/>
  <c r="J15" i="14"/>
  <c r="I15" i="14"/>
  <c r="H15" i="14"/>
  <c r="V15" i="14"/>
  <c r="U15" i="14"/>
  <c r="T15" i="14"/>
  <c r="S15" i="14"/>
  <c r="M14" i="14"/>
  <c r="L14" i="14"/>
  <c r="K14" i="14"/>
  <c r="J14" i="14"/>
  <c r="I14" i="14"/>
  <c r="H14" i="14"/>
  <c r="V14" i="14"/>
  <c r="U14" i="14"/>
  <c r="T14" i="14"/>
  <c r="S14" i="14"/>
  <c r="M13" i="14"/>
  <c r="L13" i="14"/>
  <c r="K13" i="14"/>
  <c r="J13" i="14"/>
  <c r="I13" i="14"/>
  <c r="H13" i="14"/>
  <c r="V13" i="14"/>
  <c r="U13" i="14"/>
  <c r="T13" i="14"/>
  <c r="S13" i="14"/>
  <c r="U12" i="14"/>
  <c r="M12" i="14"/>
  <c r="L12" i="14"/>
  <c r="K12" i="14"/>
  <c r="J12" i="14"/>
  <c r="I12" i="14"/>
  <c r="H12" i="14"/>
  <c r="V12" i="14"/>
  <c r="T12" i="14"/>
  <c r="S12" i="14"/>
  <c r="U11" i="14"/>
  <c r="S11" i="14"/>
  <c r="M11" i="14"/>
  <c r="L11" i="14"/>
  <c r="K11" i="14"/>
  <c r="J11" i="14"/>
  <c r="I11" i="14"/>
  <c r="H11" i="14"/>
  <c r="V11" i="14"/>
  <c r="T11" i="14"/>
  <c r="S10" i="14"/>
  <c r="M10" i="14"/>
  <c r="L10" i="14"/>
  <c r="K10" i="14"/>
  <c r="J10" i="14"/>
  <c r="I10" i="14"/>
  <c r="H10" i="14"/>
  <c r="V10" i="14"/>
  <c r="U10" i="14"/>
  <c r="T10" i="14"/>
  <c r="S9" i="14"/>
  <c r="M9" i="14"/>
  <c r="L9" i="14"/>
  <c r="K9" i="14"/>
  <c r="J9" i="14"/>
  <c r="I9" i="14"/>
  <c r="H9" i="14"/>
  <c r="V9" i="14"/>
  <c r="U9" i="14"/>
  <c r="T9" i="14"/>
  <c r="V8" i="14"/>
  <c r="M8" i="14"/>
  <c r="L8" i="14"/>
  <c r="K8" i="14"/>
  <c r="J8" i="14"/>
  <c r="I8" i="14"/>
  <c r="H8" i="14"/>
  <c r="U8" i="14"/>
  <c r="T8" i="14"/>
  <c r="S8" i="14"/>
  <c r="V7" i="14"/>
  <c r="M7" i="14"/>
  <c r="L7" i="14"/>
  <c r="K7" i="14"/>
  <c r="J7" i="14"/>
  <c r="I7" i="14"/>
  <c r="H7" i="14"/>
  <c r="U7" i="14"/>
  <c r="T7" i="14"/>
  <c r="S7" i="14"/>
  <c r="V6" i="14"/>
  <c r="T6" i="14"/>
  <c r="M6" i="14"/>
  <c r="L6" i="14"/>
  <c r="K6" i="14"/>
  <c r="J6" i="14"/>
  <c r="I6" i="14"/>
  <c r="H6" i="14"/>
  <c r="U6" i="14"/>
  <c r="S6" i="14"/>
  <c r="T5" i="14"/>
  <c r="M5" i="14"/>
  <c r="L5" i="14"/>
  <c r="K5" i="14"/>
  <c r="J5" i="14"/>
  <c r="I5" i="14"/>
  <c r="H5" i="14"/>
  <c r="V5" i="14"/>
  <c r="U5" i="14"/>
  <c r="S5" i="14"/>
  <c r="V4" i="14"/>
  <c r="T4" i="14"/>
  <c r="M4" i="14"/>
  <c r="L4" i="14"/>
  <c r="K4" i="14"/>
  <c r="J4" i="14"/>
  <c r="I4" i="14"/>
  <c r="H4" i="14"/>
  <c r="U4" i="14"/>
  <c r="S4" i="14"/>
  <c r="S3" i="14"/>
  <c r="M3" i="14"/>
  <c r="L3" i="14"/>
  <c r="K3" i="14"/>
  <c r="J3" i="14"/>
  <c r="I3" i="14"/>
  <c r="H3" i="14"/>
  <c r="V3" i="14"/>
  <c r="U3" i="14"/>
  <c r="T3" i="14"/>
  <c r="W3" i="15" l="1"/>
  <c r="Z3" i="15"/>
  <c r="Z4" i="15" s="1"/>
  <c r="Y3" i="15"/>
  <c r="Y4" i="15" s="1"/>
  <c r="X3" i="15"/>
  <c r="Y4" i="14"/>
  <c r="Z4" i="14"/>
  <c r="A3" i="9" l="1"/>
  <c r="S3" i="9" s="1"/>
  <c r="B3" i="9"/>
  <c r="T3" i="9" s="1"/>
  <c r="C3" i="9"/>
  <c r="U3" i="9" s="1"/>
  <c r="D3" i="9"/>
  <c r="V3" i="9" s="1"/>
  <c r="E3" i="9"/>
  <c r="F3" i="9"/>
  <c r="G3" i="9"/>
  <c r="H3" i="9"/>
  <c r="I3" i="9"/>
  <c r="J3" i="9"/>
  <c r="K3" i="9"/>
  <c r="L3" i="9"/>
  <c r="M3" i="9"/>
  <c r="A4" i="9"/>
  <c r="S4" i="9" s="1"/>
  <c r="B4" i="9"/>
  <c r="T4" i="9" s="1"/>
  <c r="C4" i="9"/>
  <c r="U4" i="9" s="1"/>
  <c r="D4" i="9"/>
  <c r="V4" i="9" s="1"/>
  <c r="E4" i="9"/>
  <c r="F4" i="9"/>
  <c r="G4" i="9"/>
  <c r="H4" i="9"/>
  <c r="I4" i="9"/>
  <c r="J4" i="9"/>
  <c r="K4" i="9"/>
  <c r="L4" i="9"/>
  <c r="M4" i="9"/>
  <c r="A5" i="9"/>
  <c r="S5" i="9" s="1"/>
  <c r="B5" i="9"/>
  <c r="T5" i="9" s="1"/>
  <c r="C5" i="9"/>
  <c r="U5" i="9" s="1"/>
  <c r="D5" i="9"/>
  <c r="V5" i="9" s="1"/>
  <c r="E5" i="9"/>
  <c r="F5" i="9"/>
  <c r="G5" i="9"/>
  <c r="H5" i="9"/>
  <c r="I5" i="9"/>
  <c r="J5" i="9"/>
  <c r="K5" i="9"/>
  <c r="L5" i="9"/>
  <c r="M5" i="9"/>
  <c r="A6" i="9"/>
  <c r="S6" i="9" s="1"/>
  <c r="B6" i="9"/>
  <c r="T6" i="9" s="1"/>
  <c r="C6" i="9"/>
  <c r="U6" i="9" s="1"/>
  <c r="D6" i="9"/>
  <c r="V6" i="9" s="1"/>
  <c r="E6" i="9"/>
  <c r="F6" i="9"/>
  <c r="G6" i="9"/>
  <c r="H6" i="9"/>
  <c r="I6" i="9"/>
  <c r="J6" i="9"/>
  <c r="K6" i="9"/>
  <c r="L6" i="9"/>
  <c r="M6" i="9"/>
  <c r="A7" i="9"/>
  <c r="S7" i="9" s="1"/>
  <c r="B7" i="9"/>
  <c r="T7" i="9" s="1"/>
  <c r="C7" i="9"/>
  <c r="U7" i="9" s="1"/>
  <c r="D7" i="9"/>
  <c r="V7" i="9" s="1"/>
  <c r="E7" i="9"/>
  <c r="F7" i="9"/>
  <c r="G7" i="9"/>
  <c r="H7" i="9"/>
  <c r="I7" i="9"/>
  <c r="J7" i="9"/>
  <c r="K7" i="9"/>
  <c r="L7" i="9"/>
  <c r="M7" i="9"/>
  <c r="A8" i="9"/>
  <c r="S8" i="9" s="1"/>
  <c r="B8" i="9"/>
  <c r="T8" i="9" s="1"/>
  <c r="C8" i="9"/>
  <c r="U8" i="9" s="1"/>
  <c r="D8" i="9"/>
  <c r="V8" i="9" s="1"/>
  <c r="E8" i="9"/>
  <c r="F8" i="9"/>
  <c r="G8" i="9"/>
  <c r="H8" i="9"/>
  <c r="I8" i="9"/>
  <c r="J8" i="9"/>
  <c r="K8" i="9"/>
  <c r="L8" i="9"/>
  <c r="M8" i="9"/>
  <c r="A9" i="9"/>
  <c r="S9" i="9" s="1"/>
  <c r="B9" i="9"/>
  <c r="T9" i="9" s="1"/>
  <c r="C9" i="9"/>
  <c r="U9" i="9" s="1"/>
  <c r="D9" i="9"/>
  <c r="V9" i="9" s="1"/>
  <c r="E9" i="9"/>
  <c r="F9" i="9"/>
  <c r="G9" i="9"/>
  <c r="H9" i="9"/>
  <c r="I9" i="9"/>
  <c r="J9" i="9"/>
  <c r="K9" i="9"/>
  <c r="L9" i="9"/>
  <c r="M9" i="9"/>
  <c r="A10" i="9"/>
  <c r="S10" i="9" s="1"/>
  <c r="B10" i="9"/>
  <c r="T10" i="9" s="1"/>
  <c r="C10" i="9"/>
  <c r="U10" i="9" s="1"/>
  <c r="D10" i="9"/>
  <c r="V10" i="9" s="1"/>
  <c r="E10" i="9"/>
  <c r="F10" i="9"/>
  <c r="G10" i="9"/>
  <c r="H10" i="9"/>
  <c r="I10" i="9"/>
  <c r="J10" i="9"/>
  <c r="K10" i="9"/>
  <c r="L10" i="9"/>
  <c r="M10" i="9"/>
  <c r="A11" i="9"/>
  <c r="S11" i="9" s="1"/>
  <c r="B11" i="9"/>
  <c r="T11" i="9" s="1"/>
  <c r="C11" i="9"/>
  <c r="U11" i="9" s="1"/>
  <c r="D11" i="9"/>
  <c r="V11" i="9" s="1"/>
  <c r="E11" i="9"/>
  <c r="F11" i="9"/>
  <c r="G11" i="9"/>
  <c r="H11" i="9"/>
  <c r="I11" i="9"/>
  <c r="J11" i="9"/>
  <c r="K11" i="9"/>
  <c r="L11" i="9"/>
  <c r="M11" i="9"/>
  <c r="A12" i="9"/>
  <c r="S12" i="9" s="1"/>
  <c r="B12" i="9"/>
  <c r="T12" i="9" s="1"/>
  <c r="C12" i="9"/>
  <c r="U12" i="9" s="1"/>
  <c r="D12" i="9"/>
  <c r="V12" i="9" s="1"/>
  <c r="E12" i="9"/>
  <c r="F12" i="9"/>
  <c r="G12" i="9"/>
  <c r="H12" i="9"/>
  <c r="I12" i="9"/>
  <c r="J12" i="9"/>
  <c r="K12" i="9"/>
  <c r="L12" i="9"/>
  <c r="M12" i="9"/>
  <c r="A13" i="9"/>
  <c r="S13" i="9" s="1"/>
  <c r="B13" i="9"/>
  <c r="T13" i="9" s="1"/>
  <c r="C13" i="9"/>
  <c r="U13" i="9" s="1"/>
  <c r="D13" i="9"/>
  <c r="V13" i="9" s="1"/>
  <c r="E13" i="9"/>
  <c r="F13" i="9"/>
  <c r="G13" i="9"/>
  <c r="H13" i="9"/>
  <c r="I13" i="9"/>
  <c r="J13" i="9"/>
  <c r="K13" i="9"/>
  <c r="L13" i="9"/>
  <c r="M13" i="9"/>
  <c r="A14" i="9"/>
  <c r="S14" i="9" s="1"/>
  <c r="B14" i="9"/>
  <c r="T14" i="9" s="1"/>
  <c r="C14" i="9"/>
  <c r="U14" i="9" s="1"/>
  <c r="D14" i="9"/>
  <c r="V14" i="9" s="1"/>
  <c r="E14" i="9"/>
  <c r="F14" i="9"/>
  <c r="G14" i="9"/>
  <c r="H14" i="9"/>
  <c r="I14" i="9"/>
  <c r="J14" i="9"/>
  <c r="K14" i="9"/>
  <c r="L14" i="9"/>
  <c r="M14" i="9"/>
  <c r="A15" i="9"/>
  <c r="S15" i="9" s="1"/>
  <c r="B15" i="9"/>
  <c r="T15" i="9" s="1"/>
  <c r="C15" i="9"/>
  <c r="U15" i="9" s="1"/>
  <c r="D15" i="9"/>
  <c r="V15" i="9" s="1"/>
  <c r="E15" i="9"/>
  <c r="F15" i="9"/>
  <c r="G15" i="9"/>
  <c r="H15" i="9"/>
  <c r="I15" i="9"/>
  <c r="J15" i="9"/>
  <c r="K15" i="9"/>
  <c r="L15" i="9"/>
  <c r="M15" i="9"/>
  <c r="A16" i="9"/>
  <c r="S16" i="9" s="1"/>
  <c r="B16" i="9"/>
  <c r="T16" i="9" s="1"/>
  <c r="C16" i="9"/>
  <c r="U16" i="9" s="1"/>
  <c r="D16" i="9"/>
  <c r="V16" i="9" s="1"/>
  <c r="E16" i="9"/>
  <c r="F16" i="9"/>
  <c r="G16" i="9"/>
  <c r="H16" i="9"/>
  <c r="I16" i="9"/>
  <c r="J16" i="9"/>
  <c r="K16" i="9"/>
  <c r="L16" i="9"/>
  <c r="M16" i="9"/>
  <c r="A17" i="9"/>
  <c r="S17" i="9" s="1"/>
  <c r="B17" i="9"/>
  <c r="T17" i="9" s="1"/>
  <c r="C17" i="9"/>
  <c r="U17" i="9" s="1"/>
  <c r="D17" i="9"/>
  <c r="V17" i="9" s="1"/>
  <c r="E17" i="9"/>
  <c r="F17" i="9"/>
  <c r="G17" i="9"/>
  <c r="H17" i="9"/>
  <c r="I17" i="9"/>
  <c r="J17" i="9"/>
  <c r="K17" i="9"/>
  <c r="L17" i="9"/>
  <c r="M17" i="9"/>
  <c r="Y3" i="9" l="1"/>
  <c r="Y4" i="9" s="1"/>
  <c r="Z3" i="9"/>
  <c r="Z4" i="9" s="1"/>
  <c r="X3" i="9"/>
  <c r="W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7" i="8"/>
  <c r="X16" i="8"/>
  <c r="W16" i="8"/>
  <c r="V16" i="8"/>
  <c r="U16" i="8"/>
  <c r="T16" i="8"/>
  <c r="W15" i="8"/>
  <c r="V15" i="8"/>
  <c r="Y17" i="8"/>
  <c r="X17" i="8"/>
  <c r="V17" i="8"/>
  <c r="U17" i="8"/>
  <c r="T17" i="8"/>
  <c r="Y16" i="8"/>
  <c r="Y15" i="8"/>
  <c r="X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Y11" i="8"/>
  <c r="X11" i="8"/>
  <c r="W11" i="8"/>
  <c r="V11" i="8"/>
  <c r="U11" i="8"/>
  <c r="T11" i="8"/>
  <c r="Y10" i="8"/>
  <c r="X10" i="8"/>
  <c r="W10" i="8"/>
  <c r="V10" i="8"/>
  <c r="U10" i="8"/>
  <c r="T10" i="8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sharedStrings.xml><?xml version="1.0" encoding="utf-8"?>
<sst xmlns="http://schemas.openxmlformats.org/spreadsheetml/2006/main" count="136" uniqueCount="33">
  <si>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</si>
  <si>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</si>
  <si>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</si>
  <si>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</si>
  <si>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</si>
  <si>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</si>
  <si>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</si>
  <si>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</si>
  <si>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</si>
  <si>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</si>
  <si>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</si>
  <si>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</si>
  <si>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</si>
  <si>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</si>
  <si>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</si>
  <si>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</si>
  <si>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</si>
  <si>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</si>
  <si>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</si>
  <si>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</si>
  <si>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</si>
  <si>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</si>
  <si>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</si>
  <si>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</si>
  <si>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</si>
  <si>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</si>
  <si>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</si>
  <si>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</si>
  <si>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</si>
  <si>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</si>
  <si>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</si>
  <si>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</si>
  <si>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Pitch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</si>
</sst>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30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0" fontId="1" fillId="4" borderId="1" xfId="0" applyFont="1" applyFill="1" applyBorder="1" applyAlignment="1">
      <alignment horizontal="center"/>
    </xf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166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7"/>
  <sheetViews>
    <sheetView workbookViewId="0">
      <selection activeCell="E19" sqref="E19"/>
    </sheetView>
  </sheetViews>
  <sheetFormatPr defaultRowHeight="14.5" x14ac:dyDescent="0.35"/>
  <cols>
    <col min="4" max="4" width="10.81640625" bestFit="1" customWidth="1"/>
  </cols>
  <sheetData>
    <row r="1" spans="1:25" ht="16" x14ac:dyDescent="0.4">
      <c r="A1" s="13" t="s">
        <v>13</v>
      </c>
      <c r="B1" s="13"/>
      <c r="C1" s="13"/>
      <c r="D1" s="13"/>
      <c r="E1" s="13"/>
      <c r="F1" s="13"/>
      <c r="G1" s="14"/>
      <c r="H1" s="15" t="s">
        <v>6</v>
      </c>
      <c r="I1" s="16"/>
      <c r="J1" s="16"/>
      <c r="K1" s="16"/>
      <c r="L1" s="16"/>
      <c r="M1" s="16"/>
      <c r="N1" s="17" t="s">
        <v>14</v>
      </c>
      <c r="O1" s="18"/>
      <c r="P1" s="18"/>
      <c r="Q1" s="18"/>
      <c r="R1" s="18"/>
      <c r="S1" s="18"/>
      <c r="T1" s="19" t="s">
        <v>16</v>
      </c>
      <c r="U1" s="20"/>
      <c r="V1" s="20"/>
      <c r="W1" s="20"/>
      <c r="X1" s="20"/>
      <c r="Y1" s="21"/>
    </row>
    <row r="2" spans="1:25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35">
      <c r="A3" s="11">
        <v>0.3</v>
      </c>
      <c r="B3" s="11">
        <v>0.08</v>
      </c>
      <c r="C3" s="11">
        <v>1.571</v>
      </c>
      <c r="D3" s="11">
        <v>0.78500000000000003</v>
      </c>
      <c r="E3" s="11">
        <v>1.4</v>
      </c>
      <c r="F3" s="11">
        <v>0</v>
      </c>
      <c r="G3" s="11">
        <v>0</v>
      </c>
      <c r="H3" s="9">
        <v>-1.5595351578667801E-4</v>
      </c>
      <c r="I3" s="9">
        <v>-3.4215424209833097E-2</v>
      </c>
      <c r="J3" s="9">
        <v>-1.4112447388470199E-7</v>
      </c>
      <c r="K3" s="9">
        <v>0.19788618385791801</v>
      </c>
      <c r="L3" s="9">
        <v>-3.1988471746444702E-3</v>
      </c>
      <c r="M3" s="9">
        <v>0.198836579918861</v>
      </c>
      <c r="N3" s="9">
        <v>3.4924465246255259E-4</v>
      </c>
      <c r="O3" s="9">
        <v>-3.7526672584308418E-2</v>
      </c>
      <c r="P3" s="9">
        <v>1.115835309997283E-3</v>
      </c>
      <c r="Q3" s="9">
        <v>0.19907962159473458</v>
      </c>
      <c r="R3" s="9">
        <v>8.5059070766819855E-3</v>
      </c>
      <c r="S3" s="9">
        <v>0.22426396273514179</v>
      </c>
      <c r="T3" s="7">
        <f t="shared" ref="T3:Y17" si="0">ABS(H3-N3)</f>
        <v>5.0519816824923063E-4</v>
      </c>
      <c r="U3" s="7">
        <f t="shared" si="0"/>
        <v>3.3112483744753216E-3</v>
      </c>
      <c r="V3" s="7">
        <f t="shared" si="0"/>
        <v>1.1159764344711677E-3</v>
      </c>
      <c r="W3" s="7">
        <f t="shared" si="0"/>
        <v>1.1934377368165716E-3</v>
      </c>
      <c r="X3" s="7">
        <f t="shared" si="0"/>
        <v>1.1704754251326456E-2</v>
      </c>
      <c r="Y3" s="7">
        <f t="shared" si="0"/>
        <v>2.5427382816280791E-2</v>
      </c>
    </row>
    <row r="4" spans="1:25" x14ac:dyDescent="0.35">
      <c r="A4" s="11">
        <v>0.4</v>
      </c>
      <c r="B4" s="11">
        <v>0.14000000000000001</v>
      </c>
      <c r="C4" s="11">
        <v>1.571</v>
      </c>
      <c r="D4" s="11">
        <v>0.78500000000000003</v>
      </c>
      <c r="E4" s="11">
        <v>0</v>
      </c>
      <c r="F4" s="11">
        <v>0</v>
      </c>
      <c r="G4" s="11">
        <v>0</v>
      </c>
      <c r="H4" s="9">
        <v>-2.4353998014703401E-4</v>
      </c>
      <c r="I4" s="9">
        <v>-5.8889582753181499E-2</v>
      </c>
      <c r="J4" s="9">
        <v>-5.9254060033708797E-5</v>
      </c>
      <c r="K4" s="9">
        <v>0.25050288438797003</v>
      </c>
      <c r="L4" s="9">
        <v>9.8302215337753296E-4</v>
      </c>
      <c r="M4" s="9">
        <v>0.25498384237289401</v>
      </c>
      <c r="N4" s="9">
        <v>-1.3400929765668843E-22</v>
      </c>
      <c r="O4" s="9">
        <v>-7.0452667049887535E-2</v>
      </c>
      <c r="P4" s="9">
        <v>-1.434932070454511E-5</v>
      </c>
      <c r="Q4" s="9">
        <v>0.23762857478771687</v>
      </c>
      <c r="R4" s="9">
        <v>-6.5534877214127956E-5</v>
      </c>
      <c r="S4" s="9">
        <v>0.32176484027287527</v>
      </c>
      <c r="T4" s="7">
        <f t="shared" si="0"/>
        <v>2.4353998014703401E-4</v>
      </c>
      <c r="U4" s="7">
        <f t="shared" si="0"/>
        <v>1.1563084296706036E-2</v>
      </c>
      <c r="V4" s="7">
        <f t="shared" si="0"/>
        <v>4.4904739329163689E-5</v>
      </c>
      <c r="W4" s="7">
        <f t="shared" si="0"/>
        <v>1.2874309600253153E-2</v>
      </c>
      <c r="X4" s="7">
        <f t="shared" si="0"/>
        <v>1.048557030591661E-3</v>
      </c>
      <c r="Y4" s="7">
        <f t="shared" si="0"/>
        <v>6.6780997899981265E-2</v>
      </c>
    </row>
    <row r="5" spans="1:25" x14ac:dyDescent="0.35">
      <c r="A5" s="11">
        <v>0.6</v>
      </c>
      <c r="B5" s="11">
        <v>0.16</v>
      </c>
      <c r="C5" s="11">
        <v>1.571</v>
      </c>
      <c r="D5" s="11">
        <v>0.78500000000000003</v>
      </c>
      <c r="E5" s="11">
        <v>1.4</v>
      </c>
      <c r="F5" s="11">
        <v>0</v>
      </c>
      <c r="G5" s="11">
        <v>0</v>
      </c>
      <c r="H5" s="9">
        <v>2.2863354533910799E-3</v>
      </c>
      <c r="I5" s="9">
        <v>-0.11987078934907899</v>
      </c>
      <c r="J5" s="9">
        <v>-6.9630080834031096E-3</v>
      </c>
      <c r="K5" s="9">
        <v>0.31022596359252902</v>
      </c>
      <c r="L5" s="9">
        <v>-2.3233078420162201E-2</v>
      </c>
      <c r="M5" s="9">
        <v>0.50102174282073997</v>
      </c>
      <c r="N5" s="9">
        <v>2.8995644485214104E-3</v>
      </c>
      <c r="O5" s="9">
        <v>-0.12420912281761715</v>
      </c>
      <c r="P5" s="9">
        <v>6.116822668218236E-3</v>
      </c>
      <c r="Q5" s="9">
        <v>0.2513797304551178</v>
      </c>
      <c r="R5" s="9">
        <v>3.2630825272737363E-2</v>
      </c>
      <c r="S5" s="9">
        <v>0.54382018813639377</v>
      </c>
      <c r="T5" s="7">
        <f t="shared" si="0"/>
        <v>6.1322899513033052E-4</v>
      </c>
      <c r="U5" s="7">
        <f t="shared" si="0"/>
        <v>4.3383334685381525E-3</v>
      </c>
      <c r="V5" s="7">
        <f t="shared" si="0"/>
        <v>1.3079830751621346E-2</v>
      </c>
      <c r="W5" s="7">
        <f t="shared" si="0"/>
        <v>5.8846233137411219E-2</v>
      </c>
      <c r="X5" s="7">
        <f t="shared" si="0"/>
        <v>5.5863903692899564E-2</v>
      </c>
      <c r="Y5" s="7">
        <f t="shared" si="0"/>
        <v>4.2798445315653799E-2</v>
      </c>
    </row>
    <row r="6" spans="1:25" x14ac:dyDescent="0.35">
      <c r="A6" s="11">
        <v>0.4</v>
      </c>
      <c r="B6" s="11">
        <v>0.06</v>
      </c>
      <c r="C6" s="11">
        <v>1.571</v>
      </c>
      <c r="D6" s="11">
        <v>1.571</v>
      </c>
      <c r="E6" s="11">
        <v>1.4</v>
      </c>
      <c r="F6" s="11">
        <v>0</v>
      </c>
      <c r="G6" s="11">
        <v>0</v>
      </c>
      <c r="H6" s="9">
        <v>6.5225898288190397E-4</v>
      </c>
      <c r="I6" s="9">
        <v>-6.1197262257337598E-2</v>
      </c>
      <c r="J6" s="9">
        <v>-8.9818926062434901E-4</v>
      </c>
      <c r="K6" s="9">
        <v>-1.97219010442495E-3</v>
      </c>
      <c r="L6" s="9">
        <v>-5.79428672790527E-3</v>
      </c>
      <c r="M6" s="9">
        <v>0.38675421476364102</v>
      </c>
      <c r="N6" s="9">
        <v>3.6837550975932562E-4</v>
      </c>
      <c r="O6" s="9">
        <v>-5.988103782086391E-2</v>
      </c>
      <c r="P6" s="9">
        <v>-3.1737753537445188E-5</v>
      </c>
      <c r="Q6" s="9">
        <v>-2.2144283066930594E-2</v>
      </c>
      <c r="R6" s="9">
        <v>-3.4790357405383316E-4</v>
      </c>
      <c r="S6" s="9">
        <v>0.39938546210257025</v>
      </c>
      <c r="T6" s="7">
        <f t="shared" si="0"/>
        <v>2.8388347312257835E-4</v>
      </c>
      <c r="U6" s="7">
        <f t="shared" si="0"/>
        <v>1.3162244364736883E-3</v>
      </c>
      <c r="V6" s="7">
        <f t="shared" si="0"/>
        <v>8.6645150708690379E-4</v>
      </c>
      <c r="W6" s="7">
        <f t="shared" si="0"/>
        <v>2.0172092962505644E-2</v>
      </c>
      <c r="X6" s="7">
        <f t="shared" si="0"/>
        <v>5.4463831538514368E-3</v>
      </c>
      <c r="Y6" s="7">
        <f t="shared" si="0"/>
        <v>1.263124733892923E-2</v>
      </c>
    </row>
    <row r="7" spans="1:25" x14ac:dyDescent="0.35">
      <c r="A7" s="11">
        <v>0.8</v>
      </c>
      <c r="B7" s="11">
        <v>0.08</v>
      </c>
      <c r="C7" s="11">
        <v>1.571</v>
      </c>
      <c r="D7" s="11">
        <v>1.571</v>
      </c>
      <c r="E7" s="11">
        <v>0</v>
      </c>
      <c r="F7" s="11">
        <v>0</v>
      </c>
      <c r="G7" s="11">
        <v>0</v>
      </c>
      <c r="H7" s="9">
        <v>-4.06092498451471E-4</v>
      </c>
      <c r="I7" s="9">
        <v>-0.15244589745998399</v>
      </c>
      <c r="J7" s="9">
        <v>-1.21209200005978E-3</v>
      </c>
      <c r="K7" s="9">
        <v>-0.117412149906158</v>
      </c>
      <c r="L7" s="9">
        <v>-2.6462823152542101E-3</v>
      </c>
      <c r="M7" s="9">
        <v>0.85134243965148904</v>
      </c>
      <c r="N7" s="9">
        <v>-7.4859179121132896E-23</v>
      </c>
      <c r="O7" s="9">
        <v>-0.13520895292910617</v>
      </c>
      <c r="P7" s="9">
        <v>-2.7538441182527E-5</v>
      </c>
      <c r="Q7" s="9">
        <v>-0.10639342551301444</v>
      </c>
      <c r="R7" s="9">
        <v>-1.6149093871242442E-4</v>
      </c>
      <c r="S7" s="9">
        <v>0.79289240034034925</v>
      </c>
      <c r="T7" s="7">
        <f t="shared" si="0"/>
        <v>4.06092498451471E-4</v>
      </c>
      <c r="U7" s="7">
        <f t="shared" si="0"/>
        <v>1.7236944530877818E-2</v>
      </c>
      <c r="V7" s="7">
        <f t="shared" si="0"/>
        <v>1.1845535588772529E-3</v>
      </c>
      <c r="W7" s="7">
        <f t="shared" si="0"/>
        <v>1.1018724393143567E-2</v>
      </c>
      <c r="X7" s="7">
        <f t="shared" si="0"/>
        <v>2.4847913765417857E-3</v>
      </c>
      <c r="Y7" s="7">
        <f t="shared" si="0"/>
        <v>5.845003931113979E-2</v>
      </c>
    </row>
    <row r="8" spans="1:25" x14ac:dyDescent="0.35">
      <c r="A8" s="11">
        <v>0.7</v>
      </c>
      <c r="B8" s="11">
        <v>0.16</v>
      </c>
      <c r="C8" s="11">
        <v>1.571</v>
      </c>
      <c r="D8" s="11">
        <v>1.571</v>
      </c>
      <c r="E8" s="11">
        <v>1.4</v>
      </c>
      <c r="F8" s="11">
        <v>0</v>
      </c>
      <c r="G8" s="11">
        <v>0</v>
      </c>
      <c r="H8" s="9">
        <v>5.05214463919401E-3</v>
      </c>
      <c r="I8" s="9">
        <v>-0.157537400722504</v>
      </c>
      <c r="J8" s="9">
        <v>-6.2086973339319203E-3</v>
      </c>
      <c r="K8" s="9">
        <v>-0.29486876726150502</v>
      </c>
      <c r="L8" s="9">
        <v>-2.80796959996223E-2</v>
      </c>
      <c r="M8" s="9">
        <v>0.56537818908691395</v>
      </c>
      <c r="N8" s="9">
        <v>4.5372870182058276E-3</v>
      </c>
      <c r="O8" s="9">
        <v>-0.16375524985506504</v>
      </c>
      <c r="P8" s="9">
        <v>-2.7558665008166539E-4</v>
      </c>
      <c r="Q8" s="9">
        <v>-0.34463213031672718</v>
      </c>
      <c r="R8" s="9">
        <v>-1.0574195085337565E-2</v>
      </c>
      <c r="S8" s="9">
        <v>0.60919044688440049</v>
      </c>
      <c r="T8" s="7">
        <f t="shared" si="0"/>
        <v>5.1485762098818239E-4</v>
      </c>
      <c r="U8" s="7">
        <f t="shared" si="0"/>
        <v>6.217849132561043E-3</v>
      </c>
      <c r="V8" s="7">
        <f t="shared" si="0"/>
        <v>5.9331106838502552E-3</v>
      </c>
      <c r="W8" s="7">
        <f t="shared" si="0"/>
        <v>4.9763363055222165E-2</v>
      </c>
      <c r="X8" s="7">
        <f t="shared" si="0"/>
        <v>1.7505500914284735E-2</v>
      </c>
      <c r="Y8" s="7">
        <f t="shared" si="0"/>
        <v>4.3812257797486542E-2</v>
      </c>
    </row>
    <row r="9" spans="1:25" x14ac:dyDescent="0.35">
      <c r="A9" s="11">
        <v>0.7</v>
      </c>
      <c r="B9" s="11">
        <v>0.2</v>
      </c>
      <c r="C9" s="11">
        <v>1.571</v>
      </c>
      <c r="D9" s="11">
        <v>1.571</v>
      </c>
      <c r="E9" s="11">
        <v>0</v>
      </c>
      <c r="F9" s="11">
        <v>0</v>
      </c>
      <c r="G9" s="11">
        <v>0</v>
      </c>
      <c r="H9" s="9">
        <v>3.71134956367314E-5</v>
      </c>
      <c r="I9" s="9">
        <v>-0.19372102618217499</v>
      </c>
      <c r="J9" s="9">
        <v>-2.1289892029017201E-3</v>
      </c>
      <c r="K9" s="9">
        <v>-0.41201990842819203</v>
      </c>
      <c r="L9" s="9">
        <v>-1.1864490807056401E-3</v>
      </c>
      <c r="M9" s="9">
        <v>0.55889892578125</v>
      </c>
      <c r="N9" s="9">
        <v>8.8926488231872075E-22</v>
      </c>
      <c r="O9" s="9">
        <v>-0.17938622303026075</v>
      </c>
      <c r="P9" s="9">
        <v>-3.6536167501161742E-5</v>
      </c>
      <c r="Q9" s="9">
        <v>-0.45541348240595858</v>
      </c>
      <c r="R9" s="9">
        <v>-1.0827266706085697E-4</v>
      </c>
      <c r="S9" s="9">
        <v>0.53159994957989243</v>
      </c>
      <c r="T9" s="7">
        <f t="shared" si="0"/>
        <v>3.71134956367314E-5</v>
      </c>
      <c r="U9" s="7">
        <f t="shared" si="0"/>
        <v>1.4334803151914238E-2</v>
      </c>
      <c r="V9" s="7">
        <f t="shared" si="0"/>
        <v>2.0924530354005585E-3</v>
      </c>
      <c r="W9" s="7">
        <f t="shared" si="0"/>
        <v>4.3393573977766553E-2</v>
      </c>
      <c r="X9" s="7">
        <f t="shared" si="0"/>
        <v>1.0781764136447831E-3</v>
      </c>
      <c r="Y9" s="7">
        <f t="shared" si="0"/>
        <v>2.7298976201357572E-2</v>
      </c>
    </row>
    <row r="10" spans="1:25" x14ac:dyDescent="0.35">
      <c r="A10" s="11">
        <v>0.7</v>
      </c>
      <c r="B10" s="11">
        <v>0.06</v>
      </c>
      <c r="C10" s="11">
        <v>3.665</v>
      </c>
      <c r="D10" s="11">
        <v>0.78500000000000003</v>
      </c>
      <c r="E10" s="11">
        <v>0</v>
      </c>
      <c r="F10" s="11">
        <v>0</v>
      </c>
      <c r="G10" s="11">
        <v>0</v>
      </c>
      <c r="H10" s="9">
        <v>-8.9350854977965398E-4</v>
      </c>
      <c r="I10" s="9">
        <v>4.2732272297143901E-2</v>
      </c>
      <c r="J10" s="9">
        <v>-7.74873793125153E-2</v>
      </c>
      <c r="K10" s="9">
        <v>0.62493914365768399</v>
      </c>
      <c r="L10" s="9">
        <v>-0.52349442243576105</v>
      </c>
      <c r="M10" s="9">
        <v>-0.28826642036437999</v>
      </c>
      <c r="N10" s="9">
        <v>3.864553146033156E-20</v>
      </c>
      <c r="O10" s="9">
        <v>3.8316920453082923E-2</v>
      </c>
      <c r="P10" s="9">
        <v>-6.6396202653878938E-2</v>
      </c>
      <c r="Q10" s="9">
        <v>0.47143568494461663</v>
      </c>
      <c r="R10" s="9">
        <v>-0.44816891695986794</v>
      </c>
      <c r="S10" s="9">
        <v>-0.2586360673397991</v>
      </c>
      <c r="T10" s="7">
        <f t="shared" si="0"/>
        <v>8.9350854977965398E-4</v>
      </c>
      <c r="U10" s="7">
        <f t="shared" si="0"/>
        <v>4.4153518440609787E-3</v>
      </c>
      <c r="V10" s="7">
        <f t="shared" si="0"/>
        <v>1.1091176658636362E-2</v>
      </c>
      <c r="W10" s="7">
        <f t="shared" si="0"/>
        <v>0.15350345871306736</v>
      </c>
      <c r="X10" s="7">
        <f t="shared" si="0"/>
        <v>7.5325505475893118E-2</v>
      </c>
      <c r="Y10" s="7">
        <f t="shared" si="0"/>
        <v>2.9630353024580891E-2</v>
      </c>
    </row>
    <row r="11" spans="1:25" x14ac:dyDescent="0.35">
      <c r="A11" s="11">
        <v>0.6</v>
      </c>
      <c r="B11" s="11">
        <v>0.1</v>
      </c>
      <c r="C11" s="11">
        <v>3.665</v>
      </c>
      <c r="D11" s="11">
        <v>0.78500000000000003</v>
      </c>
      <c r="E11" s="11">
        <v>0</v>
      </c>
      <c r="F11" s="11">
        <v>0</v>
      </c>
      <c r="G11" s="11">
        <v>0</v>
      </c>
      <c r="H11" s="9">
        <v>-8.9688366279006004E-4</v>
      </c>
      <c r="I11" s="9">
        <v>4.1764143854379703E-2</v>
      </c>
      <c r="J11" s="9">
        <v>-7.7566295862197904E-2</v>
      </c>
      <c r="K11" s="9">
        <v>0.45929118990898099</v>
      </c>
      <c r="L11" s="9">
        <v>-0.41274711489677401</v>
      </c>
      <c r="M11" s="9">
        <v>-0.223745286464691</v>
      </c>
      <c r="N11" s="9">
        <v>1.8716693142162497E-19</v>
      </c>
      <c r="O11" s="9">
        <v>4.3103276520715016E-2</v>
      </c>
      <c r="P11" s="9">
        <v>-7.4690080754788613E-2</v>
      </c>
      <c r="Q11" s="9">
        <v>0.37355148471268146</v>
      </c>
      <c r="R11" s="9">
        <v>-0.40667025930538769</v>
      </c>
      <c r="S11" s="9">
        <v>-0.23468739707403749</v>
      </c>
      <c r="T11" s="7">
        <f t="shared" si="0"/>
        <v>8.9688366279006026E-4</v>
      </c>
      <c r="U11" s="7">
        <f t="shared" si="0"/>
        <v>1.3391326663353131E-3</v>
      </c>
      <c r="V11" s="7">
        <f t="shared" si="0"/>
        <v>2.8762151074092912E-3</v>
      </c>
      <c r="W11" s="7">
        <f t="shared" si="0"/>
        <v>8.5739705196299532E-2</v>
      </c>
      <c r="X11" s="7">
        <f t="shared" si="0"/>
        <v>6.0768555913863209E-3</v>
      </c>
      <c r="Y11" s="7">
        <f t="shared" si="0"/>
        <v>1.0942110609346495E-2</v>
      </c>
    </row>
    <row r="12" spans="1:25" x14ac:dyDescent="0.35">
      <c r="A12" s="11">
        <v>0.8</v>
      </c>
      <c r="B12" s="11">
        <v>0.18</v>
      </c>
      <c r="C12" s="11">
        <v>3.665</v>
      </c>
      <c r="D12" s="11">
        <v>0.78500000000000003</v>
      </c>
      <c r="E12" s="11">
        <v>1.4</v>
      </c>
      <c r="F12" s="11">
        <v>0</v>
      </c>
      <c r="G12" s="11">
        <v>0</v>
      </c>
      <c r="H12" s="9">
        <v>-5.51847275346518E-4</v>
      </c>
      <c r="I12" s="9">
        <v>6.6554106771945995E-2</v>
      </c>
      <c r="J12" s="9">
        <v>-0.119616024196148</v>
      </c>
      <c r="K12" s="9">
        <v>0.49095398187637301</v>
      </c>
      <c r="L12" s="9">
        <v>-0.47584062814712502</v>
      </c>
      <c r="M12" s="9">
        <v>-0.25870200991630599</v>
      </c>
      <c r="N12" s="9">
        <v>1.2036386268751209E-6</v>
      </c>
      <c r="O12" s="9">
        <v>8.9399932062302373E-2</v>
      </c>
      <c r="P12" s="9">
        <v>-0.15491874950194645</v>
      </c>
      <c r="Q12" s="9">
        <v>0.30071097328110813</v>
      </c>
      <c r="R12" s="9">
        <v>-0.64208764273527763</v>
      </c>
      <c r="S12" s="9">
        <v>-0.37053120336410833</v>
      </c>
      <c r="T12" s="7">
        <f t="shared" si="0"/>
        <v>5.5305091397339309E-4</v>
      </c>
      <c r="U12" s="7">
        <f t="shared" si="0"/>
        <v>2.2845825290356378E-2</v>
      </c>
      <c r="V12" s="7">
        <f t="shared" si="0"/>
        <v>3.5302725305798449E-2</v>
      </c>
      <c r="W12" s="7">
        <f t="shared" si="0"/>
        <v>0.19024300859526488</v>
      </c>
      <c r="X12" s="7">
        <f t="shared" si="0"/>
        <v>0.16624701458815261</v>
      </c>
      <c r="Y12" s="7">
        <f t="shared" si="0"/>
        <v>0.11182919344780234</v>
      </c>
    </row>
    <row r="13" spans="1:25" x14ac:dyDescent="0.35">
      <c r="A13" s="11">
        <v>0.4</v>
      </c>
      <c r="B13" s="11">
        <v>0.2</v>
      </c>
      <c r="C13" s="11">
        <v>3.665</v>
      </c>
      <c r="D13" s="11">
        <v>0.78500000000000003</v>
      </c>
      <c r="E13" s="11">
        <v>1.4</v>
      </c>
      <c r="F13" s="11">
        <v>0</v>
      </c>
      <c r="G13" s="11">
        <v>0</v>
      </c>
      <c r="H13" s="9">
        <v>-3.2309396192431499E-4</v>
      </c>
      <c r="I13" s="9">
        <v>3.5572569817304597E-2</v>
      </c>
      <c r="J13" s="9">
        <v>-6.1782382428646102E-2</v>
      </c>
      <c r="K13" s="9">
        <v>0.27096122503280601</v>
      </c>
      <c r="L13" s="9">
        <v>-0.21531303226947801</v>
      </c>
      <c r="M13" s="9">
        <v>-0.122712507843971</v>
      </c>
      <c r="N13" s="9">
        <v>6.9928762043557378E-7</v>
      </c>
      <c r="O13" s="9">
        <v>4.3721470402725268E-2</v>
      </c>
      <c r="P13" s="9">
        <v>-7.5764110263705053E-2</v>
      </c>
      <c r="Q13" s="9">
        <v>0.22876242578388267</v>
      </c>
      <c r="R13" s="9">
        <v>-0.28420140330096477</v>
      </c>
      <c r="S13" s="9">
        <v>-0.16400302585977991</v>
      </c>
      <c r="T13" s="7">
        <f t="shared" si="0"/>
        <v>3.2379324954475054E-4</v>
      </c>
      <c r="U13" s="7">
        <f t="shared" si="0"/>
        <v>8.1489005854206709E-3</v>
      </c>
      <c r="V13" s="7">
        <f t="shared" si="0"/>
        <v>1.3981727835058952E-2</v>
      </c>
      <c r="W13" s="7">
        <f t="shared" si="0"/>
        <v>4.2198799248923335E-2</v>
      </c>
      <c r="X13" s="7">
        <f t="shared" si="0"/>
        <v>6.8888371031486761E-2</v>
      </c>
      <c r="Y13" s="7">
        <f t="shared" si="0"/>
        <v>4.1290518015808908E-2</v>
      </c>
    </row>
    <row r="14" spans="1:25" x14ac:dyDescent="0.35">
      <c r="A14" s="11">
        <v>0.4</v>
      </c>
      <c r="B14" s="11">
        <v>0.1</v>
      </c>
      <c r="C14" s="11">
        <v>3.665</v>
      </c>
      <c r="D14" s="11">
        <v>1.571</v>
      </c>
      <c r="E14" s="11">
        <v>1.4</v>
      </c>
      <c r="F14" s="11">
        <v>0</v>
      </c>
      <c r="G14" s="11">
        <v>0</v>
      </c>
      <c r="H14" s="9">
        <v>-7.1692815981805303E-4</v>
      </c>
      <c r="I14" s="9">
        <v>3.56008112430573E-2</v>
      </c>
      <c r="J14" s="9">
        <v>-6.2020469456911101E-2</v>
      </c>
      <c r="K14" s="9">
        <v>-6.5964758396148699E-3</v>
      </c>
      <c r="L14" s="9">
        <v>-0.30639430880546598</v>
      </c>
      <c r="M14" s="9">
        <v>-0.17468151450157199</v>
      </c>
      <c r="N14" s="9">
        <v>2.4125491465279591E-7</v>
      </c>
      <c r="O14" s="9">
        <v>3.7964213610361938E-2</v>
      </c>
      <c r="P14" s="9">
        <v>-6.5785037238237767E-2</v>
      </c>
      <c r="Q14" s="9">
        <v>-1.8593307285752963E-2</v>
      </c>
      <c r="R14" s="9">
        <v>-0.34607329475309656</v>
      </c>
      <c r="S14" s="9">
        <v>-0.19971722330958672</v>
      </c>
      <c r="T14" s="7">
        <f t="shared" si="0"/>
        <v>7.1716941473270578E-4</v>
      </c>
      <c r="U14" s="7">
        <f t="shared" si="0"/>
        <v>2.3634023673046387E-3</v>
      </c>
      <c r="V14" s="7">
        <f t="shared" si="0"/>
        <v>3.7645677813266665E-3</v>
      </c>
      <c r="W14" s="7">
        <f t="shared" si="0"/>
        <v>1.1996831446138093E-2</v>
      </c>
      <c r="X14" s="7">
        <f t="shared" si="0"/>
        <v>3.9678985947630585E-2</v>
      </c>
      <c r="Y14" s="7">
        <f t="shared" si="0"/>
        <v>2.5035708808014728E-2</v>
      </c>
    </row>
    <row r="15" spans="1:25" x14ac:dyDescent="0.35">
      <c r="A15" s="11">
        <v>0.7</v>
      </c>
      <c r="B15" s="11">
        <v>0.1</v>
      </c>
      <c r="C15" s="11">
        <v>3.665</v>
      </c>
      <c r="D15" s="11">
        <v>1.571</v>
      </c>
      <c r="E15" s="11">
        <v>1.4</v>
      </c>
      <c r="F15" s="11">
        <v>0</v>
      </c>
      <c r="G15" s="11">
        <v>0</v>
      </c>
      <c r="H15" s="9">
        <v>-1.24058220535517E-3</v>
      </c>
      <c r="I15" s="9">
        <v>6.9012217223644298E-2</v>
      </c>
      <c r="J15" s="9">
        <v>-0.119697146117687</v>
      </c>
      <c r="K15" s="9">
        <v>-5.5351331830024698E-2</v>
      </c>
      <c r="L15" s="9">
        <v>-0.59383064508438099</v>
      </c>
      <c r="M15" s="9">
        <v>-0.33820247650146501</v>
      </c>
      <c r="N15" s="9">
        <v>4.2218866866541043E-7</v>
      </c>
      <c r="O15" s="9">
        <v>6.6185720157004357E-2</v>
      </c>
      <c r="P15" s="9">
        <v>-0.11468772637819548</v>
      </c>
      <c r="Q15" s="9">
        <v>-8.7528050226981916E-2</v>
      </c>
      <c r="R15" s="9">
        <v>-0.60152587898190224</v>
      </c>
      <c r="S15" s="9">
        <v>-0.34713793449513974</v>
      </c>
      <c r="T15" s="7">
        <f t="shared" si="0"/>
        <v>1.2410043940238355E-3</v>
      </c>
      <c r="U15" s="7">
        <f t="shared" si="0"/>
        <v>2.8264970666399408E-3</v>
      </c>
      <c r="V15" s="7">
        <f t="shared" si="0"/>
        <v>5.0094197394915246E-3</v>
      </c>
      <c r="W15" s="7">
        <f t="shared" si="0"/>
        <v>3.2176718396957217E-2</v>
      </c>
      <c r="X15" s="7">
        <f t="shared" si="0"/>
        <v>7.6952338975212475E-3</v>
      </c>
      <c r="Y15" s="7">
        <f t="shared" si="0"/>
        <v>8.9354579936747336E-3</v>
      </c>
    </row>
    <row r="16" spans="1:25" x14ac:dyDescent="0.35">
      <c r="A16" s="11">
        <v>0.4</v>
      </c>
      <c r="B16" s="11">
        <v>0.16</v>
      </c>
      <c r="C16" s="11">
        <v>3.665</v>
      </c>
      <c r="D16" s="11">
        <v>1.571</v>
      </c>
      <c r="E16" s="11">
        <v>0</v>
      </c>
      <c r="F16" s="11">
        <v>0</v>
      </c>
      <c r="G16" s="11">
        <v>0</v>
      </c>
      <c r="H16" s="9">
        <v>-7.1821291930973497E-4</v>
      </c>
      <c r="I16" s="9">
        <v>4.6037148684263202E-2</v>
      </c>
      <c r="J16" s="9">
        <v>-7.8464329242706299E-2</v>
      </c>
      <c r="K16" s="9">
        <v>-7.8753150999546107E-2</v>
      </c>
      <c r="L16" s="9">
        <v>-0.286407381296158</v>
      </c>
      <c r="M16" s="9">
        <v>-0.16520524024963401</v>
      </c>
      <c r="N16" s="9">
        <v>1.8257453636514674E-20</v>
      </c>
      <c r="O16" s="9">
        <v>4.9147830878093678E-2</v>
      </c>
      <c r="P16" s="9">
        <v>-8.5164185962599212E-2</v>
      </c>
      <c r="Q16" s="9">
        <v>-0.10654335382778821</v>
      </c>
      <c r="R16" s="9">
        <v>-0.33393255529013621</v>
      </c>
      <c r="S16" s="9">
        <v>-0.19271082752199162</v>
      </c>
      <c r="T16" s="7">
        <f t="shared" si="0"/>
        <v>7.1821291930973497E-4</v>
      </c>
      <c r="U16" s="7">
        <f t="shared" si="0"/>
        <v>3.110682193830476E-3</v>
      </c>
      <c r="V16" s="7">
        <f t="shared" si="0"/>
        <v>6.6998567198929132E-3</v>
      </c>
      <c r="W16" s="7">
        <f t="shared" si="0"/>
        <v>2.77902028282421E-2</v>
      </c>
      <c r="X16" s="7">
        <f t="shared" si="0"/>
        <v>4.7525173993978209E-2</v>
      </c>
      <c r="Y16" s="7">
        <f t="shared" si="0"/>
        <v>2.7505587272357607E-2</v>
      </c>
    </row>
    <row r="17" spans="1:25" x14ac:dyDescent="0.35">
      <c r="A17" s="11">
        <v>0.3</v>
      </c>
      <c r="B17" s="11">
        <v>0.18</v>
      </c>
      <c r="C17" s="11">
        <v>3.665</v>
      </c>
      <c r="D17" s="11">
        <v>1.571</v>
      </c>
      <c r="E17" s="11">
        <v>0</v>
      </c>
      <c r="F17" s="11">
        <v>0</v>
      </c>
      <c r="G17" s="11">
        <v>0</v>
      </c>
      <c r="H17" s="9">
        <v>-6.2177400104701497E-4</v>
      </c>
      <c r="I17" s="9">
        <v>3.2626789063215297E-2</v>
      </c>
      <c r="J17" s="9">
        <v>-5.72014674544334E-2</v>
      </c>
      <c r="K17" s="9">
        <v>-2.7179472148418399E-2</v>
      </c>
      <c r="L17" s="9">
        <v>-0.194883912801743</v>
      </c>
      <c r="M17" s="9">
        <v>-0.10984055697917899</v>
      </c>
      <c r="N17" s="9">
        <v>-1.5151261271874677E-18</v>
      </c>
      <c r="O17" s="9">
        <v>3.9953475653567001E-2</v>
      </c>
      <c r="P17" s="9">
        <v>-6.9232052963891302E-2</v>
      </c>
      <c r="Q17" s="9">
        <v>-7.6389789745158143E-2</v>
      </c>
      <c r="R17" s="9">
        <v>-0.25127153597897645</v>
      </c>
      <c r="S17" s="9">
        <v>-0.14500756174898422</v>
      </c>
      <c r="T17" s="7">
        <f t="shared" si="0"/>
        <v>6.2177400104701346E-4</v>
      </c>
      <c r="U17" s="7">
        <f t="shared" si="0"/>
        <v>7.3266865903517039E-3</v>
      </c>
      <c r="V17" s="7">
        <f t="shared" si="0"/>
        <v>1.2030585509457903E-2</v>
      </c>
      <c r="W17" s="7">
        <f t="shared" si="0"/>
        <v>4.9210317596739744E-2</v>
      </c>
      <c r="X17" s="7">
        <f t="shared" si="0"/>
        <v>5.6387623177233448E-2</v>
      </c>
      <c r="Y17" s="7">
        <f t="shared" si="0"/>
        <v>3.5167004769805221E-2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Z17"/>
  <sheetViews>
    <sheetView topLeftCell="L1" workbookViewId="0">
      <selection activeCell="R20" sqref="R20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-1.5595351578667801E-4</v>
      </c>
      <c r="I3" s="9">
        <f>'Proximal Validation (single)'!I3</f>
        <v>-3.4215424209833097E-2</v>
      </c>
      <c r="J3" s="9">
        <f>'Proximal Validation (single)'!J3</f>
        <v>-1.4112447388470199E-7</v>
      </c>
      <c r="K3" s="9">
        <f>'Proximal Validation (single)'!K3</f>
        <v>0.19788618385791801</v>
      </c>
      <c r="L3" s="9">
        <f>'Proximal Validation (single)'!L3</f>
        <v>-3.1988471746444702E-3</v>
      </c>
      <c r="M3" s="9">
        <f>'Proximal Validation (single)'!M3</f>
        <v>0.198836579918861</v>
      </c>
      <c r="N3" s="9">
        <v>0.28055118651852562</v>
      </c>
      <c r="O3" s="9">
        <v>8.4875748583369381E-2</v>
      </c>
      <c r="P3" s="9">
        <v>1.6328522227571671</v>
      </c>
      <c r="Q3" s="9">
        <v>0.72890269934621688</v>
      </c>
      <c r="R3" s="10">
        <v>1.0626078367867778E-6</v>
      </c>
      <c r="S3" s="8">
        <f>ABS(N3-A3)</f>
        <v>1.944881348147437E-2</v>
      </c>
      <c r="T3" s="8">
        <f t="shared" ref="T3:V3" si="0">ABS(O3-B3)</f>
        <v>4.8757485833693798E-3</v>
      </c>
      <c r="U3" s="8">
        <f t="shared" si="0"/>
        <v>6.1852222757167175E-2</v>
      </c>
      <c r="V3" s="8">
        <f t="shared" si="0"/>
        <v>5.6097300653783155E-2</v>
      </c>
      <c r="W3" s="9">
        <f>AVERAGE(S3:S17)</f>
        <v>4.8488639804697635E-2</v>
      </c>
      <c r="X3" s="9">
        <f t="shared" ref="X3:Z3" si="1">AVERAGE(T3:T17)</f>
        <v>1.1015563230021282E-2</v>
      </c>
      <c r="Y3" s="9">
        <f>AVERAGE(U3:U17)</f>
        <v>2.4026798296190914E-2</v>
      </c>
      <c r="Z3" s="9">
        <f t="shared" si="1"/>
        <v>9.6009574982339016E-2</v>
      </c>
    </row>
    <row r="4" spans="1:26" x14ac:dyDescent="0.3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-2.4353998014703401E-4</v>
      </c>
      <c r="I4" s="9">
        <f>'Proximal Validation (single)'!I4</f>
        <v>-5.8889582753181499E-2</v>
      </c>
      <c r="J4" s="9">
        <f>'Proximal Validation (single)'!J4</f>
        <v>-5.9254060033708797E-5</v>
      </c>
      <c r="K4" s="9">
        <f>'Proximal Validation (single)'!K4</f>
        <v>0.25050288438797003</v>
      </c>
      <c r="L4" s="9">
        <f>'Proximal Validation (single)'!L4</f>
        <v>9.8302215337753296E-4</v>
      </c>
      <c r="M4" s="9">
        <f>'Proximal Validation (single)'!M4</f>
        <v>0.25498384237289401</v>
      </c>
      <c r="N4" s="9">
        <v>0.3574485128840646</v>
      </c>
      <c r="O4" s="9">
        <v>0.15641593854294233</v>
      </c>
      <c r="P4" s="9">
        <v>1.567187282273599</v>
      </c>
      <c r="Q4" s="9">
        <v>0.65043614743977485</v>
      </c>
      <c r="R4" s="10">
        <v>1.3712067226468491E-7</v>
      </c>
      <c r="S4" s="8">
        <f t="shared" ref="S4:S17" si="2">ABS(N4-A4)</f>
        <v>4.2551487115935427E-2</v>
      </c>
      <c r="T4" s="8">
        <f t="shared" ref="T4:T17" si="3">ABS(O4-B4)</f>
        <v>1.6415938542942321E-2</v>
      </c>
      <c r="U4" s="8">
        <f t="shared" ref="U4:U17" si="4">ABS(P4-C4)</f>
        <v>3.8127177264009049E-3</v>
      </c>
      <c r="V4" s="8">
        <f t="shared" ref="V4:V17" si="5">ABS(Q4-D4)</f>
        <v>0.13456385256022518</v>
      </c>
      <c r="Y4">
        <f>DEGREES(Y3)</f>
        <v>1.3766341375838567</v>
      </c>
      <c r="Z4">
        <f>DEGREES(Z3)</f>
        <v>5.5009434393328407</v>
      </c>
    </row>
    <row r="5" spans="1:26" x14ac:dyDescent="0.3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2.2863354533910799E-3</v>
      </c>
      <c r="I5" s="9">
        <f>'Proximal Validation (single)'!I5</f>
        <v>-0.11987078934907899</v>
      </c>
      <c r="J5" s="9">
        <f>'Proximal Validation (single)'!J5</f>
        <v>-6.9630080834031096E-3</v>
      </c>
      <c r="K5" s="9">
        <f>'Proximal Validation (single)'!K5</f>
        <v>0.31022596359252902</v>
      </c>
      <c r="L5" s="9">
        <f>'Proximal Validation (single)'!L5</f>
        <v>-2.3233078420162201E-2</v>
      </c>
      <c r="M5" s="9">
        <f>'Proximal Validation (single)'!M5</f>
        <v>0.50102174282073997</v>
      </c>
      <c r="N5" s="9">
        <v>0.58977669997253779</v>
      </c>
      <c r="O5" s="9">
        <v>0.18410970099299045</v>
      </c>
      <c r="P5" s="9">
        <v>1.7144404369858413</v>
      </c>
      <c r="Q5" s="9">
        <v>0.63000993530533678</v>
      </c>
      <c r="R5" s="10">
        <v>1.9654298296663066E-6</v>
      </c>
      <c r="S5" s="8">
        <f t="shared" si="2"/>
        <v>1.022330002746219E-2</v>
      </c>
      <c r="T5" s="8">
        <f t="shared" si="3"/>
        <v>2.4109700992990452E-2</v>
      </c>
      <c r="U5" s="8">
        <f t="shared" si="4"/>
        <v>0.1434404369858413</v>
      </c>
      <c r="V5" s="8">
        <f t="shared" si="5"/>
        <v>0.15499006469466325</v>
      </c>
    </row>
    <row r="6" spans="1:26" x14ac:dyDescent="0.3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6.5225898288190397E-4</v>
      </c>
      <c r="I6" s="9">
        <f>'Proximal Validation (single)'!I6</f>
        <v>-6.1197262257337598E-2</v>
      </c>
      <c r="J6" s="9">
        <f>'Proximal Validation (single)'!J6</f>
        <v>-8.9818926062434901E-4</v>
      </c>
      <c r="K6" s="9">
        <f>'Proximal Validation (single)'!K6</f>
        <v>-1.97219010442495E-3</v>
      </c>
      <c r="L6" s="9">
        <f>'Proximal Validation (single)'!L6</f>
        <v>-5.79428672790527E-3</v>
      </c>
      <c r="M6" s="9">
        <f>'Proximal Validation (single)'!M6</f>
        <v>0.38675421476364102</v>
      </c>
      <c r="N6" s="9">
        <v>0.3868027480963756</v>
      </c>
      <c r="O6" s="9">
        <v>6.8412598716534212E-2</v>
      </c>
      <c r="P6" s="9">
        <v>1.5870359342672908</v>
      </c>
      <c r="Q6" s="9">
        <v>1.5093066506879524</v>
      </c>
      <c r="R6" s="10">
        <v>3.4747942952666224E-8</v>
      </c>
      <c r="S6" s="8">
        <f t="shared" si="2"/>
        <v>1.3197251903624418E-2</v>
      </c>
      <c r="T6" s="8">
        <f t="shared" si="3"/>
        <v>8.4125987165342142E-3</v>
      </c>
      <c r="U6" s="8">
        <f t="shared" si="4"/>
        <v>1.6035934267290886E-2</v>
      </c>
      <c r="V6" s="8">
        <f t="shared" si="5"/>
        <v>6.1693349312047507E-2</v>
      </c>
    </row>
    <row r="7" spans="1:26" x14ac:dyDescent="0.3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-4.06092498451471E-4</v>
      </c>
      <c r="I7" s="9">
        <f>'Proximal Validation (single)'!I7</f>
        <v>-0.15244589745998399</v>
      </c>
      <c r="J7" s="9">
        <f>'Proximal Validation (single)'!J7</f>
        <v>-1.21209200005978E-3</v>
      </c>
      <c r="K7" s="9">
        <f>'Proximal Validation (single)'!K7</f>
        <v>-0.117412149906158</v>
      </c>
      <c r="L7" s="9">
        <f>'Proximal Validation (single)'!L7</f>
        <v>-2.6462823152542101E-3</v>
      </c>
      <c r="M7" s="9">
        <f>'Proximal Validation (single)'!M7</f>
        <v>0.85134243965148904</v>
      </c>
      <c r="N7" s="9">
        <v>0.85940664760897434</v>
      </c>
      <c r="O7" s="9">
        <v>8.8386432456098146E-2</v>
      </c>
      <c r="P7" s="9">
        <v>1.5740551321987364</v>
      </c>
      <c r="Q7" s="9">
        <v>1.5324402945857218</v>
      </c>
      <c r="R7" s="10">
        <v>6.9296369737623202E-7</v>
      </c>
      <c r="S7" s="8">
        <f t="shared" si="2"/>
        <v>5.9406647608974295E-2</v>
      </c>
      <c r="T7" s="8">
        <f t="shared" si="3"/>
        <v>8.3864324560981446E-3</v>
      </c>
      <c r="U7" s="8">
        <f t="shared" si="4"/>
        <v>3.0551321987364322E-3</v>
      </c>
      <c r="V7" s="8">
        <f t="shared" si="5"/>
        <v>3.8559705414278111E-2</v>
      </c>
    </row>
    <row r="8" spans="1:26" x14ac:dyDescent="0.3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5.05214463919401E-3</v>
      </c>
      <c r="I8" s="9">
        <f>'Proximal Validation (single)'!I8</f>
        <v>-0.157537400722504</v>
      </c>
      <c r="J8" s="9">
        <f>'Proximal Validation (single)'!J8</f>
        <v>-6.2086973339319203E-3</v>
      </c>
      <c r="K8" s="9">
        <f>'Proximal Validation (single)'!K8</f>
        <v>-0.29486876726150502</v>
      </c>
      <c r="L8" s="9">
        <f>'Proximal Validation (single)'!L8</f>
        <v>-2.80796959996223E-2</v>
      </c>
      <c r="M8" s="9">
        <f>'Proximal Validation (single)'!M8</f>
        <v>0.56537818908691395</v>
      </c>
      <c r="N8" s="9">
        <v>0.63827496761084812</v>
      </c>
      <c r="O8" s="9">
        <v>0.17068497865453902</v>
      </c>
      <c r="P8" s="9">
        <v>1.6070043900824871</v>
      </c>
      <c r="Q8" s="9">
        <v>1.5159745879650985</v>
      </c>
      <c r="R8" s="10">
        <v>8.0174127841021775E-7</v>
      </c>
      <c r="S8" s="8">
        <f t="shared" si="2"/>
        <v>6.1725032389151835E-2</v>
      </c>
      <c r="T8" s="8">
        <f t="shared" si="3"/>
        <v>1.0684978654539018E-2</v>
      </c>
      <c r="U8" s="8">
        <f t="shared" si="4"/>
        <v>3.6004390082487125E-2</v>
      </c>
      <c r="V8" s="8">
        <f t="shared" si="5"/>
        <v>5.5025412034901411E-2</v>
      </c>
    </row>
    <row r="9" spans="1:26" x14ac:dyDescent="0.3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3.71134956367314E-5</v>
      </c>
      <c r="I9" s="9">
        <f>'Proximal Validation (single)'!I9</f>
        <v>-0.19372102618217499</v>
      </c>
      <c r="J9" s="9">
        <f>'Proximal Validation (single)'!J9</f>
        <v>-2.1289892029017201E-3</v>
      </c>
      <c r="K9" s="9">
        <f>'Proximal Validation (single)'!K9</f>
        <v>-0.41201990842819203</v>
      </c>
      <c r="L9" s="9">
        <f>'Proximal Validation (single)'!L9</f>
        <v>-1.1864490807056401E-3</v>
      </c>
      <c r="M9" s="9">
        <f>'Proximal Validation (single)'!M9</f>
        <v>0.55889892578125</v>
      </c>
      <c r="N9" s="9">
        <v>0.69709307531504816</v>
      </c>
      <c r="O9" s="9">
        <v>0.2</v>
      </c>
      <c r="P9" s="9">
        <v>1.573821515931517</v>
      </c>
      <c r="Q9" s="9">
        <v>1.4951910216088047</v>
      </c>
      <c r="R9" s="10">
        <v>1.1399899057797495E-4</v>
      </c>
      <c r="S9" s="8">
        <f t="shared" si="2"/>
        <v>2.9069246849517949E-3</v>
      </c>
      <c r="T9" s="8">
        <f t="shared" si="3"/>
        <v>0</v>
      </c>
      <c r="U9" s="8">
        <f t="shared" si="4"/>
        <v>2.8215159315170268E-3</v>
      </c>
      <c r="V9" s="8">
        <f t="shared" si="5"/>
        <v>7.580897839119527E-2</v>
      </c>
    </row>
    <row r="10" spans="1:26" x14ac:dyDescent="0.3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-8.9350854977965398E-4</v>
      </c>
      <c r="I10" s="9">
        <f>'Proximal Validation (single)'!I10</f>
        <v>4.2732272297143901E-2</v>
      </c>
      <c r="J10" s="9">
        <f>'Proximal Validation (single)'!J10</f>
        <v>-7.74873793125153E-2</v>
      </c>
      <c r="K10" s="9">
        <f>'Proximal Validation (single)'!K10</f>
        <v>0.62493914365768399</v>
      </c>
      <c r="L10" s="9">
        <f>'Proximal Validation (single)'!L10</f>
        <v>-0.52349442243576105</v>
      </c>
      <c r="M10" s="9">
        <f>'Proximal Validation (single)'!M10</f>
        <v>-0.28826642036437999</v>
      </c>
      <c r="N10" s="9">
        <v>0.86469282101075984</v>
      </c>
      <c r="O10" s="9">
        <v>6.0503370555241472E-2</v>
      </c>
      <c r="P10" s="9">
        <v>3.6449543757367557</v>
      </c>
      <c r="Q10" s="9">
        <v>0.70865228389788626</v>
      </c>
      <c r="R10" s="10">
        <v>8.0135961586390087E-7</v>
      </c>
      <c r="S10" s="8">
        <f t="shared" si="2"/>
        <v>0.16469282101075988</v>
      </c>
      <c r="T10" s="8">
        <f t="shared" si="3"/>
        <v>5.0337055524147384E-4</v>
      </c>
      <c r="U10" s="8">
        <f t="shared" si="4"/>
        <v>2.0045624263244299E-2</v>
      </c>
      <c r="V10" s="8">
        <f t="shared" si="5"/>
        <v>7.6347716102113772E-2</v>
      </c>
    </row>
    <row r="11" spans="1:26" x14ac:dyDescent="0.3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-8.9688366279006004E-4</v>
      </c>
      <c r="I11" s="9">
        <f>'Proximal Validation (single)'!I11</f>
        <v>4.1764143854379703E-2</v>
      </c>
      <c r="J11" s="9">
        <f>'Proximal Validation (single)'!J11</f>
        <v>-7.7566295862197904E-2</v>
      </c>
      <c r="K11" s="9">
        <f>'Proximal Validation (single)'!K11</f>
        <v>0.45929118990898099</v>
      </c>
      <c r="L11" s="9">
        <f>'Proximal Validation (single)'!L11</f>
        <v>-0.41274711489677401</v>
      </c>
      <c r="M11" s="9">
        <f>'Proximal Validation (single)'!M11</f>
        <v>-0.223745286464691</v>
      </c>
      <c r="N11" s="9">
        <v>0.65678838086217695</v>
      </c>
      <c r="O11" s="9">
        <v>0.10680021979597572</v>
      </c>
      <c r="P11" s="9">
        <v>3.6382448942684209</v>
      </c>
      <c r="Q11" s="9">
        <v>0.67026340181408561</v>
      </c>
      <c r="R11" s="10">
        <v>8.644570352571062E-7</v>
      </c>
      <c r="S11" s="8">
        <f t="shared" si="2"/>
        <v>5.6788380862176968E-2</v>
      </c>
      <c r="T11" s="8">
        <f t="shared" si="3"/>
        <v>6.8002197959757121E-3</v>
      </c>
      <c r="U11" s="8">
        <f t="shared" si="4"/>
        <v>2.6755105731579132E-2</v>
      </c>
      <c r="V11" s="8">
        <f t="shared" si="5"/>
        <v>0.11473659818591442</v>
      </c>
    </row>
    <row r="12" spans="1:26" x14ac:dyDescent="0.3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-5.51847275346518E-4</v>
      </c>
      <c r="I12" s="9">
        <f>'Proximal Validation (single)'!I12</f>
        <v>6.6554106771945995E-2</v>
      </c>
      <c r="J12" s="9">
        <f>'Proximal Validation (single)'!J12</f>
        <v>-0.119616024196148</v>
      </c>
      <c r="K12" s="9">
        <f>'Proximal Validation (single)'!K12</f>
        <v>0.49095398187637301</v>
      </c>
      <c r="L12" s="9">
        <f>'Proximal Validation (single)'!L12</f>
        <v>-0.47584062814712502</v>
      </c>
      <c r="M12" s="9">
        <f>'Proximal Validation (single)'!M12</f>
        <v>-0.25870200991630599</v>
      </c>
      <c r="N12" s="9">
        <v>0.73168297035630525</v>
      </c>
      <c r="O12" s="9">
        <v>0.2</v>
      </c>
      <c r="P12" s="9">
        <v>3.6434809899798251</v>
      </c>
      <c r="Q12" s="9">
        <v>0.54520489897621083</v>
      </c>
      <c r="R12" s="10">
        <v>2.2333612238117996E-5</v>
      </c>
      <c r="S12" s="8">
        <f t="shared" si="2"/>
        <v>6.8317029643694793E-2</v>
      </c>
      <c r="T12" s="8">
        <f t="shared" si="3"/>
        <v>2.0000000000000018E-2</v>
      </c>
      <c r="U12" s="8">
        <f t="shared" si="4"/>
        <v>2.1519010020174978E-2</v>
      </c>
      <c r="V12" s="8">
        <f t="shared" si="5"/>
        <v>0.2397951010237892</v>
      </c>
    </row>
    <row r="13" spans="1:26" x14ac:dyDescent="0.3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-3.2309396192431499E-4</v>
      </c>
      <c r="I13" s="9">
        <f>'Proximal Validation (single)'!I13</f>
        <v>3.5572569817304597E-2</v>
      </c>
      <c r="J13" s="9">
        <f>'Proximal Validation (single)'!J13</f>
        <v>-6.1782382428646102E-2</v>
      </c>
      <c r="K13" s="9">
        <f>'Proximal Validation (single)'!K13</f>
        <v>0.27096122503280601</v>
      </c>
      <c r="L13" s="9">
        <f>'Proximal Validation (single)'!L13</f>
        <v>-0.21531303226947801</v>
      </c>
      <c r="M13" s="9">
        <f>'Proximal Validation (single)'!M13</f>
        <v>-0.122712507843971</v>
      </c>
      <c r="N13" s="9">
        <v>0.36797288682754165</v>
      </c>
      <c r="O13" s="9">
        <v>0.2</v>
      </c>
      <c r="P13" s="9">
        <v>3.660603377240859</v>
      </c>
      <c r="Q13" s="9">
        <v>0.63571464197117988</v>
      </c>
      <c r="R13" s="10">
        <v>2.4420755865426456E-5</v>
      </c>
      <c r="S13" s="8">
        <f t="shared" si="2"/>
        <v>3.2027113172458377E-2</v>
      </c>
      <c r="T13" s="8">
        <f t="shared" si="3"/>
        <v>0</v>
      </c>
      <c r="U13" s="8">
        <f t="shared" si="4"/>
        <v>4.396622759140989E-3</v>
      </c>
      <c r="V13" s="8">
        <f t="shared" si="5"/>
        <v>0.14928535802882015</v>
      </c>
    </row>
    <row r="14" spans="1:26" x14ac:dyDescent="0.3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-7.1692815981805303E-4</v>
      </c>
      <c r="I14" s="9">
        <f>'Proximal Validation (single)'!I14</f>
        <v>3.56008112430573E-2</v>
      </c>
      <c r="J14" s="9">
        <f>'Proximal Validation (single)'!J14</f>
        <v>-6.2020469456911101E-2</v>
      </c>
      <c r="K14" s="9">
        <f>'Proximal Validation (single)'!K14</f>
        <v>-6.5964758396148699E-3</v>
      </c>
      <c r="L14" s="9">
        <f>'Proximal Validation (single)'!L14</f>
        <v>-0.30639430880546598</v>
      </c>
      <c r="M14" s="9">
        <f>'Proximal Validation (single)'!M14</f>
        <v>-0.17468151450157199</v>
      </c>
      <c r="N14" s="9">
        <v>0.35275373163033857</v>
      </c>
      <c r="O14" s="9">
        <v>0.11275990575808778</v>
      </c>
      <c r="P14" s="9">
        <v>3.6598845384345662</v>
      </c>
      <c r="Q14" s="9">
        <v>1.5375106687730409</v>
      </c>
      <c r="R14" s="10">
        <v>5.6655765292129192E-7</v>
      </c>
      <c r="S14" s="8">
        <f t="shared" si="2"/>
        <v>4.7246268369661448E-2</v>
      </c>
      <c r="T14" s="8">
        <f t="shared" si="3"/>
        <v>1.2759905758087775E-2</v>
      </c>
      <c r="U14" s="8">
        <f t="shared" si="4"/>
        <v>5.1154615654338542E-3</v>
      </c>
      <c r="V14" s="8">
        <f t="shared" si="5"/>
        <v>3.3489331226959074E-2</v>
      </c>
    </row>
    <row r="15" spans="1:26" x14ac:dyDescent="0.3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-1.24058220535517E-3</v>
      </c>
      <c r="I15" s="9">
        <f>'Proximal Validation (single)'!I15</f>
        <v>6.9012217223644298E-2</v>
      </c>
      <c r="J15" s="9">
        <f>'Proximal Validation (single)'!J15</f>
        <v>-0.119697146117687</v>
      </c>
      <c r="K15" s="9">
        <f>'Proximal Validation (single)'!K15</f>
        <v>-5.5351331830024698E-2</v>
      </c>
      <c r="L15" s="9">
        <f>'Proximal Validation (single)'!L15</f>
        <v>-0.59383064508438099</v>
      </c>
      <c r="M15" s="9">
        <f>'Proximal Validation (single)'!M15</f>
        <v>-0.33820247650146501</v>
      </c>
      <c r="N15" s="9">
        <v>0.68562412450097743</v>
      </c>
      <c r="O15" s="9">
        <v>0.11198196548298743</v>
      </c>
      <c r="P15" s="9">
        <v>3.6595324535099754</v>
      </c>
      <c r="Q15" s="9">
        <v>1.4909781628140411</v>
      </c>
      <c r="R15" s="10">
        <v>2.0903459241015125E-6</v>
      </c>
      <c r="S15" s="8">
        <f t="shared" si="2"/>
        <v>1.4375875499022528E-2</v>
      </c>
      <c r="T15" s="8">
        <f t="shared" si="3"/>
        <v>1.1981965482987425E-2</v>
      </c>
      <c r="U15" s="8">
        <f t="shared" si="4"/>
        <v>5.4675464900246773E-3</v>
      </c>
      <c r="V15" s="8">
        <f t="shared" si="5"/>
        <v>8.0021837185958899E-2</v>
      </c>
    </row>
    <row r="16" spans="1:26" x14ac:dyDescent="0.3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-7.1821291930973497E-4</v>
      </c>
      <c r="I16" s="9">
        <f>'Proximal Validation (single)'!I16</f>
        <v>4.6037148684263202E-2</v>
      </c>
      <c r="J16" s="9">
        <f>'Proximal Validation (single)'!J16</f>
        <v>-7.8464329242706299E-2</v>
      </c>
      <c r="K16" s="9">
        <f>'Proximal Validation (single)'!K16</f>
        <v>-7.8753150999546107E-2</v>
      </c>
      <c r="L16" s="9">
        <f>'Proximal Validation (single)'!L16</f>
        <v>-0.286407381296158</v>
      </c>
      <c r="M16" s="9">
        <f>'Proximal Validation (single)'!M16</f>
        <v>-0.16520524024963401</v>
      </c>
      <c r="N16" s="9">
        <v>0.33988825278149076</v>
      </c>
      <c r="O16" s="9">
        <v>0.18030258891155329</v>
      </c>
      <c r="P16" s="9">
        <v>3.665313887653225</v>
      </c>
      <c r="Q16" s="9">
        <v>1.5119992896231549</v>
      </c>
      <c r="R16" s="10">
        <v>9.3741933612999135E-7</v>
      </c>
      <c r="S16" s="8">
        <f t="shared" si="2"/>
        <v>6.0111747218509259E-2</v>
      </c>
      <c r="T16" s="8">
        <f t="shared" si="3"/>
        <v>2.0302588911553288E-2</v>
      </c>
      <c r="U16" s="8">
        <f t="shared" si="4"/>
        <v>3.1388765322493128E-4</v>
      </c>
      <c r="V16" s="8">
        <f t="shared" si="5"/>
        <v>5.9000710376845067E-2</v>
      </c>
    </row>
    <row r="17" spans="1:22" x14ac:dyDescent="0.3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-6.2177400104701497E-4</v>
      </c>
      <c r="I17" s="9">
        <f>'Proximal Validation (single)'!I17</f>
        <v>3.2626789063215297E-2</v>
      </c>
      <c r="J17" s="9">
        <f>'Proximal Validation (single)'!J17</f>
        <v>-5.72014674544334E-2</v>
      </c>
      <c r="K17" s="9">
        <f>'Proximal Validation (single)'!K17</f>
        <v>-2.7179472148418399E-2</v>
      </c>
      <c r="L17" s="9">
        <f>'Proximal Validation (single)'!L17</f>
        <v>-0.194883912801743</v>
      </c>
      <c r="M17" s="9">
        <f>'Proximal Validation (single)'!M17</f>
        <v>-0.10984055697917899</v>
      </c>
      <c r="N17" s="9">
        <v>0.22568909591739308</v>
      </c>
      <c r="O17" s="9">
        <v>0.2</v>
      </c>
      <c r="P17" s="9">
        <v>3.6552336339894</v>
      </c>
      <c r="Q17" s="9">
        <v>1.4602716904564093</v>
      </c>
      <c r="R17" s="10">
        <v>2.0101246167230002E-6</v>
      </c>
      <c r="S17" s="8">
        <f t="shared" si="2"/>
        <v>7.4310904082606904E-2</v>
      </c>
      <c r="T17" s="8">
        <f t="shared" si="3"/>
        <v>2.0000000000000018E-2</v>
      </c>
      <c r="U17" s="8">
        <f t="shared" si="4"/>
        <v>9.7663660105999917E-3</v>
      </c>
      <c r="V17" s="8">
        <f t="shared" si="5"/>
        <v>0.1107283095435907</v>
      </c>
    </row>
  </sheetData>
  <mergeCells count="5">
    <mergeCell ref="W1:Y1"/>
    <mergeCell ref="A1:G1"/>
    <mergeCell ref="H1:M1"/>
    <mergeCell ref="S1:U1"/>
    <mergeCell ref="N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FA6D-FE6F-4AF3-8379-A44BC5ECB9FF}">
  <dimension ref="A1:Z152"/>
  <sheetViews>
    <sheetView topLeftCell="K1" workbookViewId="0">
      <selection activeCell="V13" sqref="V13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-1.5595351578667801E-4</v>
      </c>
      <c r="I3" s="9">
        <f>'Proximal Validation (single)'!I3</f>
        <v>-3.4215424209833097E-2</v>
      </c>
      <c r="J3" s="9">
        <f>'Proximal Validation (single)'!J3</f>
        <v>-1.4112447388470199E-7</v>
      </c>
      <c r="K3" s="9">
        <f>'Proximal Validation (single)'!K3</f>
        <v>0.19788618385791801</v>
      </c>
      <c r="L3" s="9">
        <f>'Proximal Validation (single)'!L3</f>
        <v>-3.1988471746444702E-3</v>
      </c>
      <c r="M3" s="9">
        <f>'Proximal Validation (single)'!M3</f>
        <v>0.198836579918861</v>
      </c>
      <c r="N3" s="9">
        <v>0.28590155317052995</v>
      </c>
      <c r="O3" s="9">
        <v>4.2255802749385146E-2</v>
      </c>
      <c r="P3" s="9">
        <v>1.6235910032984862</v>
      </c>
      <c r="Q3" s="9">
        <v>1.3517532447036</v>
      </c>
      <c r="R3" s="10">
        <v>4.9835906296899886E-5</v>
      </c>
      <c r="S3" s="8">
        <f>ABS(N3-A3)</f>
        <v>1.4098446829470035E-2</v>
      </c>
      <c r="T3" s="8">
        <f t="shared" ref="T3:V17" si="0">ABS(O3-B3)</f>
        <v>3.7744197250614855E-2</v>
      </c>
      <c r="U3" s="8">
        <f t="shared" si="0"/>
        <v>5.2591003298486205E-2</v>
      </c>
      <c r="V3" s="8">
        <f t="shared" si="0"/>
        <v>0.5667532447036</v>
      </c>
      <c r="W3" s="9">
        <f>AVERAGE(S3:S152)</f>
        <v>7.7202093004043598E-2</v>
      </c>
      <c r="X3" s="9">
        <f t="shared" ref="X3:Z3" si="1">AVERAGE(T3:T152)</f>
        <v>2.592065068886527E-2</v>
      </c>
      <c r="Y3" s="9">
        <f t="shared" si="1"/>
        <v>0.13434000111304781</v>
      </c>
      <c r="Z3" s="9">
        <f t="shared" si="1"/>
        <v>0.24967927917532109</v>
      </c>
    </row>
    <row r="4" spans="1:26" x14ac:dyDescent="0.3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-2.4353998014703401E-4</v>
      </c>
      <c r="I4" s="9">
        <f>'Proximal Validation (single)'!I4</f>
        <v>-5.8889582753181499E-2</v>
      </c>
      <c r="J4" s="9">
        <f>'Proximal Validation (single)'!J4</f>
        <v>-5.9254060033708797E-5</v>
      </c>
      <c r="K4" s="9">
        <f>'Proximal Validation (single)'!K4</f>
        <v>0.25050288438797003</v>
      </c>
      <c r="L4" s="9">
        <f>'Proximal Validation (single)'!L4</f>
        <v>9.8302215337753296E-4</v>
      </c>
      <c r="M4" s="9">
        <f>'Proximal Validation (single)'!M4</f>
        <v>0.25498384237289401</v>
      </c>
      <c r="N4" s="9">
        <v>0.40813464188365223</v>
      </c>
      <c r="O4" s="9">
        <v>0.12854581095422013</v>
      </c>
      <c r="P4" s="9">
        <v>1.2158697625981199</v>
      </c>
      <c r="Q4" s="9">
        <v>0.58165736677592084</v>
      </c>
      <c r="R4" s="10">
        <v>4.7974823191779763E-4</v>
      </c>
      <c r="S4" s="8">
        <f t="shared" ref="S4:S17" si="2">ABS(N4-A4)</f>
        <v>8.134641883652205E-3</v>
      </c>
      <c r="T4" s="8">
        <f t="shared" si="0"/>
        <v>1.1454189045779883E-2</v>
      </c>
      <c r="U4" s="8">
        <f t="shared" si="0"/>
        <v>0.3551302374018801</v>
      </c>
      <c r="V4" s="8">
        <f t="shared" si="0"/>
        <v>0.20334263322407919</v>
      </c>
      <c r="Y4">
        <f>DEGREES(Y3)</f>
        <v>7.697115083560421</v>
      </c>
      <c r="Z4">
        <f>DEGREES(Z3)</f>
        <v>14.305568928614525</v>
      </c>
    </row>
    <row r="5" spans="1:26" x14ac:dyDescent="0.3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2.2863354533910799E-3</v>
      </c>
      <c r="I5" s="9">
        <f>'Proximal Validation (single)'!I5</f>
        <v>-0.11987078934907899</v>
      </c>
      <c r="J5" s="9">
        <f>'Proximal Validation (single)'!J5</f>
        <v>-6.9630080834031096E-3</v>
      </c>
      <c r="K5" s="9">
        <f>'Proximal Validation (single)'!K5</f>
        <v>0.31022596359252902</v>
      </c>
      <c r="L5" s="9">
        <f>'Proximal Validation (single)'!L5</f>
        <v>-2.3233078420162201E-2</v>
      </c>
      <c r="M5" s="9">
        <f>'Proximal Validation (single)'!M5</f>
        <v>0.50102174282073997</v>
      </c>
      <c r="N5" s="9">
        <v>0.68688488786786517</v>
      </c>
      <c r="O5" s="9">
        <v>0.19999844316149726</v>
      </c>
      <c r="P5" s="9">
        <v>1.935027818210757</v>
      </c>
      <c r="Q5" s="9">
        <v>0.38071231546377371</v>
      </c>
      <c r="R5" s="10">
        <v>4.6307389252950087E-4</v>
      </c>
      <c r="S5" s="8">
        <f t="shared" si="2"/>
        <v>8.688488786786519E-2</v>
      </c>
      <c r="T5" s="8">
        <f t="shared" si="0"/>
        <v>3.9998443161497255E-2</v>
      </c>
      <c r="U5" s="8">
        <f t="shared" si="0"/>
        <v>0.36402781821075703</v>
      </c>
      <c r="V5" s="8">
        <f t="shared" si="0"/>
        <v>0.40428768453622632</v>
      </c>
    </row>
    <row r="6" spans="1:26" x14ac:dyDescent="0.3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6.5225898288190397E-4</v>
      </c>
      <c r="I6" s="9">
        <f>'Proximal Validation (single)'!I6</f>
        <v>-6.1197262257337598E-2</v>
      </c>
      <c r="J6" s="9">
        <f>'Proximal Validation (single)'!J6</f>
        <v>-8.9818926062434901E-4</v>
      </c>
      <c r="K6" s="9">
        <f>'Proximal Validation (single)'!K6</f>
        <v>-1.97219010442495E-3</v>
      </c>
      <c r="L6" s="9">
        <f>'Proximal Validation (single)'!L6</f>
        <v>-5.79428672790527E-3</v>
      </c>
      <c r="M6" s="9">
        <f>'Proximal Validation (single)'!M6</f>
        <v>0.38675421476364102</v>
      </c>
      <c r="N6" s="9">
        <v>0.41328859637356585</v>
      </c>
      <c r="O6" s="9">
        <v>5.9536599942171683E-2</v>
      </c>
      <c r="P6" s="9">
        <v>1.5155808024798438</v>
      </c>
      <c r="Q6" s="9">
        <v>1.5907136614367012</v>
      </c>
      <c r="R6" s="10">
        <v>9.7234201454065287E-5</v>
      </c>
      <c r="S6" s="8">
        <f t="shared" si="2"/>
        <v>1.3288596373565831E-2</v>
      </c>
      <c r="T6" s="8">
        <f t="shared" si="0"/>
        <v>4.6340005782831428E-4</v>
      </c>
      <c r="U6" s="8">
        <f t="shared" si="0"/>
        <v>5.5419197520156116E-2</v>
      </c>
      <c r="V6" s="8">
        <f t="shared" si="0"/>
        <v>1.971366143670128E-2</v>
      </c>
    </row>
    <row r="7" spans="1:26" x14ac:dyDescent="0.3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-4.06092498451471E-4</v>
      </c>
      <c r="I7" s="9">
        <f>'Proximal Validation (single)'!I7</f>
        <v>-0.15244589745998399</v>
      </c>
      <c r="J7" s="9">
        <f>'Proximal Validation (single)'!J7</f>
        <v>-1.21209200005978E-3</v>
      </c>
      <c r="K7" s="9">
        <f>'Proximal Validation (single)'!K7</f>
        <v>-0.117412149906158</v>
      </c>
      <c r="L7" s="9">
        <f>'Proximal Validation (single)'!L7</f>
        <v>-2.6462823152542101E-3</v>
      </c>
      <c r="M7" s="9">
        <f>'Proximal Validation (single)'!M7</f>
        <v>0.85134243965148904</v>
      </c>
      <c r="N7" s="9">
        <v>0.90069188892212959</v>
      </c>
      <c r="O7" s="9">
        <v>7.9000109544273736E-2</v>
      </c>
      <c r="P7" s="9">
        <v>1.5161789345150767</v>
      </c>
      <c r="Q7" s="9">
        <v>1.4183358086013913</v>
      </c>
      <c r="R7" s="10">
        <v>1.6431934346655737E-4</v>
      </c>
      <c r="S7" s="8">
        <f t="shared" si="2"/>
        <v>0.10069188892212955</v>
      </c>
      <c r="T7" s="8">
        <f t="shared" si="0"/>
        <v>9.9989045572626556E-4</v>
      </c>
      <c r="U7" s="8">
        <f t="shared" si="0"/>
        <v>5.482106548492327E-2</v>
      </c>
      <c r="V7" s="8">
        <f t="shared" si="0"/>
        <v>0.15266419139860865</v>
      </c>
    </row>
    <row r="8" spans="1:26" x14ac:dyDescent="0.3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5.05214463919401E-3</v>
      </c>
      <c r="I8" s="9">
        <f>'Proximal Validation (single)'!I8</f>
        <v>-0.157537400722504</v>
      </c>
      <c r="J8" s="9">
        <f>'Proximal Validation (single)'!J8</f>
        <v>-6.2086973339319203E-3</v>
      </c>
      <c r="K8" s="9">
        <f>'Proximal Validation (single)'!K8</f>
        <v>-0.29486876726150502</v>
      </c>
      <c r="L8" s="9">
        <f>'Proximal Validation (single)'!L8</f>
        <v>-2.80796959996223E-2</v>
      </c>
      <c r="M8" s="9">
        <f>'Proximal Validation (single)'!M8</f>
        <v>0.56537818908691395</v>
      </c>
      <c r="N8" s="9">
        <v>0.65101839661767313</v>
      </c>
      <c r="O8" s="9">
        <v>0.18389731309163379</v>
      </c>
      <c r="P8" s="9">
        <v>1.6527422543121517</v>
      </c>
      <c r="Q8" s="9">
        <v>1.5634544044738079</v>
      </c>
      <c r="R8" s="10">
        <v>8.7822801382425426E-5</v>
      </c>
      <c r="S8" s="8">
        <f t="shared" si="2"/>
        <v>4.8981603382326822E-2</v>
      </c>
      <c r="T8" s="8">
        <f t="shared" si="0"/>
        <v>2.3897313091633787E-2</v>
      </c>
      <c r="U8" s="8">
        <f t="shared" si="0"/>
        <v>8.1742254312151763E-2</v>
      </c>
      <c r="V8" s="8">
        <f t="shared" si="0"/>
        <v>7.5455955261920504E-3</v>
      </c>
    </row>
    <row r="9" spans="1:26" x14ac:dyDescent="0.3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3.71134956367314E-5</v>
      </c>
      <c r="I9" s="9">
        <f>'Proximal Validation (single)'!I9</f>
        <v>-0.19372102618217499</v>
      </c>
      <c r="J9" s="9">
        <f>'Proximal Validation (single)'!J9</f>
        <v>-2.1289892029017201E-3</v>
      </c>
      <c r="K9" s="9">
        <f>'Proximal Validation (single)'!K9</f>
        <v>-0.41201990842819203</v>
      </c>
      <c r="L9" s="9">
        <f>'Proximal Validation (single)'!L9</f>
        <v>-1.1864490807056401E-3</v>
      </c>
      <c r="M9" s="9">
        <f>'Proximal Validation (single)'!M9</f>
        <v>0.55889892578125</v>
      </c>
      <c r="N9" s="9">
        <v>0.80203239037576846</v>
      </c>
      <c r="O9" s="9">
        <v>0.19999999523153097</v>
      </c>
      <c r="P9" s="9">
        <v>1.5581688784284995</v>
      </c>
      <c r="Q9" s="9">
        <v>1.7860389929354905</v>
      </c>
      <c r="R9" s="10">
        <v>3.9082018072113429E-4</v>
      </c>
      <c r="S9" s="8">
        <f t="shared" si="2"/>
        <v>0.1020323903757685</v>
      </c>
      <c r="T9" s="8">
        <f t="shared" si="0"/>
        <v>4.7684690362981286E-9</v>
      </c>
      <c r="U9" s="8">
        <f t="shared" si="0"/>
        <v>1.2831121571500459E-2</v>
      </c>
      <c r="V9" s="8">
        <f t="shared" si="0"/>
        <v>0.21503899293549056</v>
      </c>
    </row>
    <row r="10" spans="1:26" x14ac:dyDescent="0.3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-8.9350854977965398E-4</v>
      </c>
      <c r="I10" s="9">
        <f>'Proximal Validation (single)'!I10</f>
        <v>4.2732272297143901E-2</v>
      </c>
      <c r="J10" s="9">
        <f>'Proximal Validation (single)'!J10</f>
        <v>-7.74873793125153E-2</v>
      </c>
      <c r="K10" s="9">
        <f>'Proximal Validation (single)'!K10</f>
        <v>0.62493914365768399</v>
      </c>
      <c r="L10" s="9">
        <f>'Proximal Validation (single)'!L10</f>
        <v>-0.52349442243576105</v>
      </c>
      <c r="M10" s="9">
        <f>'Proximal Validation (single)'!M10</f>
        <v>-0.28826642036437999</v>
      </c>
      <c r="N10" s="9">
        <v>0.93864432117368835</v>
      </c>
      <c r="O10" s="9">
        <v>3.4510887736501995E-2</v>
      </c>
      <c r="P10" s="9">
        <v>3.5710588730076798</v>
      </c>
      <c r="Q10" s="9">
        <v>0.79654731940341439</v>
      </c>
      <c r="R10" s="10">
        <v>1.573783173578195E-4</v>
      </c>
      <c r="S10" s="8">
        <f t="shared" si="2"/>
        <v>0.23864432117368839</v>
      </c>
      <c r="T10" s="8">
        <f t="shared" si="0"/>
        <v>2.5489112263498002E-2</v>
      </c>
      <c r="U10" s="8">
        <f t="shared" si="0"/>
        <v>9.3941126992320267E-2</v>
      </c>
      <c r="V10" s="8">
        <f t="shared" si="0"/>
        <v>1.1547319403414358E-2</v>
      </c>
    </row>
    <row r="11" spans="1:26" x14ac:dyDescent="0.3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-8.9688366279006004E-4</v>
      </c>
      <c r="I11" s="9">
        <f>'Proximal Validation (single)'!I11</f>
        <v>4.1764143854379703E-2</v>
      </c>
      <c r="J11" s="9">
        <f>'Proximal Validation (single)'!J11</f>
        <v>-7.7566295862197904E-2</v>
      </c>
      <c r="K11" s="9">
        <f>'Proximal Validation (single)'!K11</f>
        <v>0.45929118990898099</v>
      </c>
      <c r="L11" s="9">
        <f>'Proximal Validation (single)'!L11</f>
        <v>-0.41274711489677401</v>
      </c>
      <c r="M11" s="9">
        <f>'Proximal Validation (single)'!M11</f>
        <v>-0.223745286464691</v>
      </c>
      <c r="N11" s="9">
        <v>0.62810310868472707</v>
      </c>
      <c r="O11" s="9">
        <v>9.550379584906997E-2</v>
      </c>
      <c r="P11" s="9">
        <v>3.5087085492399779</v>
      </c>
      <c r="Q11" s="9">
        <v>0.83711701501782543</v>
      </c>
      <c r="R11" s="10">
        <v>1.0692229170328721E-4</v>
      </c>
      <c r="S11" s="8">
        <f t="shared" si="2"/>
        <v>2.8103108684727096E-2</v>
      </c>
      <c r="T11" s="8">
        <f t="shared" si="0"/>
        <v>4.496204150930036E-3</v>
      </c>
      <c r="U11" s="8">
        <f t="shared" si="0"/>
        <v>0.15629145076002215</v>
      </c>
      <c r="V11" s="8">
        <f t="shared" si="0"/>
        <v>5.2117015017825397E-2</v>
      </c>
    </row>
    <row r="12" spans="1:26" x14ac:dyDescent="0.3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-5.51847275346518E-4</v>
      </c>
      <c r="I12" s="9">
        <f>'Proximal Validation (single)'!I12</f>
        <v>6.6554106771945995E-2</v>
      </c>
      <c r="J12" s="9">
        <f>'Proximal Validation (single)'!J12</f>
        <v>-0.119616024196148</v>
      </c>
      <c r="K12" s="9">
        <f>'Proximal Validation (single)'!K12</f>
        <v>0.49095398187637301</v>
      </c>
      <c r="L12" s="9">
        <f>'Proximal Validation (single)'!L12</f>
        <v>-0.47584062814712502</v>
      </c>
      <c r="M12" s="9">
        <f>'Proximal Validation (single)'!M12</f>
        <v>-0.25870200991630599</v>
      </c>
      <c r="N12" s="9">
        <v>0.80973152764222045</v>
      </c>
      <c r="O12" s="9">
        <v>0.19999719868690499</v>
      </c>
      <c r="P12" s="9">
        <v>3.7168766867495395</v>
      </c>
      <c r="Q12" s="9">
        <v>0.46439383325574579</v>
      </c>
      <c r="R12" s="10">
        <v>1.2670358831831687E-4</v>
      </c>
      <c r="S12" s="8">
        <f t="shared" si="2"/>
        <v>9.7315276422204056E-3</v>
      </c>
      <c r="T12" s="8">
        <f t="shared" si="0"/>
        <v>1.9997198686904999E-2</v>
      </c>
      <c r="U12" s="8">
        <f t="shared" si="0"/>
        <v>5.1876686749539491E-2</v>
      </c>
      <c r="V12" s="8">
        <f t="shared" si="0"/>
        <v>0.32060616674425424</v>
      </c>
    </row>
    <row r="13" spans="1:26" x14ac:dyDescent="0.3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-3.2309396192431499E-4</v>
      </c>
      <c r="I13" s="9">
        <f>'Proximal Validation (single)'!I13</f>
        <v>3.5572569817304597E-2</v>
      </c>
      <c r="J13" s="9">
        <f>'Proximal Validation (single)'!J13</f>
        <v>-6.1782382428646102E-2</v>
      </c>
      <c r="K13" s="9">
        <f>'Proximal Validation (single)'!K13</f>
        <v>0.27096122503280601</v>
      </c>
      <c r="L13" s="9">
        <f>'Proximal Validation (single)'!L13</f>
        <v>-0.21531303226947801</v>
      </c>
      <c r="M13" s="9">
        <f>'Proximal Validation (single)'!M13</f>
        <v>-0.122712507843971</v>
      </c>
      <c r="N13" s="9">
        <v>0.38123091877231036</v>
      </c>
      <c r="O13" s="9">
        <v>0.19834828903458435</v>
      </c>
      <c r="P13" s="9">
        <v>3.6368544526076083</v>
      </c>
      <c r="Q13" s="9">
        <v>0.64209601652870518</v>
      </c>
      <c r="R13" s="10">
        <v>1.9402454644794494E-5</v>
      </c>
      <c r="S13" s="8">
        <f t="shared" si="2"/>
        <v>1.8769081227689666E-2</v>
      </c>
      <c r="T13" s="8">
        <f t="shared" si="0"/>
        <v>1.6517109654156648E-3</v>
      </c>
      <c r="U13" s="8">
        <f t="shared" si="0"/>
        <v>2.8145547392391723E-2</v>
      </c>
      <c r="V13" s="8">
        <f t="shared" si="0"/>
        <v>0.14290398347129485</v>
      </c>
    </row>
    <row r="14" spans="1:26" x14ac:dyDescent="0.3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-7.1692815981805303E-4</v>
      </c>
      <c r="I14" s="9">
        <f>'Proximal Validation (single)'!I14</f>
        <v>3.56008112430573E-2</v>
      </c>
      <c r="J14" s="9">
        <f>'Proximal Validation (single)'!J14</f>
        <v>-6.2020469456911101E-2</v>
      </c>
      <c r="K14" s="9">
        <f>'Proximal Validation (single)'!K14</f>
        <v>-6.5964758396148699E-3</v>
      </c>
      <c r="L14" s="9">
        <f>'Proximal Validation (single)'!L14</f>
        <v>-0.30639430880546598</v>
      </c>
      <c r="M14" s="9">
        <f>'Proximal Validation (single)'!M14</f>
        <v>-0.17468151450157199</v>
      </c>
      <c r="N14" s="9">
        <v>0.40329244740063847</v>
      </c>
      <c r="O14" s="9">
        <v>0.15488910207300119</v>
      </c>
      <c r="P14" s="9">
        <v>3.1261129111668953</v>
      </c>
      <c r="Q14" s="9">
        <v>2.4641150757837238</v>
      </c>
      <c r="R14" s="10">
        <v>9.3857709675522721E-4</v>
      </c>
      <c r="S14" s="8">
        <f t="shared" si="2"/>
        <v>3.292447400638443E-3</v>
      </c>
      <c r="T14" s="8">
        <f t="shared" si="0"/>
        <v>5.4889102073001184E-2</v>
      </c>
      <c r="U14" s="8">
        <f t="shared" si="0"/>
        <v>0.53888708883310477</v>
      </c>
      <c r="V14" s="8">
        <f t="shared" si="0"/>
        <v>0.89311507578372384</v>
      </c>
    </row>
    <row r="15" spans="1:26" x14ac:dyDescent="0.3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-1.24058220535517E-3</v>
      </c>
      <c r="I15" s="9">
        <f>'Proximal Validation (single)'!I15</f>
        <v>6.9012217223644298E-2</v>
      </c>
      <c r="J15" s="9">
        <f>'Proximal Validation (single)'!J15</f>
        <v>-0.119697146117687</v>
      </c>
      <c r="K15" s="9">
        <f>'Proximal Validation (single)'!K15</f>
        <v>-5.5351331830024698E-2</v>
      </c>
      <c r="L15" s="9">
        <f>'Proximal Validation (single)'!L15</f>
        <v>-0.59383064508438099</v>
      </c>
      <c r="M15" s="9">
        <f>'Proximal Validation (single)'!M15</f>
        <v>-0.33820247650146501</v>
      </c>
      <c r="N15" s="9">
        <v>0.67060932792196204</v>
      </c>
      <c r="O15" s="9">
        <v>0.11479312774029107</v>
      </c>
      <c r="P15" s="9">
        <v>3.6401318650390362</v>
      </c>
      <c r="Q15" s="9">
        <v>1.4099540568444102</v>
      </c>
      <c r="R15" s="10">
        <v>1.2083933423156113E-4</v>
      </c>
      <c r="S15" s="8">
        <f t="shared" si="2"/>
        <v>2.9390672078037916E-2</v>
      </c>
      <c r="T15" s="8">
        <f t="shared" si="0"/>
        <v>1.4793127740291068E-2</v>
      </c>
      <c r="U15" s="8">
        <f t="shared" si="0"/>
        <v>2.486813496096385E-2</v>
      </c>
      <c r="V15" s="8">
        <f t="shared" si="0"/>
        <v>0.16104594315558973</v>
      </c>
    </row>
    <row r="16" spans="1:26" x14ac:dyDescent="0.3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-7.1821291930973497E-4</v>
      </c>
      <c r="I16" s="9">
        <f>'Proximal Validation (single)'!I16</f>
        <v>4.6037148684263202E-2</v>
      </c>
      <c r="J16" s="9">
        <f>'Proximal Validation (single)'!J16</f>
        <v>-7.8464329242706299E-2</v>
      </c>
      <c r="K16" s="9">
        <f>'Proximal Validation (single)'!K16</f>
        <v>-7.8753150999546107E-2</v>
      </c>
      <c r="L16" s="9">
        <f>'Proximal Validation (single)'!L16</f>
        <v>-0.286407381296158</v>
      </c>
      <c r="M16" s="9">
        <f>'Proximal Validation (single)'!M16</f>
        <v>-0.16520524024963401</v>
      </c>
      <c r="N16" s="9">
        <v>0.53147656855821501</v>
      </c>
      <c r="O16" s="9">
        <v>9.9003903871846766E-2</v>
      </c>
      <c r="P16" s="9">
        <v>3.6678964728344705</v>
      </c>
      <c r="Q16" s="9">
        <v>1.913623926701564</v>
      </c>
      <c r="R16" s="10">
        <v>1.3360139928808121E-6</v>
      </c>
      <c r="S16" s="8">
        <f t="shared" si="2"/>
        <v>0.13147656855821499</v>
      </c>
      <c r="T16" s="8">
        <f t="shared" si="0"/>
        <v>6.0996096128153238E-2</v>
      </c>
      <c r="U16" s="8">
        <f t="shared" si="0"/>
        <v>2.896472834470476E-3</v>
      </c>
      <c r="V16" s="8">
        <f t="shared" si="0"/>
        <v>0.34262392670156405</v>
      </c>
    </row>
    <row r="17" spans="1:22" x14ac:dyDescent="0.3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-6.2177400104701497E-4</v>
      </c>
      <c r="I17" s="9">
        <f>'Proximal Validation (single)'!I17</f>
        <v>3.2626789063215297E-2</v>
      </c>
      <c r="J17" s="9">
        <f>'Proximal Validation (single)'!J17</f>
        <v>-5.72014674544334E-2</v>
      </c>
      <c r="K17" s="9">
        <f>'Proximal Validation (single)'!K17</f>
        <v>-2.7179472148418399E-2</v>
      </c>
      <c r="L17" s="9">
        <f>'Proximal Validation (single)'!L17</f>
        <v>-0.194883912801743</v>
      </c>
      <c r="M17" s="9">
        <f>'Proximal Validation (single)'!M17</f>
        <v>-0.10984055697917899</v>
      </c>
      <c r="N17" s="9">
        <v>0.20945414001011028</v>
      </c>
      <c r="O17" s="9">
        <v>0.19999188590421166</v>
      </c>
      <c r="P17" s="9">
        <v>3.8456225832011737</v>
      </c>
      <c r="Q17" s="9">
        <v>1.6960030522110643</v>
      </c>
      <c r="R17" s="10">
        <v>2.0699300170095642E-4</v>
      </c>
      <c r="S17" s="8">
        <f t="shared" si="2"/>
        <v>9.0545859989889704E-2</v>
      </c>
      <c r="T17" s="8">
        <f t="shared" si="0"/>
        <v>1.9991885904211665E-2</v>
      </c>
      <c r="U17" s="8">
        <f t="shared" si="0"/>
        <v>0.18062258320117364</v>
      </c>
      <c r="V17" s="8">
        <f t="shared" si="0"/>
        <v>0.12500305221106434</v>
      </c>
    </row>
    <row r="18" spans="1:22" x14ac:dyDescent="0.3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0.46912856405428538</v>
      </c>
      <c r="O18" s="9">
        <v>3.0919252231984624E-2</v>
      </c>
      <c r="P18" s="9">
        <v>1.7434344180986245</v>
      </c>
      <c r="Q18" s="9">
        <v>0.6078799441791275</v>
      </c>
      <c r="R18" s="10">
        <v>3.3825673701743835E-5</v>
      </c>
      <c r="S18" s="8">
        <f t="shared" ref="S18:S81" si="3">ABS(N18-A18)</f>
        <v>0.16912856405428539</v>
      </c>
      <c r="T18" s="8">
        <f t="shared" ref="T18:T81" si="4">ABS(O18-B18)</f>
        <v>4.9080747768015381E-2</v>
      </c>
      <c r="U18" s="8">
        <f t="shared" ref="U18:U81" si="5">ABS(P18-C18)</f>
        <v>0.17243441809862459</v>
      </c>
      <c r="V18" s="8">
        <f t="shared" ref="V18:V81" si="6">ABS(Q18-D18)</f>
        <v>0.17712005582087254</v>
      </c>
    </row>
    <row r="19" spans="1:22" x14ac:dyDescent="0.3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0.29939535326726052</v>
      </c>
      <c r="O19" s="9">
        <v>9.6386816378810428E-2</v>
      </c>
      <c r="P19" s="9">
        <v>1.8466290304684312</v>
      </c>
      <c r="Q19" s="9">
        <v>1.375706867921564</v>
      </c>
      <c r="R19" s="10">
        <v>3.3757659489056733E-4</v>
      </c>
      <c r="S19" s="8">
        <f t="shared" si="3"/>
        <v>0.1006046467327395</v>
      </c>
      <c r="T19" s="8">
        <f t="shared" si="4"/>
        <v>4.3613183621189586E-2</v>
      </c>
      <c r="U19" s="8">
        <f t="shared" si="5"/>
        <v>0.27562903046843124</v>
      </c>
      <c r="V19" s="8">
        <f t="shared" si="6"/>
        <v>0.59070686792156402</v>
      </c>
    </row>
    <row r="20" spans="1:22" x14ac:dyDescent="0.3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0.56206591683819285</v>
      </c>
      <c r="O20" s="9">
        <v>0.19993518696499168</v>
      </c>
      <c r="P20" s="9">
        <v>1.7174977092709283</v>
      </c>
      <c r="Q20" s="9">
        <v>0.54288017381348574</v>
      </c>
      <c r="R20" s="10">
        <v>2.3955523228178324E-4</v>
      </c>
      <c r="S20" s="8">
        <f t="shared" si="3"/>
        <v>3.7934083161807131E-2</v>
      </c>
      <c r="T20" s="8">
        <f t="shared" si="4"/>
        <v>3.9935186964991681E-2</v>
      </c>
      <c r="U20" s="8">
        <f t="shared" si="5"/>
        <v>0.14649770927092831</v>
      </c>
      <c r="V20" s="8">
        <f t="shared" si="6"/>
        <v>0.24211982618651429</v>
      </c>
    </row>
    <row r="21" spans="1:22" x14ac:dyDescent="0.3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0.40276071794475921</v>
      </c>
      <c r="O21" s="9">
        <v>7.3702874000770413E-2</v>
      </c>
      <c r="P21" s="9">
        <v>1.6677751538273706</v>
      </c>
      <c r="Q21" s="9">
        <v>1.1467485942195921</v>
      </c>
      <c r="R21" s="10">
        <v>1.1306536964641068E-4</v>
      </c>
      <c r="S21" s="8">
        <f t="shared" si="3"/>
        <v>2.7607179447591834E-3</v>
      </c>
      <c r="T21" s="8">
        <f t="shared" si="4"/>
        <v>1.3702874000770415E-2</v>
      </c>
      <c r="U21" s="8">
        <f t="shared" si="5"/>
        <v>9.6775153827370675E-2</v>
      </c>
      <c r="V21" s="8">
        <f t="shared" si="6"/>
        <v>0.42425140578040788</v>
      </c>
    </row>
    <row r="22" spans="1:22" x14ac:dyDescent="0.3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0.96529468914681416</v>
      </c>
      <c r="O22" s="9">
        <v>6.6034110090009451E-2</v>
      </c>
      <c r="P22" s="9">
        <v>1.5105084950890046</v>
      </c>
      <c r="Q22" s="9">
        <v>1.654337081704687</v>
      </c>
      <c r="R22" s="10">
        <v>1.251462477538012E-4</v>
      </c>
      <c r="S22" s="8">
        <f t="shared" si="3"/>
        <v>0.16529468914681411</v>
      </c>
      <c r="T22" s="8">
        <f t="shared" si="4"/>
        <v>1.396588990999055E-2</v>
      </c>
      <c r="U22" s="8">
        <f t="shared" si="5"/>
        <v>6.0491504910995308E-2</v>
      </c>
      <c r="V22" s="8">
        <f t="shared" si="6"/>
        <v>8.333708170468701E-2</v>
      </c>
    </row>
    <row r="23" spans="1:22" x14ac:dyDescent="0.3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0.57819699870931818</v>
      </c>
      <c r="O23" s="9">
        <v>0.19929315996598368</v>
      </c>
      <c r="P23" s="9">
        <v>1.5963450319327193</v>
      </c>
      <c r="Q23" s="9">
        <v>1.0495060518438675</v>
      </c>
      <c r="R23" s="10">
        <v>1.4894399417563809E-4</v>
      </c>
      <c r="S23" s="8">
        <f t="shared" si="3"/>
        <v>0.12180300129068178</v>
      </c>
      <c r="T23" s="8">
        <f t="shared" si="4"/>
        <v>3.9293159965983676E-2</v>
      </c>
      <c r="U23" s="8">
        <f t="shared" si="5"/>
        <v>2.5345031932719309E-2</v>
      </c>
      <c r="V23" s="8">
        <f t="shared" si="6"/>
        <v>0.52149394815613248</v>
      </c>
    </row>
    <row r="24" spans="1:22" x14ac:dyDescent="0.3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0.64146217116027604</v>
      </c>
      <c r="O24" s="9">
        <v>0.19999599688915731</v>
      </c>
      <c r="P24" s="9">
        <v>1.6668263503616627</v>
      </c>
      <c r="Q24" s="9">
        <v>1.6710684929464277</v>
      </c>
      <c r="R24" s="10">
        <v>1.5341971057576151E-3</v>
      </c>
      <c r="S24" s="8">
        <f t="shared" si="3"/>
        <v>5.8537828839723915E-2</v>
      </c>
      <c r="T24" s="8">
        <f t="shared" si="4"/>
        <v>4.003110842698554E-6</v>
      </c>
      <c r="U24" s="8">
        <f t="shared" si="5"/>
        <v>9.582635036166276E-2</v>
      </c>
      <c r="V24" s="8">
        <f t="shared" si="6"/>
        <v>0.10006849294642772</v>
      </c>
    </row>
    <row r="25" spans="1:22" x14ac:dyDescent="0.3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0.72251290790332656</v>
      </c>
      <c r="O25" s="9">
        <v>9.2935085202371079E-2</v>
      </c>
      <c r="P25" s="9">
        <v>3.7954940156167014</v>
      </c>
      <c r="Q25" s="9">
        <v>0.6992956037138135</v>
      </c>
      <c r="R25" s="10">
        <v>2.0111129169584748E-4</v>
      </c>
      <c r="S25" s="8">
        <f t="shared" si="3"/>
        <v>2.2512907903326607E-2</v>
      </c>
      <c r="T25" s="8">
        <f t="shared" si="4"/>
        <v>3.2935085202371081E-2</v>
      </c>
      <c r="U25" s="8">
        <f t="shared" si="5"/>
        <v>0.13049401561670138</v>
      </c>
      <c r="V25" s="8">
        <f t="shared" si="6"/>
        <v>8.5704396286186535E-2</v>
      </c>
    </row>
    <row r="26" spans="1:22" x14ac:dyDescent="0.3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0.70305048306821227</v>
      </c>
      <c r="O26" s="9">
        <v>0.11258190868720169</v>
      </c>
      <c r="P26" s="9">
        <v>3.528386993940833</v>
      </c>
      <c r="Q26" s="9">
        <v>0.56684713342996706</v>
      </c>
      <c r="R26" s="10">
        <v>1.7789096492429646E-4</v>
      </c>
      <c r="S26" s="8">
        <f t="shared" si="3"/>
        <v>0.1030504830682123</v>
      </c>
      <c r="T26" s="8">
        <f t="shared" si="4"/>
        <v>1.2581908687201687E-2</v>
      </c>
      <c r="U26" s="8">
        <f t="shared" si="5"/>
        <v>0.13661300605916704</v>
      </c>
      <c r="V26" s="8">
        <f t="shared" si="6"/>
        <v>0.21815286657003297</v>
      </c>
    </row>
    <row r="27" spans="1:22" x14ac:dyDescent="0.3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0.7500095324105388</v>
      </c>
      <c r="O27" s="9">
        <v>0.1563644626902593</v>
      </c>
      <c r="P27" s="9">
        <v>3.6127853783823656</v>
      </c>
      <c r="Q27" s="9">
        <v>0.71850035766697895</v>
      </c>
      <c r="R27" s="10">
        <v>2.1115083234337127E-4</v>
      </c>
      <c r="S27" s="8">
        <f t="shared" si="3"/>
        <v>4.999046758946124E-2</v>
      </c>
      <c r="T27" s="8">
        <f t="shared" si="4"/>
        <v>2.363553730974069E-2</v>
      </c>
      <c r="U27" s="8">
        <f t="shared" si="5"/>
        <v>5.221462161763446E-2</v>
      </c>
      <c r="V27" s="8">
        <f t="shared" si="6"/>
        <v>6.6499642333021081E-2</v>
      </c>
    </row>
    <row r="28" spans="1:22" x14ac:dyDescent="0.3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0.47437685656005102</v>
      </c>
      <c r="O28" s="9">
        <v>0.19999898289238865</v>
      </c>
      <c r="P28" s="9">
        <v>3.4342913523392573</v>
      </c>
      <c r="Q28" s="9">
        <v>0.37543589036351627</v>
      </c>
      <c r="R28" s="10">
        <v>4.4082832540766288E-4</v>
      </c>
      <c r="S28" s="8">
        <f t="shared" si="3"/>
        <v>7.4376856560050997E-2</v>
      </c>
      <c r="T28" s="8">
        <f t="shared" si="4"/>
        <v>1.017107611356316E-6</v>
      </c>
      <c r="U28" s="8">
        <f t="shared" si="5"/>
        <v>0.23070864766074273</v>
      </c>
      <c r="V28" s="8">
        <f t="shared" si="6"/>
        <v>0.40956410963648376</v>
      </c>
    </row>
    <row r="29" spans="1:22" x14ac:dyDescent="0.3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0.35959547080595317</v>
      </c>
      <c r="O29" s="9">
        <v>0.11637685961300193</v>
      </c>
      <c r="P29" s="9">
        <v>3.5755111013567418</v>
      </c>
      <c r="Q29" s="9">
        <v>1.418926546488837</v>
      </c>
      <c r="R29" s="10">
        <v>2.8522213717227325E-5</v>
      </c>
      <c r="S29" s="8">
        <f t="shared" si="3"/>
        <v>4.0404529194046856E-2</v>
      </c>
      <c r="T29" s="8">
        <f t="shared" si="4"/>
        <v>1.6376859613001921E-2</v>
      </c>
      <c r="U29" s="8">
        <f t="shared" si="5"/>
        <v>8.9488898643258263E-2</v>
      </c>
      <c r="V29" s="8">
        <f t="shared" si="6"/>
        <v>0.15207345351116297</v>
      </c>
    </row>
    <row r="30" spans="1:22" x14ac:dyDescent="0.3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0.70060333768666327</v>
      </c>
      <c r="O30" s="9">
        <v>0.11597437049704436</v>
      </c>
      <c r="P30" s="9">
        <v>3.7959503093200024</v>
      </c>
      <c r="Q30" s="9">
        <v>1.7492298898887515</v>
      </c>
      <c r="R30" s="10">
        <v>2.1692301986660619E-4</v>
      </c>
      <c r="S30" s="8">
        <f t="shared" si="3"/>
        <v>6.0333768666331888E-4</v>
      </c>
      <c r="T30" s="8">
        <f t="shared" si="4"/>
        <v>1.5974370497044352E-2</v>
      </c>
      <c r="U30" s="8">
        <f t="shared" si="5"/>
        <v>0.1309503093200024</v>
      </c>
      <c r="V30" s="8">
        <f t="shared" si="6"/>
        <v>0.17822988988875155</v>
      </c>
    </row>
    <row r="31" spans="1:22" x14ac:dyDescent="0.3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0.34963411689288393</v>
      </c>
      <c r="O31" s="9">
        <v>0.15721789012902426</v>
      </c>
      <c r="P31" s="9">
        <v>3.745965524405038</v>
      </c>
      <c r="Q31" s="9">
        <v>1.3112231257781122</v>
      </c>
      <c r="R31" s="10">
        <v>2.2764287571568604E-4</v>
      </c>
      <c r="S31" s="8">
        <f t="shared" si="3"/>
        <v>5.0365883107116094E-2</v>
      </c>
      <c r="T31" s="8">
        <f t="shared" si="4"/>
        <v>2.7821098709757408E-3</v>
      </c>
      <c r="U31" s="8">
        <f t="shared" si="5"/>
        <v>8.0965524405038014E-2</v>
      </c>
      <c r="V31" s="8">
        <f t="shared" si="6"/>
        <v>0.25977687422188778</v>
      </c>
    </row>
    <row r="32" spans="1:22" x14ac:dyDescent="0.3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0.3851197464204616</v>
      </c>
      <c r="O32" s="9">
        <v>9.7379357161009539E-2</v>
      </c>
      <c r="P32" s="9">
        <v>3.3235642327730361</v>
      </c>
      <c r="Q32" s="9">
        <v>1.8454043261634343</v>
      </c>
      <c r="R32" s="10">
        <v>4.4285895483230634E-4</v>
      </c>
      <c r="S32" s="8">
        <f t="shared" si="3"/>
        <v>8.5119746420461606E-2</v>
      </c>
      <c r="T32" s="8">
        <f t="shared" si="4"/>
        <v>8.2620642838990455E-2</v>
      </c>
      <c r="U32" s="8">
        <f t="shared" si="5"/>
        <v>0.34143576722696389</v>
      </c>
      <c r="V32" s="8">
        <f t="shared" si="6"/>
        <v>0.27440432616343435</v>
      </c>
    </row>
    <row r="33" spans="1:22" x14ac:dyDescent="0.3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0.28174111261285856</v>
      </c>
      <c r="O33" s="9">
        <v>6.5789086192104149E-2</v>
      </c>
      <c r="P33" s="9">
        <v>1.4079693381321143</v>
      </c>
      <c r="Q33" s="9">
        <v>0.7814699076009296</v>
      </c>
      <c r="R33" s="10">
        <v>1.5542021237183569E-5</v>
      </c>
      <c r="S33" s="8">
        <f t="shared" si="3"/>
        <v>1.8258887387141431E-2</v>
      </c>
      <c r="T33" s="8">
        <f t="shared" si="4"/>
        <v>1.4210913807895853E-2</v>
      </c>
      <c r="U33" s="8">
        <f t="shared" si="5"/>
        <v>0.16303066186788562</v>
      </c>
      <c r="V33" s="8">
        <f t="shared" si="6"/>
        <v>3.530092399070428E-3</v>
      </c>
    </row>
    <row r="34" spans="1:22" x14ac:dyDescent="0.3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0.57814276586931646</v>
      </c>
      <c r="O34" s="9">
        <v>0.19999907301890835</v>
      </c>
      <c r="P34" s="9">
        <v>1.8294495463752047</v>
      </c>
      <c r="Q34" s="9">
        <v>0.15910958528537522</v>
      </c>
      <c r="R34" s="10">
        <v>8.2664958518767907E-4</v>
      </c>
      <c r="S34" s="8">
        <f t="shared" si="3"/>
        <v>0.17814276586931643</v>
      </c>
      <c r="T34" s="8">
        <f t="shared" si="4"/>
        <v>5.9999073018908333E-2</v>
      </c>
      <c r="U34" s="8">
        <f t="shared" si="5"/>
        <v>0.25844954637520479</v>
      </c>
      <c r="V34" s="8">
        <f t="shared" si="6"/>
        <v>0.62589041471462481</v>
      </c>
    </row>
    <row r="35" spans="1:22" x14ac:dyDescent="0.3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0.51242613167652007</v>
      </c>
      <c r="O35" s="9">
        <v>0.14889922851312884</v>
      </c>
      <c r="P35" s="9">
        <v>1.816875977684713</v>
      </c>
      <c r="Q35" s="9">
        <v>1.1644277603889857</v>
      </c>
      <c r="R35" s="10">
        <v>6.0156898408016655E-4</v>
      </c>
      <c r="S35" s="8">
        <f t="shared" si="3"/>
        <v>8.7573868323479909E-2</v>
      </c>
      <c r="T35" s="8">
        <f t="shared" si="4"/>
        <v>1.1100771486871164E-2</v>
      </c>
      <c r="U35" s="8">
        <f t="shared" si="5"/>
        <v>0.24587597768471303</v>
      </c>
      <c r="V35" s="8">
        <f t="shared" si="6"/>
        <v>0.37942776038898562</v>
      </c>
    </row>
    <row r="36" spans="1:22" x14ac:dyDescent="0.3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0.50382454524798492</v>
      </c>
      <c r="O36" s="9">
        <v>2.6381438442045643E-2</v>
      </c>
      <c r="P36" s="9">
        <v>1.5621903993493587</v>
      </c>
      <c r="Q36" s="9">
        <v>1.5266523155820453</v>
      </c>
      <c r="R36" s="10">
        <v>8.850160538031863E-6</v>
      </c>
      <c r="S36" s="8">
        <f t="shared" si="3"/>
        <v>0.1038245452479849</v>
      </c>
      <c r="T36" s="8">
        <f t="shared" si="4"/>
        <v>3.3618561557954355E-2</v>
      </c>
      <c r="U36" s="8">
        <f t="shared" si="5"/>
        <v>8.8096006506412916E-3</v>
      </c>
      <c r="V36" s="8">
        <f t="shared" si="6"/>
        <v>4.4347684417954669E-2</v>
      </c>
    </row>
    <row r="37" spans="1:22" x14ac:dyDescent="0.3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0.88820897314986136</v>
      </c>
      <c r="O37" s="9">
        <v>8.1567414215368589E-2</v>
      </c>
      <c r="P37" s="9">
        <v>1.606178763257895</v>
      </c>
      <c r="Q37" s="9">
        <v>1.4127941440899023</v>
      </c>
      <c r="R37" s="10">
        <v>2.9430214784212024E-5</v>
      </c>
      <c r="S37" s="8">
        <f t="shared" si="3"/>
        <v>8.8208973149861314E-2</v>
      </c>
      <c r="T37" s="8">
        <f t="shared" si="4"/>
        <v>1.5674142153685872E-3</v>
      </c>
      <c r="U37" s="8">
        <f t="shared" si="5"/>
        <v>3.517876325789504E-2</v>
      </c>
      <c r="V37" s="8">
        <f t="shared" si="6"/>
        <v>0.15820585591009761</v>
      </c>
    </row>
    <row r="38" spans="1:22" x14ac:dyDescent="0.3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0.64064070124899586</v>
      </c>
      <c r="O38" s="9">
        <v>0.18382594503979624</v>
      </c>
      <c r="P38" s="9">
        <v>1.5025736918156358</v>
      </c>
      <c r="Q38" s="9">
        <v>1.5731794007649356</v>
      </c>
      <c r="R38" s="10">
        <v>5.0366492091692304E-4</v>
      </c>
      <c r="S38" s="8">
        <f t="shared" si="3"/>
        <v>5.9359298751004097E-2</v>
      </c>
      <c r="T38" s="8">
        <f t="shared" si="4"/>
        <v>2.3825945039796237E-2</v>
      </c>
      <c r="U38" s="8">
        <f t="shared" si="5"/>
        <v>6.8426308184364126E-2</v>
      </c>
      <c r="V38" s="8">
        <f t="shared" si="6"/>
        <v>2.1794007649356129E-3</v>
      </c>
    </row>
    <row r="39" spans="1:22" x14ac:dyDescent="0.3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0.57947842949182882</v>
      </c>
      <c r="O39" s="9">
        <v>0.19999881746413548</v>
      </c>
      <c r="P39" s="9">
        <v>1.5218018485477356</v>
      </c>
      <c r="Q39" s="9">
        <v>1.3461063866134526</v>
      </c>
      <c r="R39" s="10">
        <v>9.9410608817997485E-4</v>
      </c>
      <c r="S39" s="8">
        <f t="shared" si="3"/>
        <v>0.12052157050817114</v>
      </c>
      <c r="T39" s="8">
        <f t="shared" si="4"/>
        <v>1.1825358645356498E-6</v>
      </c>
      <c r="U39" s="8">
        <f t="shared" si="5"/>
        <v>4.919815145226436E-2</v>
      </c>
      <c r="V39" s="8">
        <f t="shared" si="6"/>
        <v>0.22489361338654734</v>
      </c>
    </row>
    <row r="40" spans="1:22" x14ac:dyDescent="0.3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0.85838612872690245</v>
      </c>
      <c r="O40" s="9">
        <v>5.0002378883728445E-2</v>
      </c>
      <c r="P40" s="9">
        <v>3.515632903566436</v>
      </c>
      <c r="Q40" s="9">
        <v>0.7675586146070662</v>
      </c>
      <c r="R40" s="10">
        <v>1.3969248441723976E-4</v>
      </c>
      <c r="S40" s="8">
        <f t="shared" si="3"/>
        <v>0.1583861287269025</v>
      </c>
      <c r="T40" s="8">
        <f t="shared" si="4"/>
        <v>9.9976211162715531E-3</v>
      </c>
      <c r="U40" s="8">
        <f t="shared" si="5"/>
        <v>0.14936709643356405</v>
      </c>
      <c r="V40" s="8">
        <f t="shared" si="6"/>
        <v>1.7441385392933828E-2</v>
      </c>
    </row>
    <row r="41" spans="1:22" x14ac:dyDescent="0.3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0.49120107102859512</v>
      </c>
      <c r="O41" s="9">
        <v>0.15891855333730731</v>
      </c>
      <c r="P41" s="9">
        <v>3.7224757613774133</v>
      </c>
      <c r="Q41" s="9">
        <v>0.6654614637341234</v>
      </c>
      <c r="R41" s="10">
        <v>1.0952156342679363E-4</v>
      </c>
      <c r="S41" s="8">
        <f t="shared" si="3"/>
        <v>0.10879892897140486</v>
      </c>
      <c r="T41" s="8">
        <f t="shared" si="4"/>
        <v>5.8918553337307306E-2</v>
      </c>
      <c r="U41" s="8">
        <f t="shared" si="5"/>
        <v>5.7475761377413281E-2</v>
      </c>
      <c r="V41" s="8">
        <f t="shared" si="6"/>
        <v>0.11953853626587663</v>
      </c>
    </row>
    <row r="42" spans="1:22" x14ac:dyDescent="0.3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0.81265730012707194</v>
      </c>
      <c r="O42" s="9">
        <v>0.15813760308103672</v>
      </c>
      <c r="P42" s="9">
        <v>3.7422297661334385</v>
      </c>
      <c r="Q42" s="9">
        <v>0.60112193654820822</v>
      </c>
      <c r="R42" s="10">
        <v>1.2125365903578688E-4</v>
      </c>
      <c r="S42" s="8">
        <f t="shared" si="3"/>
        <v>1.2657300127071891E-2</v>
      </c>
      <c r="T42" s="8">
        <f t="shared" si="4"/>
        <v>2.1862396918963273E-2</v>
      </c>
      <c r="U42" s="8">
        <f t="shared" si="5"/>
        <v>7.722976613343846E-2</v>
      </c>
      <c r="V42" s="8">
        <f t="shared" si="6"/>
        <v>0.18387806345179181</v>
      </c>
    </row>
    <row r="43" spans="1:22" x14ac:dyDescent="0.3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0.38334896924404954</v>
      </c>
      <c r="O43" s="9">
        <v>0.15430420890093469</v>
      </c>
      <c r="P43" s="9">
        <v>3.8012537508733377</v>
      </c>
      <c r="Q43" s="9">
        <v>0.84537668091997942</v>
      </c>
      <c r="R43" s="10">
        <v>3.1131493990121565E-4</v>
      </c>
      <c r="S43" s="8">
        <f t="shared" si="3"/>
        <v>1.665103075595048E-2</v>
      </c>
      <c r="T43" s="8">
        <f t="shared" si="4"/>
        <v>4.5695791099065325E-2</v>
      </c>
      <c r="U43" s="8">
        <f t="shared" si="5"/>
        <v>0.13625375087333769</v>
      </c>
      <c r="V43" s="8">
        <f t="shared" si="6"/>
        <v>6.0376680919979386E-2</v>
      </c>
    </row>
    <row r="44" spans="1:22" x14ac:dyDescent="0.3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0.33592440118757211</v>
      </c>
      <c r="O44" s="9">
        <v>0.16838578260395284</v>
      </c>
      <c r="P44" s="9">
        <v>3.7060497279700728</v>
      </c>
      <c r="Q44" s="9">
        <v>0.92382850329896704</v>
      </c>
      <c r="R44" s="10">
        <v>4.0878302160698671E-6</v>
      </c>
      <c r="S44" s="8">
        <f t="shared" si="3"/>
        <v>6.4075598812427914E-2</v>
      </c>
      <c r="T44" s="8">
        <f t="shared" si="4"/>
        <v>6.8385782603952838E-2</v>
      </c>
      <c r="U44" s="8">
        <f t="shared" si="5"/>
        <v>4.104972797007278E-2</v>
      </c>
      <c r="V44" s="8">
        <f t="shared" si="6"/>
        <v>0.64717149670103291</v>
      </c>
    </row>
    <row r="45" spans="1:22" x14ac:dyDescent="0.3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0.72485425185572638</v>
      </c>
      <c r="O45" s="9">
        <v>0.1034058881631682</v>
      </c>
      <c r="P45" s="9">
        <v>3.5244668004247957</v>
      </c>
      <c r="Q45" s="9">
        <v>1.4327724346679702</v>
      </c>
      <c r="R45" s="10">
        <v>5.481323554023935E-4</v>
      </c>
      <c r="S45" s="8">
        <f t="shared" si="3"/>
        <v>2.4854251855726428E-2</v>
      </c>
      <c r="T45" s="8">
        <f t="shared" si="4"/>
        <v>3.405888163168197E-3</v>
      </c>
      <c r="U45" s="8">
        <f t="shared" si="5"/>
        <v>0.14053319957520438</v>
      </c>
      <c r="V45" s="8">
        <f t="shared" si="6"/>
        <v>0.13822756533202973</v>
      </c>
    </row>
    <row r="46" spans="1:22" x14ac:dyDescent="0.3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0.40838595676798972</v>
      </c>
      <c r="O46" s="9">
        <v>0.16090843522054402</v>
      </c>
      <c r="P46" s="9">
        <v>3.7372360433037661</v>
      </c>
      <c r="Q46" s="9">
        <v>1.9567125791170046</v>
      </c>
      <c r="R46" s="10">
        <v>3.1416505314960887E-5</v>
      </c>
      <c r="S46" s="8">
        <f t="shared" si="3"/>
        <v>8.3859567679896996E-3</v>
      </c>
      <c r="T46" s="8">
        <f t="shared" si="4"/>
        <v>9.0843522054401271E-4</v>
      </c>
      <c r="U46" s="8">
        <f t="shared" si="5"/>
        <v>7.2236043303766095E-2</v>
      </c>
      <c r="V46" s="8">
        <f t="shared" si="6"/>
        <v>0.38571257911700463</v>
      </c>
    </row>
    <row r="47" spans="1:22" x14ac:dyDescent="0.3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0.32503018170558906</v>
      </c>
      <c r="O47" s="9">
        <v>4.874519189628207E-2</v>
      </c>
      <c r="P47" s="9">
        <v>4.4656581632750427</v>
      </c>
      <c r="Q47" s="9">
        <v>1.6212543630269487</v>
      </c>
      <c r="R47" s="10">
        <v>1.8958189593779834E-3</v>
      </c>
      <c r="S47" s="8">
        <f t="shared" si="3"/>
        <v>2.5030181705589072E-2</v>
      </c>
      <c r="T47" s="8">
        <f t="shared" si="4"/>
        <v>0.13125480810371792</v>
      </c>
      <c r="U47" s="8">
        <f t="shared" si="5"/>
        <v>0.80065816327504269</v>
      </c>
      <c r="V47" s="8">
        <f t="shared" si="6"/>
        <v>5.0254363026948745E-2</v>
      </c>
    </row>
    <row r="48" spans="1:22" x14ac:dyDescent="0.3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0.24595502548741635</v>
      </c>
      <c r="O48" s="9">
        <v>0.10679756811447694</v>
      </c>
      <c r="P48" s="9">
        <v>1.570846732041798</v>
      </c>
      <c r="Q48" s="9">
        <v>2.1053649151427369</v>
      </c>
      <c r="R48" s="10">
        <v>7.7931231272295414E-7</v>
      </c>
      <c r="S48" s="8">
        <f t="shared" si="3"/>
        <v>5.4044974512583638E-2</v>
      </c>
      <c r="T48" s="8">
        <f t="shared" si="4"/>
        <v>2.6797568114476936E-2</v>
      </c>
      <c r="U48" s="8">
        <f t="shared" si="5"/>
        <v>1.5326795820191919E-4</v>
      </c>
      <c r="V48" s="8">
        <f t="shared" si="6"/>
        <v>1.3203649151427368</v>
      </c>
    </row>
    <row r="49" spans="1:22" x14ac:dyDescent="0.3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0.3371647427559103</v>
      </c>
      <c r="O49" s="9">
        <v>0.11599074810223453</v>
      </c>
      <c r="P49" s="9">
        <v>1.4471949906027888</v>
      </c>
      <c r="Q49" s="9">
        <v>0.99295593636636559</v>
      </c>
      <c r="R49" s="10">
        <v>3.9562831710186933E-5</v>
      </c>
      <c r="S49" s="8">
        <f t="shared" si="3"/>
        <v>6.2835257244089726E-2</v>
      </c>
      <c r="T49" s="8">
        <f t="shared" si="4"/>
        <v>2.4009251897765482E-2</v>
      </c>
      <c r="U49" s="8">
        <f t="shared" si="5"/>
        <v>0.12380500939721117</v>
      </c>
      <c r="V49" s="8">
        <f t="shared" si="6"/>
        <v>0.20795593636636556</v>
      </c>
    </row>
    <row r="50" spans="1:22" x14ac:dyDescent="0.3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0.62474067422357593</v>
      </c>
      <c r="O50" s="9">
        <v>0.19302160550600073</v>
      </c>
      <c r="P50" s="9">
        <v>1.8629610859105652</v>
      </c>
      <c r="Q50" s="9">
        <v>0.4848074319859807</v>
      </c>
      <c r="R50" s="10">
        <v>1.8929619343198813E-4</v>
      </c>
      <c r="S50" s="8">
        <f t="shared" si="3"/>
        <v>2.4740674223575954E-2</v>
      </c>
      <c r="T50" s="8">
        <f t="shared" si="4"/>
        <v>3.3021605506000723E-2</v>
      </c>
      <c r="U50" s="8">
        <f t="shared" si="5"/>
        <v>0.29196108591056524</v>
      </c>
      <c r="V50" s="8">
        <f t="shared" si="6"/>
        <v>0.30019256801401933</v>
      </c>
    </row>
    <row r="51" spans="1:22" x14ac:dyDescent="0.3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0.35616361620984383</v>
      </c>
      <c r="O51" s="9">
        <v>8.2380734829980276E-2</v>
      </c>
      <c r="P51" s="9">
        <v>1.6136805170683677</v>
      </c>
      <c r="Q51" s="9">
        <v>1.8589548243181353</v>
      </c>
      <c r="R51" s="10">
        <v>4.2520994491883808E-5</v>
      </c>
      <c r="S51" s="8">
        <f t="shared" si="3"/>
        <v>4.3836383790156197E-2</v>
      </c>
      <c r="T51" s="8">
        <f t="shared" si="4"/>
        <v>2.2380734829980278E-2</v>
      </c>
      <c r="U51" s="8">
        <f t="shared" si="5"/>
        <v>4.2680517068367729E-2</v>
      </c>
      <c r="V51" s="8">
        <f t="shared" si="6"/>
        <v>0.28795482431813535</v>
      </c>
    </row>
    <row r="52" spans="1:22" x14ac:dyDescent="0.3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0.8866146641816387</v>
      </c>
      <c r="O52" s="9">
        <v>8.267949589109895E-2</v>
      </c>
      <c r="P52" s="9">
        <v>1.4816623113251712</v>
      </c>
      <c r="Q52" s="9">
        <v>1.4578211900718692</v>
      </c>
      <c r="R52" s="10">
        <v>2.9884947267554802E-4</v>
      </c>
      <c r="S52" s="8">
        <f t="shared" si="3"/>
        <v>8.6614664181638656E-2</v>
      </c>
      <c r="T52" s="8">
        <f t="shared" si="4"/>
        <v>2.6794958910989486E-3</v>
      </c>
      <c r="U52" s="8">
        <f t="shared" si="5"/>
        <v>8.9337688674828719E-2</v>
      </c>
      <c r="V52" s="8">
        <f t="shared" si="6"/>
        <v>0.11317880992813079</v>
      </c>
    </row>
    <row r="53" spans="1:22" x14ac:dyDescent="0.3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0.66954574539781886</v>
      </c>
      <c r="O53" s="9">
        <v>0.15290993171268805</v>
      </c>
      <c r="P53" s="9">
        <v>1.715404559514164</v>
      </c>
      <c r="Q53" s="9">
        <v>1.2168969088914734</v>
      </c>
      <c r="R53" s="10">
        <v>5.1840517789056111E-4</v>
      </c>
      <c r="S53" s="8">
        <f t="shared" si="3"/>
        <v>3.0454254602181097E-2</v>
      </c>
      <c r="T53" s="8">
        <f t="shared" si="4"/>
        <v>7.0900682873119569E-3</v>
      </c>
      <c r="U53" s="8">
        <f t="shared" si="5"/>
        <v>0.14440455951416409</v>
      </c>
      <c r="V53" s="8">
        <f t="shared" si="6"/>
        <v>0.35410309110852656</v>
      </c>
    </row>
    <row r="54" spans="1:22" x14ac:dyDescent="0.3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0.7013888755011578</v>
      </c>
      <c r="O54" s="9">
        <v>0.19995626203604053</v>
      </c>
      <c r="P54" s="9">
        <v>1.5314153351824582</v>
      </c>
      <c r="Q54" s="9">
        <v>1.5221123729926964</v>
      </c>
      <c r="R54" s="10">
        <v>2.2573401037389955E-4</v>
      </c>
      <c r="S54" s="8">
        <f t="shared" si="3"/>
        <v>1.3888755011578491E-3</v>
      </c>
      <c r="T54" s="8">
        <f t="shared" si="4"/>
        <v>4.3737963959483706E-5</v>
      </c>
      <c r="U54" s="8">
        <f t="shared" si="5"/>
        <v>3.9584664817541748E-2</v>
      </c>
      <c r="V54" s="8">
        <f t="shared" si="6"/>
        <v>4.8887627007303536E-2</v>
      </c>
    </row>
    <row r="55" spans="1:22" x14ac:dyDescent="0.3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0.9771973199720948</v>
      </c>
      <c r="O55" s="9">
        <v>5.6534788361038174E-2</v>
      </c>
      <c r="P55" s="9">
        <v>3.8187331352370757</v>
      </c>
      <c r="Q55" s="9">
        <v>0.62494528170976504</v>
      </c>
      <c r="R55" s="10">
        <v>2.7856596532983233E-4</v>
      </c>
      <c r="S55" s="8">
        <f t="shared" si="3"/>
        <v>0.27719731997209485</v>
      </c>
      <c r="T55" s="8">
        <f t="shared" si="4"/>
        <v>3.4652116389618237E-3</v>
      </c>
      <c r="U55" s="8">
        <f t="shared" si="5"/>
        <v>0.15373313523707566</v>
      </c>
      <c r="V55" s="8">
        <f t="shared" si="6"/>
        <v>0.16005471829023499</v>
      </c>
    </row>
    <row r="56" spans="1:22" x14ac:dyDescent="0.3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0.63167457907256264</v>
      </c>
      <c r="O56" s="9">
        <v>9.1194740794730306E-2</v>
      </c>
      <c r="P56" s="9">
        <v>3.5908291382505348</v>
      </c>
      <c r="Q56" s="9">
        <v>0.80331058656154997</v>
      </c>
      <c r="R56" s="10">
        <v>1.2207683809623772E-4</v>
      </c>
      <c r="S56" s="8">
        <f t="shared" si="3"/>
        <v>3.1674579072562659E-2</v>
      </c>
      <c r="T56" s="8">
        <f t="shared" si="4"/>
        <v>8.8052592052696999E-3</v>
      </c>
      <c r="U56" s="8">
        <f t="shared" si="5"/>
        <v>7.4170861749465189E-2</v>
      </c>
      <c r="V56" s="8">
        <f t="shared" si="6"/>
        <v>1.8310586561549935E-2</v>
      </c>
    </row>
    <row r="57" spans="1:22" x14ac:dyDescent="0.3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0.58219906423661627</v>
      </c>
      <c r="O57" s="9">
        <v>0.199761908259288</v>
      </c>
      <c r="P57" s="9">
        <v>3.5656476652947311</v>
      </c>
      <c r="Q57" s="9">
        <v>0.76900203649173227</v>
      </c>
      <c r="R57" s="10">
        <v>2.406566287841584E-4</v>
      </c>
      <c r="S57" s="8">
        <f t="shared" si="3"/>
        <v>0.21780093576338377</v>
      </c>
      <c r="T57" s="8">
        <f t="shared" si="4"/>
        <v>1.9761908259288002E-2</v>
      </c>
      <c r="U57" s="8">
        <f t="shared" si="5"/>
        <v>9.9352334705268941E-2</v>
      </c>
      <c r="V57" s="8">
        <f t="shared" si="6"/>
        <v>1.5997963508267765E-2</v>
      </c>
    </row>
    <row r="58" spans="1:22" x14ac:dyDescent="0.3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0.46890096632014988</v>
      </c>
      <c r="O58" s="9">
        <v>0.10470212983899979</v>
      </c>
      <c r="P58" s="9">
        <v>3.5857378936707618</v>
      </c>
      <c r="Q58" s="9">
        <v>0.84064758544175266</v>
      </c>
      <c r="R58" s="10">
        <v>6.0460495561093945E-5</v>
      </c>
      <c r="S58" s="8">
        <f t="shared" si="3"/>
        <v>6.8900966320149859E-2</v>
      </c>
      <c r="T58" s="8">
        <f t="shared" si="4"/>
        <v>9.529787016100022E-2</v>
      </c>
      <c r="U58" s="8">
        <f t="shared" si="5"/>
        <v>7.9262106329238247E-2</v>
      </c>
      <c r="V58" s="8">
        <f t="shared" si="6"/>
        <v>5.5647585441752634E-2</v>
      </c>
    </row>
    <row r="59" spans="1:22" x14ac:dyDescent="0.3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0.38173379174245958</v>
      </c>
      <c r="O59" s="9">
        <v>0.17795257784341506</v>
      </c>
      <c r="P59" s="9">
        <v>3.792287851660058</v>
      </c>
      <c r="Q59" s="9">
        <v>0.70479931126611384</v>
      </c>
      <c r="R59" s="10">
        <v>1.7941425102440189E-4</v>
      </c>
      <c r="S59" s="8">
        <f t="shared" si="3"/>
        <v>1.8266208257540439E-2</v>
      </c>
      <c r="T59" s="8">
        <f t="shared" si="4"/>
        <v>7.7952577843415055E-2</v>
      </c>
      <c r="U59" s="8">
        <f t="shared" si="5"/>
        <v>0.12728785166005796</v>
      </c>
      <c r="V59" s="8">
        <f t="shared" si="6"/>
        <v>0.86620068873388611</v>
      </c>
    </row>
    <row r="60" spans="1:22" x14ac:dyDescent="0.3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0.77065839799388702</v>
      </c>
      <c r="O60" s="9">
        <v>9.6286718213619477E-2</v>
      </c>
      <c r="P60" s="9">
        <v>3.7995318475614863</v>
      </c>
      <c r="Q60" s="9">
        <v>1.528859661059411</v>
      </c>
      <c r="R60" s="10">
        <v>3.3023029382557226E-4</v>
      </c>
      <c r="S60" s="8">
        <f t="shared" si="3"/>
        <v>7.0658397993887068E-2</v>
      </c>
      <c r="T60" s="8">
        <f t="shared" si="4"/>
        <v>3.713281786380529E-3</v>
      </c>
      <c r="U60" s="8">
        <f t="shared" si="5"/>
        <v>0.13453184756148628</v>
      </c>
      <c r="V60" s="8">
        <f t="shared" si="6"/>
        <v>4.2140338940588995E-2</v>
      </c>
    </row>
    <row r="61" spans="1:22" x14ac:dyDescent="0.3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0.38353061598369015</v>
      </c>
      <c r="O61" s="9">
        <v>0.16524605941718393</v>
      </c>
      <c r="P61" s="9">
        <v>3.8044291795081002</v>
      </c>
      <c r="Q61" s="9">
        <v>1.8498698808607275</v>
      </c>
      <c r="R61" s="10">
        <v>9.7980217231913807E-5</v>
      </c>
      <c r="S61" s="8">
        <f t="shared" si="3"/>
        <v>1.6469384016309874E-2</v>
      </c>
      <c r="T61" s="8">
        <f t="shared" si="4"/>
        <v>5.2460594171839237E-3</v>
      </c>
      <c r="U61" s="8">
        <f t="shared" si="5"/>
        <v>0.13942917950810019</v>
      </c>
      <c r="V61" s="8">
        <f t="shared" si="6"/>
        <v>0.2788698808607275</v>
      </c>
    </row>
    <row r="62" spans="1:22" x14ac:dyDescent="0.3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0.26712839741841515</v>
      </c>
      <c r="O62" s="9">
        <v>0.16147095129072403</v>
      </c>
      <c r="P62" s="9">
        <v>3.4038074450261386</v>
      </c>
      <c r="Q62" s="9">
        <v>1.1813748264265771</v>
      </c>
      <c r="R62" s="10">
        <v>1.9700382837537661E-4</v>
      </c>
      <c r="S62" s="8">
        <f t="shared" si="3"/>
        <v>3.2871602581584836E-2</v>
      </c>
      <c r="T62" s="8">
        <f t="shared" si="4"/>
        <v>1.8529048709275964E-2</v>
      </c>
      <c r="U62" s="8">
        <f t="shared" si="5"/>
        <v>0.2611925549738614</v>
      </c>
      <c r="V62" s="8">
        <f t="shared" si="6"/>
        <v>0.38962517357342286</v>
      </c>
    </row>
    <row r="63" spans="1:22" x14ac:dyDescent="0.3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0.22426162518090789</v>
      </c>
      <c r="O63" s="9">
        <v>4.910630776544251E-2</v>
      </c>
      <c r="P63" s="9">
        <v>1.7272669201914728</v>
      </c>
      <c r="Q63" s="9">
        <v>1.5632883432769611</v>
      </c>
      <c r="R63" s="10">
        <v>3.9728246657472858E-5</v>
      </c>
      <c r="S63" s="8">
        <f t="shared" si="3"/>
        <v>7.5738374819092097E-2</v>
      </c>
      <c r="T63" s="8">
        <f t="shared" si="4"/>
        <v>3.0893692234557492E-2</v>
      </c>
      <c r="U63" s="8">
        <f t="shared" si="5"/>
        <v>0.15626692019147281</v>
      </c>
      <c r="V63" s="8">
        <f t="shared" si="6"/>
        <v>0.77828834327696106</v>
      </c>
    </row>
    <row r="64" spans="1:22" x14ac:dyDescent="0.3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0.34589704753392131</v>
      </c>
      <c r="O64" s="9">
        <v>0.19998434639320212</v>
      </c>
      <c r="P64" s="9">
        <v>1.30290452638237</v>
      </c>
      <c r="Q64" s="9">
        <v>0.44628234853030235</v>
      </c>
      <c r="R64" s="10">
        <v>2.2208426919016451E-4</v>
      </c>
      <c r="S64" s="8">
        <f t="shared" si="3"/>
        <v>5.4102952466078713E-2</v>
      </c>
      <c r="T64" s="8">
        <f t="shared" si="4"/>
        <v>5.9984346393202104E-2</v>
      </c>
      <c r="U64" s="8">
        <f t="shared" si="5"/>
        <v>0.26809547361762998</v>
      </c>
      <c r="V64" s="8">
        <f t="shared" si="6"/>
        <v>0.33871765146969768</v>
      </c>
    </row>
    <row r="65" spans="1:22" x14ac:dyDescent="0.3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0.6789516120317699</v>
      </c>
      <c r="O65" s="9">
        <v>0.1934345305301543</v>
      </c>
      <c r="P65" s="9">
        <v>1.9658435094601301</v>
      </c>
      <c r="Q65" s="9">
        <v>0.46581388700594378</v>
      </c>
      <c r="R65" s="10">
        <v>6.5147667301135531E-4</v>
      </c>
      <c r="S65" s="8">
        <f t="shared" si="3"/>
        <v>7.8951612031769924E-2</v>
      </c>
      <c r="T65" s="8">
        <f t="shared" si="4"/>
        <v>3.3434530530154299E-2</v>
      </c>
      <c r="U65" s="8">
        <f t="shared" si="5"/>
        <v>0.39484350946013014</v>
      </c>
      <c r="V65" s="8">
        <f t="shared" si="6"/>
        <v>0.31918611299405625</v>
      </c>
    </row>
    <row r="66" spans="1:22" x14ac:dyDescent="0.3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0.46818416905977084</v>
      </c>
      <c r="O66" s="9">
        <v>4.1495007754315215E-2</v>
      </c>
      <c r="P66" s="9">
        <v>1.5629875192207237</v>
      </c>
      <c r="Q66" s="9">
        <v>1.674814400580747</v>
      </c>
      <c r="R66" s="10">
        <v>2.5835089978314441E-5</v>
      </c>
      <c r="S66" s="8">
        <f t="shared" si="3"/>
        <v>6.8184169059770816E-2</v>
      </c>
      <c r="T66" s="8">
        <f t="shared" si="4"/>
        <v>1.8504992245684783E-2</v>
      </c>
      <c r="U66" s="8">
        <f t="shared" si="5"/>
        <v>8.0124807792762986E-3</v>
      </c>
      <c r="V66" s="8">
        <f t="shared" si="6"/>
        <v>0.10381440058074709</v>
      </c>
    </row>
    <row r="67" spans="1:22" x14ac:dyDescent="0.3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0.8682623872282943</v>
      </c>
      <c r="O67" s="9">
        <v>8.4104139422887386E-2</v>
      </c>
      <c r="P67" s="9">
        <v>1.4974452634457067</v>
      </c>
      <c r="Q67" s="9">
        <v>1.478912413179023</v>
      </c>
      <c r="R67" s="10">
        <v>2.877320846510736E-4</v>
      </c>
      <c r="S67" s="8">
        <f t="shared" si="3"/>
        <v>6.8262387228294252E-2</v>
      </c>
      <c r="T67" s="8">
        <f t="shared" si="4"/>
        <v>4.1041394228873845E-3</v>
      </c>
      <c r="U67" s="8">
        <f t="shared" si="5"/>
        <v>7.3554736554293232E-2</v>
      </c>
      <c r="V67" s="8">
        <f t="shared" si="6"/>
        <v>9.2087586820976952E-2</v>
      </c>
    </row>
    <row r="68" spans="1:22" x14ac:dyDescent="0.3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0.65700635985240585</v>
      </c>
      <c r="O68" s="9">
        <v>0.19207792832706494</v>
      </c>
      <c r="P68" s="9">
        <v>1.6281938891887935</v>
      </c>
      <c r="Q68" s="9">
        <v>1.6450049329947845</v>
      </c>
      <c r="R68" s="10">
        <v>3.0016631017319416E-5</v>
      </c>
      <c r="S68" s="8">
        <f t="shared" si="3"/>
        <v>4.2993640147594103E-2</v>
      </c>
      <c r="T68" s="8">
        <f t="shared" si="4"/>
        <v>3.2077928327064936E-2</v>
      </c>
      <c r="U68" s="8">
        <f t="shared" si="5"/>
        <v>5.7193889188793534E-2</v>
      </c>
      <c r="V68" s="8">
        <f t="shared" si="6"/>
        <v>7.40049329947845E-2</v>
      </c>
    </row>
    <row r="69" spans="1:22" x14ac:dyDescent="0.3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0.69987713899155035</v>
      </c>
      <c r="O69" s="9">
        <v>0.19997295458501152</v>
      </c>
      <c r="P69" s="9">
        <v>1.5439472464226158</v>
      </c>
      <c r="Q69" s="9">
        <v>1.5618062670695947</v>
      </c>
      <c r="R69" s="10">
        <v>3.1234366704372232E-4</v>
      </c>
      <c r="S69" s="8">
        <f t="shared" si="3"/>
        <v>1.2286100844960401E-4</v>
      </c>
      <c r="T69" s="8">
        <f t="shared" si="4"/>
        <v>2.7045414988491334E-5</v>
      </c>
      <c r="U69" s="8">
        <f t="shared" si="5"/>
        <v>2.7052753577384125E-2</v>
      </c>
      <c r="V69" s="8">
        <f t="shared" si="6"/>
        <v>9.1937329304052628E-3</v>
      </c>
    </row>
    <row r="70" spans="1:22" x14ac:dyDescent="0.3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0.99999981041877217</v>
      </c>
      <c r="O70" s="9">
        <v>5.0371036692185026E-2</v>
      </c>
      <c r="P70" s="9">
        <v>3.5104979725548628</v>
      </c>
      <c r="Q70" s="9">
        <v>0.62470984514873662</v>
      </c>
      <c r="R70" s="10">
        <v>1.8645419235823564E-3</v>
      </c>
      <c r="S70" s="8">
        <f t="shared" si="3"/>
        <v>0.29999981041877222</v>
      </c>
      <c r="T70" s="8">
        <f t="shared" si="4"/>
        <v>9.6289633078149722E-3</v>
      </c>
      <c r="U70" s="8">
        <f t="shared" si="5"/>
        <v>0.15450202744513719</v>
      </c>
      <c r="V70" s="8">
        <f t="shared" si="6"/>
        <v>0.16029015485126341</v>
      </c>
    </row>
    <row r="71" spans="1:22" x14ac:dyDescent="0.3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0.58752131707076749</v>
      </c>
      <c r="O71" s="9">
        <v>0.10260884445329714</v>
      </c>
      <c r="P71" s="9">
        <v>3.5738829629115023</v>
      </c>
      <c r="Q71" s="9">
        <v>0.77291827923678036</v>
      </c>
      <c r="R71" s="10">
        <v>3.5436607704512286E-5</v>
      </c>
      <c r="S71" s="8">
        <f t="shared" si="3"/>
        <v>1.2478682929232487E-2</v>
      </c>
      <c r="T71" s="8">
        <f t="shared" si="4"/>
        <v>2.608844453297135E-3</v>
      </c>
      <c r="U71" s="8">
        <f t="shared" si="5"/>
        <v>9.1117037088497721E-2</v>
      </c>
      <c r="V71" s="8">
        <f t="shared" si="6"/>
        <v>1.2081720763219672E-2</v>
      </c>
    </row>
    <row r="72" spans="1:22" x14ac:dyDescent="0.3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0.75945358519707251</v>
      </c>
      <c r="O72" s="9">
        <v>0.19996057794196628</v>
      </c>
      <c r="P72" s="9">
        <v>3.842005276953655</v>
      </c>
      <c r="Q72" s="9">
        <v>0.42856514058359962</v>
      </c>
      <c r="R72" s="10">
        <v>1.6477715152205692E-3</v>
      </c>
      <c r="S72" s="8">
        <f t="shared" si="3"/>
        <v>4.0546414802927533E-2</v>
      </c>
      <c r="T72" s="8">
        <f t="shared" si="4"/>
        <v>1.996057794196629E-2</v>
      </c>
      <c r="U72" s="8">
        <f t="shared" si="5"/>
        <v>0.17700527695365498</v>
      </c>
      <c r="V72" s="8">
        <f t="shared" si="6"/>
        <v>0.35643485941640041</v>
      </c>
    </row>
    <row r="73" spans="1:22" x14ac:dyDescent="0.3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0.4040440570794282</v>
      </c>
      <c r="O73" s="9">
        <v>0.18202903760791875</v>
      </c>
      <c r="P73" s="9">
        <v>3.6194798523411369</v>
      </c>
      <c r="Q73" s="9">
        <v>0.68565079569062648</v>
      </c>
      <c r="R73" s="10">
        <v>1.0041052299772976E-4</v>
      </c>
      <c r="S73" s="8">
        <f t="shared" si="3"/>
        <v>4.044057079428176E-3</v>
      </c>
      <c r="T73" s="8">
        <f t="shared" si="4"/>
        <v>1.7970962392081263E-2</v>
      </c>
      <c r="U73" s="8">
        <f t="shared" si="5"/>
        <v>4.5520147658863142E-2</v>
      </c>
      <c r="V73" s="8">
        <f t="shared" si="6"/>
        <v>9.9349204309373551E-2</v>
      </c>
    </row>
    <row r="74" spans="1:22" x14ac:dyDescent="0.3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0.40415670841280177</v>
      </c>
      <c r="O74" s="9">
        <v>0.16738659376259502</v>
      </c>
      <c r="P74" s="9">
        <v>3.3897056307980455</v>
      </c>
      <c r="Q74" s="9">
        <v>2.2580860073055651</v>
      </c>
      <c r="R74" s="10">
        <v>3.1128612294255569E-4</v>
      </c>
      <c r="S74" s="8">
        <f t="shared" si="3"/>
        <v>4.1567084128017462E-3</v>
      </c>
      <c r="T74" s="8">
        <f t="shared" si="4"/>
        <v>6.738659376259501E-2</v>
      </c>
      <c r="U74" s="8">
        <f t="shared" si="5"/>
        <v>0.27529436920195449</v>
      </c>
      <c r="V74" s="8">
        <f t="shared" si="6"/>
        <v>0.68708600730556513</v>
      </c>
    </row>
    <row r="75" spans="1:22" x14ac:dyDescent="0.3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0.65159178068489887</v>
      </c>
      <c r="O75" s="9">
        <v>0.11957738244544146</v>
      </c>
      <c r="P75" s="9">
        <v>3.6053288709773179</v>
      </c>
      <c r="Q75" s="9">
        <v>1.2876295032033098</v>
      </c>
      <c r="R75" s="10">
        <v>2.828325499109113E-4</v>
      </c>
      <c r="S75" s="8">
        <f t="shared" si="3"/>
        <v>4.8408219315101086E-2</v>
      </c>
      <c r="T75" s="8">
        <f t="shared" si="4"/>
        <v>1.9577382445441452E-2</v>
      </c>
      <c r="U75" s="8">
        <f t="shared" si="5"/>
        <v>5.9671129022682123E-2</v>
      </c>
      <c r="V75" s="8">
        <f t="shared" si="6"/>
        <v>0.28337049679669013</v>
      </c>
    </row>
    <row r="76" spans="1:22" x14ac:dyDescent="0.3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0.44949716354168934</v>
      </c>
      <c r="O76" s="9">
        <v>0.1205729892551632</v>
      </c>
      <c r="P76" s="9">
        <v>3.6322311038122654</v>
      </c>
      <c r="Q76" s="9">
        <v>1.7514405242210149</v>
      </c>
      <c r="R76" s="10">
        <v>8.3756030197135583E-6</v>
      </c>
      <c r="S76" s="8">
        <f t="shared" si="3"/>
        <v>4.9497163541689315E-2</v>
      </c>
      <c r="T76" s="8">
        <f t="shared" si="4"/>
        <v>3.9427010744836802E-2</v>
      </c>
      <c r="U76" s="8">
        <f t="shared" si="5"/>
        <v>3.2768896187734597E-2</v>
      </c>
      <c r="V76" s="8">
        <f t="shared" si="6"/>
        <v>0.18044052422101498</v>
      </c>
    </row>
    <row r="77" spans="1:22" x14ac:dyDescent="0.3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0.3646936611698956</v>
      </c>
      <c r="O77" s="9">
        <v>0.11919516839659468</v>
      </c>
      <c r="P77" s="9">
        <v>4.1264381451708871</v>
      </c>
      <c r="Q77" s="9">
        <v>2.2725024955328914</v>
      </c>
      <c r="R77" s="10">
        <v>9.4125810201711822E-4</v>
      </c>
      <c r="S77" s="8">
        <f t="shared" si="3"/>
        <v>6.4693661169895611E-2</v>
      </c>
      <c r="T77" s="8">
        <f t="shared" si="4"/>
        <v>6.0804831603405315E-2</v>
      </c>
      <c r="U77" s="8">
        <f t="shared" si="5"/>
        <v>0.4614381451708871</v>
      </c>
      <c r="V77" s="8">
        <f t="shared" si="6"/>
        <v>0.70150249553289146</v>
      </c>
    </row>
    <row r="78" spans="1:22" x14ac:dyDescent="0.3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0.30294130648869022</v>
      </c>
      <c r="O78" s="9">
        <v>7.057093741627822E-2</v>
      </c>
      <c r="P78" s="9">
        <v>1.7563102287375731</v>
      </c>
      <c r="Q78" s="9">
        <v>0.71819532529130825</v>
      </c>
      <c r="R78" s="10">
        <v>1.4734943821894437E-5</v>
      </c>
      <c r="S78" s="8">
        <f t="shared" si="3"/>
        <v>2.9413064886902318E-3</v>
      </c>
      <c r="T78" s="8">
        <f t="shared" si="4"/>
        <v>9.4290625837217812E-3</v>
      </c>
      <c r="U78" s="8">
        <f t="shared" si="5"/>
        <v>0.18531022873757319</v>
      </c>
      <c r="V78" s="8">
        <f t="shared" si="6"/>
        <v>6.680467470869178E-2</v>
      </c>
    </row>
    <row r="79" spans="1:22" x14ac:dyDescent="0.3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0.36590996697887856</v>
      </c>
      <c r="O79" s="9">
        <v>8.6346090764975819E-2</v>
      </c>
      <c r="P79" s="9">
        <v>1.7121684752472552</v>
      </c>
      <c r="Q79" s="9">
        <v>1.1849140843977564</v>
      </c>
      <c r="R79" s="10">
        <v>3.6424503782635294E-5</v>
      </c>
      <c r="S79" s="8">
        <f t="shared" si="3"/>
        <v>3.4090033021121458E-2</v>
      </c>
      <c r="T79" s="8">
        <f t="shared" si="4"/>
        <v>5.3653909235024194E-2</v>
      </c>
      <c r="U79" s="8">
        <f t="shared" si="5"/>
        <v>0.14116847524725529</v>
      </c>
      <c r="V79" s="8">
        <f t="shared" si="6"/>
        <v>0.39991408439775633</v>
      </c>
    </row>
    <row r="80" spans="1:22" x14ac:dyDescent="0.3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0.62063201326490536</v>
      </c>
      <c r="O80" s="9">
        <v>0.18423484364083334</v>
      </c>
      <c r="P80" s="9">
        <v>1.6628873981799688</v>
      </c>
      <c r="Q80" s="9">
        <v>0.54042526764102949</v>
      </c>
      <c r="R80" s="10">
        <v>5.0826842094243712E-5</v>
      </c>
      <c r="S80" s="8">
        <f t="shared" si="3"/>
        <v>2.063201326490538E-2</v>
      </c>
      <c r="T80" s="8">
        <f t="shared" si="4"/>
        <v>2.4234843640833337E-2</v>
      </c>
      <c r="U80" s="8">
        <f t="shared" si="5"/>
        <v>9.1887398179968827E-2</v>
      </c>
      <c r="V80" s="8">
        <f t="shared" si="6"/>
        <v>0.24457473235897054</v>
      </c>
    </row>
    <row r="81" spans="1:22" x14ac:dyDescent="0.3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0.39653102671795304</v>
      </c>
      <c r="O81" s="9">
        <v>9.9373922638288065E-2</v>
      </c>
      <c r="P81" s="9">
        <v>1.6480388260295682</v>
      </c>
      <c r="Q81" s="9">
        <v>0.86795870476739967</v>
      </c>
      <c r="R81" s="10">
        <v>1.7262795579939853E-6</v>
      </c>
      <c r="S81" s="8">
        <f t="shared" si="3"/>
        <v>3.4689732820469832E-3</v>
      </c>
      <c r="T81" s="8">
        <f t="shared" si="4"/>
        <v>3.9373922638288067E-2</v>
      </c>
      <c r="U81" s="8">
        <f t="shared" si="5"/>
        <v>7.7038826029568241E-2</v>
      </c>
      <c r="V81" s="8">
        <f t="shared" si="6"/>
        <v>0.70304129523260028</v>
      </c>
    </row>
    <row r="82" spans="1:22" x14ac:dyDescent="0.3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0.89698165015670794</v>
      </c>
      <c r="O82" s="9">
        <v>8.7698335662973304E-2</v>
      </c>
      <c r="P82" s="9">
        <v>1.4544667796398452</v>
      </c>
      <c r="Q82" s="9">
        <v>1.5504199651783297</v>
      </c>
      <c r="R82" s="10">
        <v>3.008233160920149E-4</v>
      </c>
      <c r="S82" s="8">
        <f t="shared" ref="S82:S145" si="7">ABS(N82-A82)</f>
        <v>9.6981650156707899E-2</v>
      </c>
      <c r="T82" s="8">
        <f t="shared" ref="T82:T145" si="8">ABS(O82-B82)</f>
        <v>7.6983356629733019E-3</v>
      </c>
      <c r="U82" s="8">
        <f t="shared" ref="U82:U145" si="9">ABS(P82-C82)</f>
        <v>0.11653322036015479</v>
      </c>
      <c r="V82" s="8">
        <f t="shared" ref="V82:V145" si="10">ABS(Q82-D82)</f>
        <v>2.0580034821670257E-2</v>
      </c>
    </row>
    <row r="83" spans="1:22" x14ac:dyDescent="0.3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0.68015424363333721</v>
      </c>
      <c r="O83" s="9">
        <v>0.15518538502502197</v>
      </c>
      <c r="P83" s="9">
        <v>1.5752628352694922</v>
      </c>
      <c r="Q83" s="9">
        <v>1.4703678472957467</v>
      </c>
      <c r="R83" s="10">
        <v>8.0061192142288562E-5</v>
      </c>
      <c r="S83" s="8">
        <f t="shared" si="7"/>
        <v>1.9845756366662748E-2</v>
      </c>
      <c r="T83" s="8">
        <f t="shared" si="8"/>
        <v>4.8146149749780376E-3</v>
      </c>
      <c r="U83" s="8">
        <f t="shared" si="9"/>
        <v>4.2628352694922267E-3</v>
      </c>
      <c r="V83" s="8">
        <f t="shared" si="10"/>
        <v>0.1006321527042533</v>
      </c>
    </row>
    <row r="84" spans="1:22" x14ac:dyDescent="0.3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0.79871106687410653</v>
      </c>
      <c r="O84" s="9">
        <v>0.19162452732535876</v>
      </c>
      <c r="P84" s="9">
        <v>1.6811239142764325</v>
      </c>
      <c r="Q84" s="9">
        <v>1.6365395563973855</v>
      </c>
      <c r="R84" s="10">
        <v>5.2967486796208127E-4</v>
      </c>
      <c r="S84" s="8">
        <f t="shared" si="7"/>
        <v>9.8711066874106579E-2</v>
      </c>
      <c r="T84" s="8">
        <f t="shared" si="8"/>
        <v>8.3754726746412544E-3</v>
      </c>
      <c r="U84" s="8">
        <f t="shared" si="9"/>
        <v>0.11012391427643253</v>
      </c>
      <c r="V84" s="8">
        <f t="shared" si="10"/>
        <v>6.5539556397385512E-2</v>
      </c>
    </row>
    <row r="85" spans="1:22" x14ac:dyDescent="0.3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0.81370920003102343</v>
      </c>
      <c r="O85" s="9">
        <v>7.6195328931941864E-2</v>
      </c>
      <c r="P85" s="9">
        <v>3.8239900569156906</v>
      </c>
      <c r="Q85" s="9">
        <v>0.70445231344891757</v>
      </c>
      <c r="R85" s="10">
        <v>2.9413251718014003E-4</v>
      </c>
      <c r="S85" s="8">
        <f t="shared" si="7"/>
        <v>0.11370920003102347</v>
      </c>
      <c r="T85" s="8">
        <f t="shared" si="8"/>
        <v>1.6195328931941866E-2</v>
      </c>
      <c r="U85" s="8">
        <f t="shared" si="9"/>
        <v>0.15899005691569057</v>
      </c>
      <c r="V85" s="8">
        <f t="shared" si="10"/>
        <v>8.0547686551082465E-2</v>
      </c>
    </row>
    <row r="86" spans="1:22" x14ac:dyDescent="0.3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0.78866927599230729</v>
      </c>
      <c r="O86" s="9">
        <v>0.10381934781330279</v>
      </c>
      <c r="P86" s="9">
        <v>3.5907807653030988</v>
      </c>
      <c r="Q86" s="9">
        <v>0.53094237440035519</v>
      </c>
      <c r="R86" s="10">
        <v>1.8306043872462409E-5</v>
      </c>
      <c r="S86" s="8">
        <f t="shared" si="7"/>
        <v>0.18866927599230732</v>
      </c>
      <c r="T86" s="8">
        <f t="shared" si="8"/>
        <v>3.8193478133027869E-3</v>
      </c>
      <c r="U86" s="8">
        <f t="shared" si="9"/>
        <v>7.4219234696901282E-2</v>
      </c>
      <c r="V86" s="8">
        <f t="shared" si="10"/>
        <v>0.25405762559964484</v>
      </c>
    </row>
    <row r="87" spans="1:22" x14ac:dyDescent="0.3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0.7859994155549217</v>
      </c>
      <c r="O87" s="9">
        <v>0.14074692287210819</v>
      </c>
      <c r="P87" s="9">
        <v>3.381246626779753</v>
      </c>
      <c r="Q87" s="9">
        <v>0.7061818204162521</v>
      </c>
      <c r="R87" s="10">
        <v>1.744536474343627E-3</v>
      </c>
      <c r="S87" s="8">
        <f t="shared" si="7"/>
        <v>1.4000584445078346E-2</v>
      </c>
      <c r="T87" s="8">
        <f t="shared" si="8"/>
        <v>3.9253077127891806E-2</v>
      </c>
      <c r="U87" s="8">
        <f t="shared" si="9"/>
        <v>0.28375337322024707</v>
      </c>
      <c r="V87" s="8">
        <f t="shared" si="10"/>
        <v>7.8818179583747927E-2</v>
      </c>
    </row>
    <row r="88" spans="1:22" x14ac:dyDescent="0.3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0.70890353367906445</v>
      </c>
      <c r="O88" s="9">
        <v>0.19998322051028003</v>
      </c>
      <c r="P88" s="9">
        <v>3.6690843023802047</v>
      </c>
      <c r="Q88" s="9">
        <v>0.27879331140583546</v>
      </c>
      <c r="R88" s="10">
        <v>1.4523724690849112E-4</v>
      </c>
      <c r="S88" s="8">
        <f t="shared" si="7"/>
        <v>0.30890353367906442</v>
      </c>
      <c r="T88" s="8">
        <f t="shared" si="8"/>
        <v>1.6779489719981333E-5</v>
      </c>
      <c r="U88" s="8">
        <f t="shared" si="9"/>
        <v>4.0843023802046297E-3</v>
      </c>
      <c r="V88" s="8">
        <f t="shared" si="10"/>
        <v>0.50620668859416451</v>
      </c>
    </row>
    <row r="89" spans="1:22" x14ac:dyDescent="0.3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0.41902120079987693</v>
      </c>
      <c r="O89" s="9">
        <v>7.5765480291552112E-2</v>
      </c>
      <c r="P89" s="9">
        <v>3.7086395617894725</v>
      </c>
      <c r="Q89" s="9">
        <v>1.3320608293203797</v>
      </c>
      <c r="R89" s="10">
        <v>2.3614344301394472E-6</v>
      </c>
      <c r="S89" s="8">
        <f t="shared" si="7"/>
        <v>1.9021200799876903E-2</v>
      </c>
      <c r="T89" s="8">
        <f t="shared" si="8"/>
        <v>2.4234519708447894E-2</v>
      </c>
      <c r="U89" s="8">
        <f t="shared" si="9"/>
        <v>4.3639561789472481E-2</v>
      </c>
      <c r="V89" s="8">
        <f t="shared" si="10"/>
        <v>0.23893917067962023</v>
      </c>
    </row>
    <row r="90" spans="1:22" x14ac:dyDescent="0.3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0.64362097070262247</v>
      </c>
      <c r="O90" s="9">
        <v>0.13294896223486374</v>
      </c>
      <c r="P90" s="9">
        <v>3.6438554353928438</v>
      </c>
      <c r="Q90" s="9">
        <v>1.598582397223633</v>
      </c>
      <c r="R90" s="10">
        <v>1.0087312248975463E-4</v>
      </c>
      <c r="S90" s="8">
        <f t="shared" si="7"/>
        <v>5.6379029297377481E-2</v>
      </c>
      <c r="T90" s="8">
        <f t="shared" si="8"/>
        <v>3.2948962234863738E-2</v>
      </c>
      <c r="U90" s="8">
        <f t="shared" si="9"/>
        <v>2.1144564607156191E-2</v>
      </c>
      <c r="V90" s="8">
        <f t="shared" si="10"/>
        <v>2.7582397223633093E-2</v>
      </c>
    </row>
    <row r="91" spans="1:22" x14ac:dyDescent="0.3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0.34836981812539841</v>
      </c>
      <c r="O91" s="9">
        <v>0.17987598831974877</v>
      </c>
      <c r="P91" s="9">
        <v>3.835149931884239</v>
      </c>
      <c r="Q91" s="9">
        <v>1.8797438208465373</v>
      </c>
      <c r="R91" s="10">
        <v>3.925680947839868E-4</v>
      </c>
      <c r="S91" s="8">
        <f t="shared" si="7"/>
        <v>5.1630181874601611E-2</v>
      </c>
      <c r="T91" s="8">
        <f t="shared" si="8"/>
        <v>1.9875988319748766E-2</v>
      </c>
      <c r="U91" s="8">
        <f t="shared" si="9"/>
        <v>0.17014993188423899</v>
      </c>
      <c r="V91" s="8">
        <f t="shared" si="10"/>
        <v>0.3087438208465374</v>
      </c>
    </row>
    <row r="92" spans="1:22" x14ac:dyDescent="0.3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0.23021603423341502</v>
      </c>
      <c r="O92" s="9">
        <v>0.19999505176178931</v>
      </c>
      <c r="P92" s="9">
        <v>3.3679930834345173</v>
      </c>
      <c r="Q92" s="9">
        <v>1.0899518852504562</v>
      </c>
      <c r="R92" s="10">
        <v>4.0000355477039733E-4</v>
      </c>
      <c r="S92" s="8">
        <f t="shared" si="7"/>
        <v>6.9783965766584966E-2</v>
      </c>
      <c r="T92" s="8">
        <f t="shared" si="8"/>
        <v>1.9995051761789312E-2</v>
      </c>
      <c r="U92" s="8">
        <f t="shared" si="9"/>
        <v>0.29700691656548273</v>
      </c>
      <c r="V92" s="8">
        <f t="shared" si="10"/>
        <v>0.48104811474954379</v>
      </c>
    </row>
    <row r="93" spans="1:22" x14ac:dyDescent="0.3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0.5306485774166565</v>
      </c>
      <c r="O93" s="9">
        <v>5.9665953060133448E-2</v>
      </c>
      <c r="P93" s="9">
        <v>1.5776042586746097</v>
      </c>
      <c r="Q93" s="9">
        <v>0.38112453692887777</v>
      </c>
      <c r="R93" s="10">
        <v>8.0754547718244785E-6</v>
      </c>
      <c r="S93" s="8">
        <f t="shared" si="7"/>
        <v>0.23064857741665651</v>
      </c>
      <c r="T93" s="8">
        <f t="shared" si="8"/>
        <v>2.0334046939866554E-2</v>
      </c>
      <c r="U93" s="8">
        <f t="shared" si="9"/>
        <v>6.6042586746097864E-3</v>
      </c>
      <c r="V93" s="8">
        <f t="shared" si="10"/>
        <v>0.40387546307112226</v>
      </c>
    </row>
    <row r="94" spans="1:22" x14ac:dyDescent="0.3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0.30771504865953786</v>
      </c>
      <c r="O94" s="9">
        <v>0.19999996094111216</v>
      </c>
      <c r="P94" s="9">
        <v>1.9574151154406261</v>
      </c>
      <c r="Q94" s="9">
        <v>0.51615411241865028</v>
      </c>
      <c r="R94" s="10">
        <v>4.6694908227313332E-4</v>
      </c>
      <c r="S94" s="8">
        <f t="shared" si="7"/>
        <v>9.2284951340462162E-2</v>
      </c>
      <c r="T94" s="8">
        <f t="shared" si="8"/>
        <v>5.9999960941112152E-2</v>
      </c>
      <c r="U94" s="8">
        <f t="shared" si="9"/>
        <v>0.38641511544062612</v>
      </c>
      <c r="V94" s="8">
        <f t="shared" si="10"/>
        <v>0.26884588758134975</v>
      </c>
    </row>
    <row r="95" spans="1:22" x14ac:dyDescent="0.3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0.6810656554036767</v>
      </c>
      <c r="O95" s="9">
        <v>0.19096327150139822</v>
      </c>
      <c r="P95" s="9">
        <v>1.7700590813250001</v>
      </c>
      <c r="Q95" s="9">
        <v>0.45140701421894308</v>
      </c>
      <c r="R95" s="10">
        <v>7.8747794708993284E-5</v>
      </c>
      <c r="S95" s="8">
        <f t="shared" si="7"/>
        <v>8.1065655403676717E-2</v>
      </c>
      <c r="T95" s="8">
        <f t="shared" si="8"/>
        <v>3.0963271501398215E-2</v>
      </c>
      <c r="U95" s="8">
        <f t="shared" si="9"/>
        <v>0.19905908132500016</v>
      </c>
      <c r="V95" s="8">
        <f t="shared" si="10"/>
        <v>0.33359298578105695</v>
      </c>
    </row>
    <row r="96" spans="1:22" x14ac:dyDescent="0.3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0.53012007932891536</v>
      </c>
      <c r="O96" s="9">
        <v>2.8563926495761276E-2</v>
      </c>
      <c r="P96" s="9">
        <v>1.33314699228652</v>
      </c>
      <c r="Q96" s="9">
        <v>1.6638027633158536</v>
      </c>
      <c r="R96" s="10">
        <v>2.5978879834771541E-4</v>
      </c>
      <c r="S96" s="8">
        <f t="shared" si="7"/>
        <v>0.13012007932891534</v>
      </c>
      <c r="T96" s="8">
        <f t="shared" si="8"/>
        <v>3.1436073504238722E-2</v>
      </c>
      <c r="U96" s="8">
        <f t="shared" si="9"/>
        <v>0.23785300771347995</v>
      </c>
      <c r="V96" s="8">
        <f t="shared" si="10"/>
        <v>9.2802763315853687E-2</v>
      </c>
    </row>
    <row r="97" spans="1:22" x14ac:dyDescent="0.3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0.94346448374250813</v>
      </c>
      <c r="O97" s="9">
        <v>7.9631569558898871E-2</v>
      </c>
      <c r="P97" s="9">
        <v>1.6242650109835648</v>
      </c>
      <c r="Q97" s="9">
        <v>1.755790535649554</v>
      </c>
      <c r="R97" s="10">
        <v>2.7078004809539537E-5</v>
      </c>
      <c r="S97" s="8">
        <f t="shared" si="7"/>
        <v>0.14346448374250809</v>
      </c>
      <c r="T97" s="8">
        <f t="shared" si="8"/>
        <v>3.6843044110113077E-4</v>
      </c>
      <c r="U97" s="8">
        <f t="shared" si="9"/>
        <v>5.3265010983564842E-2</v>
      </c>
      <c r="V97" s="8">
        <f t="shared" si="10"/>
        <v>0.18479053564955406</v>
      </c>
    </row>
    <row r="98" spans="1:22" x14ac:dyDescent="0.3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0.57942207969978254</v>
      </c>
      <c r="O98" s="9">
        <v>0.18556160317106546</v>
      </c>
      <c r="P98" s="9">
        <v>1.5458018986782116</v>
      </c>
      <c r="Q98" s="9">
        <v>1.4484683722766332</v>
      </c>
      <c r="R98" s="10">
        <v>1.0749884198199627E-4</v>
      </c>
      <c r="S98" s="8">
        <f t="shared" si="7"/>
        <v>0.12057792030021741</v>
      </c>
      <c r="T98" s="8">
        <f t="shared" si="8"/>
        <v>2.5561603171065456E-2</v>
      </c>
      <c r="U98" s="8">
        <f t="shared" si="9"/>
        <v>2.5198101321788346E-2</v>
      </c>
      <c r="V98" s="8">
        <f t="shared" si="10"/>
        <v>0.12253162772336679</v>
      </c>
    </row>
    <row r="99" spans="1:22" x14ac:dyDescent="0.3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0.69541015113858673</v>
      </c>
      <c r="O99" s="9">
        <v>0.19996128870982197</v>
      </c>
      <c r="P99" s="9">
        <v>1.4267329239798565</v>
      </c>
      <c r="Q99" s="9">
        <v>1.564597183393416</v>
      </c>
      <c r="R99" s="10">
        <v>1.1031619498756431E-3</v>
      </c>
      <c r="S99" s="8">
        <f t="shared" si="7"/>
        <v>4.589848861413226E-3</v>
      </c>
      <c r="T99" s="8">
        <f t="shared" si="8"/>
        <v>3.8711290178045088E-5</v>
      </c>
      <c r="U99" s="8">
        <f t="shared" si="9"/>
        <v>0.14426707602014344</v>
      </c>
      <c r="V99" s="8">
        <f t="shared" si="10"/>
        <v>6.4028166065839276E-3</v>
      </c>
    </row>
    <row r="100" spans="1:22" x14ac:dyDescent="0.3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0.99989125406952473</v>
      </c>
      <c r="O100" s="9">
        <v>6.0851727259227932E-2</v>
      </c>
      <c r="P100" s="9">
        <v>3.561405330428387</v>
      </c>
      <c r="Q100" s="9">
        <v>0.56514960992535546</v>
      </c>
      <c r="R100" s="10">
        <v>2.4228205779381579E-4</v>
      </c>
      <c r="S100" s="8">
        <f t="shared" si="7"/>
        <v>0.29989125406952477</v>
      </c>
      <c r="T100" s="8">
        <f t="shared" si="8"/>
        <v>8.517272592279343E-4</v>
      </c>
      <c r="U100" s="8">
        <f t="shared" si="9"/>
        <v>0.10359466957161301</v>
      </c>
      <c r="V100" s="8">
        <f t="shared" si="10"/>
        <v>0.21985039007464457</v>
      </c>
    </row>
    <row r="101" spans="1:22" x14ac:dyDescent="0.3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0.6836459322345475</v>
      </c>
      <c r="O101" s="9">
        <v>0.13275321915757182</v>
      </c>
      <c r="P101" s="9">
        <v>3.6528993811978152</v>
      </c>
      <c r="Q101" s="9">
        <v>0.53496817884716219</v>
      </c>
      <c r="R101" s="10">
        <v>4.3312037818087971E-5</v>
      </c>
      <c r="S101" s="8">
        <f t="shared" si="7"/>
        <v>8.3645932234547526E-2</v>
      </c>
      <c r="T101" s="8">
        <f t="shared" si="8"/>
        <v>3.2753219157571817E-2</v>
      </c>
      <c r="U101" s="8">
        <f t="shared" si="9"/>
        <v>1.2100618802184826E-2</v>
      </c>
      <c r="V101" s="8">
        <f t="shared" si="10"/>
        <v>0.25003182115283784</v>
      </c>
    </row>
    <row r="102" spans="1:22" x14ac:dyDescent="0.3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0.73431012378480964</v>
      </c>
      <c r="O102" s="9">
        <v>0.13199553749796397</v>
      </c>
      <c r="P102" s="9">
        <v>3.7367662319899315</v>
      </c>
      <c r="Q102" s="9">
        <v>0.89668229852993087</v>
      </c>
      <c r="R102" s="10">
        <v>1.2531278286964182E-4</v>
      </c>
      <c r="S102" s="8">
        <f t="shared" si="7"/>
        <v>6.5689876215190401E-2</v>
      </c>
      <c r="T102" s="8">
        <f t="shared" si="8"/>
        <v>4.8004462502036022E-2</v>
      </c>
      <c r="U102" s="8">
        <f t="shared" si="9"/>
        <v>7.1766231989931484E-2</v>
      </c>
      <c r="V102" s="8">
        <f t="shared" si="10"/>
        <v>0.11168229852993083</v>
      </c>
    </row>
    <row r="103" spans="1:22" x14ac:dyDescent="0.3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0.40163208614184143</v>
      </c>
      <c r="O103" s="9">
        <v>0.16466134699023588</v>
      </c>
      <c r="P103" s="9">
        <v>3.645229763286602</v>
      </c>
      <c r="Q103" s="9">
        <v>0.69866462686263153</v>
      </c>
      <c r="R103" s="10">
        <v>1.4645263017800591E-5</v>
      </c>
      <c r="S103" s="8">
        <f t="shared" si="7"/>
        <v>1.6320861418414045E-3</v>
      </c>
      <c r="T103" s="8">
        <f t="shared" si="8"/>
        <v>3.5338653009764132E-2</v>
      </c>
      <c r="U103" s="8">
        <f t="shared" si="9"/>
        <v>1.9770236713398059E-2</v>
      </c>
      <c r="V103" s="8">
        <f t="shared" si="10"/>
        <v>8.6335373137368498E-2</v>
      </c>
    </row>
    <row r="104" spans="1:22" x14ac:dyDescent="0.3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0.38838817088862621</v>
      </c>
      <c r="O104" s="9">
        <v>0.1671819708469785</v>
      </c>
      <c r="P104" s="9">
        <v>3.4767530175532202</v>
      </c>
      <c r="Q104" s="9">
        <v>2.2468927301026946</v>
      </c>
      <c r="R104" s="10">
        <v>2.3369845761942587E-4</v>
      </c>
      <c r="S104" s="8">
        <f t="shared" si="7"/>
        <v>1.1611829111373817E-2</v>
      </c>
      <c r="T104" s="8">
        <f t="shared" si="8"/>
        <v>6.7181970846978495E-2</v>
      </c>
      <c r="U104" s="8">
        <f t="shared" si="9"/>
        <v>0.18824698244677984</v>
      </c>
      <c r="V104" s="8">
        <f t="shared" si="10"/>
        <v>0.67589273010269468</v>
      </c>
    </row>
    <row r="105" spans="1:22" x14ac:dyDescent="0.3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0.77919514614291641</v>
      </c>
      <c r="O105" s="9">
        <v>8.3222864968750157E-2</v>
      </c>
      <c r="P105" s="9">
        <v>3.5635922449402351</v>
      </c>
      <c r="Q105" s="9">
        <v>1.6611857581027456</v>
      </c>
      <c r="R105" s="10">
        <v>2.8881677055572297E-4</v>
      </c>
      <c r="S105" s="8">
        <f t="shared" si="7"/>
        <v>7.919514614291645E-2</v>
      </c>
      <c r="T105" s="8">
        <f t="shared" si="8"/>
        <v>1.6777135031249849E-2</v>
      </c>
      <c r="U105" s="8">
        <f t="shared" si="9"/>
        <v>0.10140775505976496</v>
      </c>
      <c r="V105" s="8">
        <f t="shared" si="10"/>
        <v>9.018575810274565E-2</v>
      </c>
    </row>
    <row r="106" spans="1:22" x14ac:dyDescent="0.3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0.36162493555208441</v>
      </c>
      <c r="O106" s="9">
        <v>0.15959789503575209</v>
      </c>
      <c r="P106" s="9">
        <v>3.8112935706915039</v>
      </c>
      <c r="Q106" s="9">
        <v>1.2299247719076403</v>
      </c>
      <c r="R106" s="10">
        <v>2.9861749032665579E-4</v>
      </c>
      <c r="S106" s="8">
        <f t="shared" si="7"/>
        <v>3.8375064447915608E-2</v>
      </c>
      <c r="T106" s="8">
        <f t="shared" si="8"/>
        <v>4.0210496424791797E-4</v>
      </c>
      <c r="U106" s="8">
        <f t="shared" si="9"/>
        <v>0.14629357069150384</v>
      </c>
      <c r="V106" s="8">
        <f t="shared" si="10"/>
        <v>0.34107522809235968</v>
      </c>
    </row>
    <row r="107" spans="1:22" x14ac:dyDescent="0.3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0.50783995582038466</v>
      </c>
      <c r="O107" s="9">
        <v>0.12707530811777773</v>
      </c>
      <c r="P107" s="9">
        <v>3.985423603177078</v>
      </c>
      <c r="Q107" s="9">
        <v>2.4585642789610214</v>
      </c>
      <c r="R107" s="10">
        <v>5.0897074010578121E-4</v>
      </c>
      <c r="S107" s="8">
        <f t="shared" si="7"/>
        <v>0.20783995582038467</v>
      </c>
      <c r="T107" s="8">
        <f t="shared" si="8"/>
        <v>5.2924691882222263E-2</v>
      </c>
      <c r="U107" s="8">
        <f t="shared" si="9"/>
        <v>0.32042360317707796</v>
      </c>
      <c r="V107" s="8">
        <f t="shared" si="10"/>
        <v>0.88756427896102141</v>
      </c>
    </row>
    <row r="108" spans="1:22" x14ac:dyDescent="0.3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0.29810418978469844</v>
      </c>
      <c r="O108" s="9">
        <v>9.7156488490039536E-2</v>
      </c>
      <c r="P108" s="9">
        <v>1.9451051879353412</v>
      </c>
      <c r="Q108" s="9">
        <v>0.77669457966823385</v>
      </c>
      <c r="R108" s="10">
        <v>6.9575600473911815E-5</v>
      </c>
      <c r="S108" s="8">
        <f t="shared" si="7"/>
        <v>1.8958102153015521E-3</v>
      </c>
      <c r="T108" s="8">
        <f t="shared" si="8"/>
        <v>1.7156488490039534E-2</v>
      </c>
      <c r="U108" s="8">
        <f t="shared" si="9"/>
        <v>0.3741051879353412</v>
      </c>
      <c r="V108" s="8">
        <f t="shared" si="10"/>
        <v>8.3054203317661779E-3</v>
      </c>
    </row>
    <row r="109" spans="1:22" x14ac:dyDescent="0.3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0.47784442803645211</v>
      </c>
      <c r="O109" s="9">
        <v>0.10160226566368238</v>
      </c>
      <c r="P109" s="9">
        <v>1.3355073254741141</v>
      </c>
      <c r="Q109" s="9">
        <v>0.65879923854687927</v>
      </c>
      <c r="R109" s="10">
        <v>1.5068489656879088E-4</v>
      </c>
      <c r="S109" s="8">
        <f t="shared" si="7"/>
        <v>7.7844428036452085E-2</v>
      </c>
      <c r="T109" s="8">
        <f t="shared" si="8"/>
        <v>3.8397734336317629E-2</v>
      </c>
      <c r="U109" s="8">
        <f t="shared" si="9"/>
        <v>0.23549267452588585</v>
      </c>
      <c r="V109" s="8">
        <f t="shared" si="10"/>
        <v>0.12620076145312076</v>
      </c>
    </row>
    <row r="110" spans="1:22" x14ac:dyDescent="0.3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0.51858899061050601</v>
      </c>
      <c r="O110" s="9">
        <v>0.18450931204119608</v>
      </c>
      <c r="P110" s="9">
        <v>1.7319853820443025</v>
      </c>
      <c r="Q110" s="9">
        <v>0.76471163983287305</v>
      </c>
      <c r="R110" s="10">
        <v>1.3882280839280461E-5</v>
      </c>
      <c r="S110" s="8">
        <f t="shared" si="7"/>
        <v>8.1411009389493971E-2</v>
      </c>
      <c r="T110" s="8">
        <f t="shared" si="8"/>
        <v>2.450931204119608E-2</v>
      </c>
      <c r="U110" s="8">
        <f t="shared" si="9"/>
        <v>0.16098538204430257</v>
      </c>
      <c r="V110" s="8">
        <f t="shared" si="10"/>
        <v>2.0288360167126984E-2</v>
      </c>
    </row>
    <row r="111" spans="1:22" x14ac:dyDescent="0.3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0.40241872475408441</v>
      </c>
      <c r="O111" s="9">
        <v>7.5372440491939086E-2</v>
      </c>
      <c r="P111" s="9">
        <v>1.9923306750855532</v>
      </c>
      <c r="Q111" s="9">
        <v>1.0688358271188636</v>
      </c>
      <c r="R111" s="10">
        <v>5.9918762935113267E-4</v>
      </c>
      <c r="S111" s="8">
        <f t="shared" si="7"/>
        <v>2.4187247540843893E-3</v>
      </c>
      <c r="T111" s="8">
        <f t="shared" si="8"/>
        <v>1.5372440491939088E-2</v>
      </c>
      <c r="U111" s="8">
        <f t="shared" si="9"/>
        <v>0.42133067508555322</v>
      </c>
      <c r="V111" s="8">
        <f t="shared" si="10"/>
        <v>0.50216417288113635</v>
      </c>
    </row>
    <row r="112" spans="1:22" x14ac:dyDescent="0.3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0.89841909445535972</v>
      </c>
      <c r="O112" s="9">
        <v>8.0398493884544481E-2</v>
      </c>
      <c r="P112" s="9">
        <v>1.5708778546572968</v>
      </c>
      <c r="Q112" s="9">
        <v>1.6033711326749289</v>
      </c>
      <c r="R112" s="10">
        <v>1.0578174327238125E-5</v>
      </c>
      <c r="S112" s="8">
        <f t="shared" si="7"/>
        <v>9.8419094455359679E-2</v>
      </c>
      <c r="T112" s="8">
        <f t="shared" si="8"/>
        <v>3.9849388454447909E-4</v>
      </c>
      <c r="U112" s="8">
        <f t="shared" si="9"/>
        <v>1.2214534270316157E-4</v>
      </c>
      <c r="V112" s="8">
        <f t="shared" si="10"/>
        <v>3.2371132674928971E-2</v>
      </c>
    </row>
    <row r="113" spans="1:22" x14ac:dyDescent="0.3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0.81479794031847608</v>
      </c>
      <c r="O113" s="9">
        <v>0.12500166520830089</v>
      </c>
      <c r="P113" s="9">
        <v>1.6416588564108421</v>
      </c>
      <c r="Q113" s="9">
        <v>1.8283851466513208</v>
      </c>
      <c r="R113" s="10">
        <v>1.6753136062601612E-5</v>
      </c>
      <c r="S113" s="8">
        <f t="shared" si="7"/>
        <v>0.11479794031847612</v>
      </c>
      <c r="T113" s="8">
        <f t="shared" si="8"/>
        <v>3.4998334791699115E-2</v>
      </c>
      <c r="U113" s="8">
        <f t="shared" si="9"/>
        <v>7.065885641084213E-2</v>
      </c>
      <c r="V113" s="8">
        <f t="shared" si="10"/>
        <v>0.25738514665132084</v>
      </c>
    </row>
    <row r="114" spans="1:22" x14ac:dyDescent="0.3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0.66498861680432042</v>
      </c>
      <c r="O114" s="9">
        <v>0.19978109682958731</v>
      </c>
      <c r="P114" s="9">
        <v>1.5001490847043053</v>
      </c>
      <c r="Q114" s="9">
        <v>1.4727454304296153</v>
      </c>
      <c r="R114" s="10">
        <v>5.4616247723595691E-4</v>
      </c>
      <c r="S114" s="8">
        <f t="shared" si="7"/>
        <v>3.5011383195679535E-2</v>
      </c>
      <c r="T114" s="8">
        <f t="shared" si="8"/>
        <v>2.1890317041270424E-4</v>
      </c>
      <c r="U114" s="8">
        <f t="shared" si="9"/>
        <v>7.085091529569465E-2</v>
      </c>
      <c r="V114" s="8">
        <f t="shared" si="10"/>
        <v>9.8254569570384698E-2</v>
      </c>
    </row>
    <row r="115" spans="1:22" x14ac:dyDescent="0.3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0.87143166815243289</v>
      </c>
      <c r="O115" s="9">
        <v>4.1988293100248167E-2</v>
      </c>
      <c r="P115" s="9">
        <v>3.8458579231958963</v>
      </c>
      <c r="Q115" s="9">
        <v>0.85265253246127581</v>
      </c>
      <c r="R115" s="10">
        <v>4.1754797951248256E-4</v>
      </c>
      <c r="S115" s="8">
        <f t="shared" si="7"/>
        <v>0.17143166815243294</v>
      </c>
      <c r="T115" s="8">
        <f t="shared" si="8"/>
        <v>1.8011706899751831E-2</v>
      </c>
      <c r="U115" s="8">
        <f t="shared" si="9"/>
        <v>0.18085792319589622</v>
      </c>
      <c r="V115" s="8">
        <f t="shared" si="10"/>
        <v>6.7652532461275783E-2</v>
      </c>
    </row>
    <row r="116" spans="1:22" x14ac:dyDescent="0.3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0.80935341578476783</v>
      </c>
      <c r="O116" s="9">
        <v>7.480751667476887E-2</v>
      </c>
      <c r="P116" s="9">
        <v>3.5618635161886316</v>
      </c>
      <c r="Q116" s="9">
        <v>0.67174772766341662</v>
      </c>
      <c r="R116" s="10">
        <v>1.4427320134738768E-4</v>
      </c>
      <c r="S116" s="8">
        <f t="shared" si="7"/>
        <v>0.20935341578476785</v>
      </c>
      <c r="T116" s="8">
        <f t="shared" si="8"/>
        <v>2.5192483325231135E-2</v>
      </c>
      <c r="U116" s="8">
        <f t="shared" si="9"/>
        <v>0.10313648381136842</v>
      </c>
      <c r="V116" s="8">
        <f t="shared" si="10"/>
        <v>0.11325227233658341</v>
      </c>
    </row>
    <row r="117" spans="1:22" x14ac:dyDescent="0.3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0.7003681808671669</v>
      </c>
      <c r="O117" s="9">
        <v>0.19992470132641435</v>
      </c>
      <c r="P117" s="9">
        <v>3.6266753581946709</v>
      </c>
      <c r="Q117" s="9">
        <v>0.50211553629619132</v>
      </c>
      <c r="R117" s="10">
        <v>5.2691609241406067E-4</v>
      </c>
      <c r="S117" s="8">
        <f t="shared" si="7"/>
        <v>9.9631819132833144E-2</v>
      </c>
      <c r="T117" s="8">
        <f t="shared" si="8"/>
        <v>1.9924701326414357E-2</v>
      </c>
      <c r="U117" s="8">
        <f t="shared" si="9"/>
        <v>3.8324641805329129E-2</v>
      </c>
      <c r="V117" s="8">
        <f t="shared" si="10"/>
        <v>0.28288446370380871</v>
      </c>
    </row>
    <row r="118" spans="1:22" x14ac:dyDescent="0.3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0.29662551350281074</v>
      </c>
      <c r="O118" s="9">
        <v>0.13165994957777208</v>
      </c>
      <c r="P118" s="9">
        <v>3.7283770335780164</v>
      </c>
      <c r="Q118" s="9">
        <v>1.3634605004101836</v>
      </c>
      <c r="R118" s="10">
        <v>2.6789671445178717E-5</v>
      </c>
      <c r="S118" s="8">
        <f t="shared" si="7"/>
        <v>0.10337448649718928</v>
      </c>
      <c r="T118" s="8">
        <f t="shared" si="8"/>
        <v>6.8340050422227933E-2</v>
      </c>
      <c r="U118" s="8">
        <f t="shared" si="9"/>
        <v>6.3377033578016384E-2</v>
      </c>
      <c r="V118" s="8">
        <f t="shared" si="10"/>
        <v>0.5784605004101836</v>
      </c>
    </row>
    <row r="119" spans="1:22" x14ac:dyDescent="0.3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0.4393198140296366</v>
      </c>
      <c r="O119" s="9">
        <v>7.2247834485981571E-2</v>
      </c>
      <c r="P119" s="9">
        <v>3.7379776398208429</v>
      </c>
      <c r="Q119" s="9">
        <v>1.398739613770694</v>
      </c>
      <c r="R119" s="10">
        <v>1.3621905275703466E-5</v>
      </c>
      <c r="S119" s="8">
        <f t="shared" si="7"/>
        <v>3.9319814029636579E-2</v>
      </c>
      <c r="T119" s="8">
        <f t="shared" si="8"/>
        <v>2.7752165514018434E-2</v>
      </c>
      <c r="U119" s="8">
        <f t="shared" si="9"/>
        <v>7.2977639820842821E-2</v>
      </c>
      <c r="V119" s="8">
        <f t="shared" si="10"/>
        <v>0.17226038622930595</v>
      </c>
    </row>
    <row r="120" spans="1:22" x14ac:dyDescent="0.3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0.67071721413121765</v>
      </c>
      <c r="O120" s="9">
        <v>0.12150911179591328</v>
      </c>
      <c r="P120" s="9">
        <v>3.6555446611845928</v>
      </c>
      <c r="Q120" s="9">
        <v>1.6643488730886398</v>
      </c>
      <c r="R120" s="10">
        <v>1.3913772837813134E-6</v>
      </c>
      <c r="S120" s="8">
        <f t="shared" si="7"/>
        <v>2.9282785868782302E-2</v>
      </c>
      <c r="T120" s="8">
        <f t="shared" si="8"/>
        <v>2.1509111795913277E-2</v>
      </c>
      <c r="U120" s="8">
        <f t="shared" si="9"/>
        <v>9.4553388154072771E-3</v>
      </c>
      <c r="V120" s="8">
        <f t="shared" si="10"/>
        <v>9.3348873088639817E-2</v>
      </c>
    </row>
    <row r="121" spans="1:22" x14ac:dyDescent="0.3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0.32399441772019177</v>
      </c>
      <c r="O121" s="9">
        <v>0.18271539176086427</v>
      </c>
      <c r="P121" s="9">
        <v>3.4548872171863216</v>
      </c>
      <c r="Q121" s="9">
        <v>1.6022485255951415</v>
      </c>
      <c r="R121" s="10">
        <v>2.6090255104705405E-4</v>
      </c>
      <c r="S121" s="8">
        <f t="shared" si="7"/>
        <v>7.6005582279808248E-2</v>
      </c>
      <c r="T121" s="8">
        <f t="shared" si="8"/>
        <v>2.2715391760864262E-2</v>
      </c>
      <c r="U121" s="8">
        <f t="shared" si="9"/>
        <v>0.2101127828136784</v>
      </c>
      <c r="V121" s="8">
        <f t="shared" si="10"/>
        <v>3.1248525595141574E-2</v>
      </c>
    </row>
    <row r="122" spans="1:22" x14ac:dyDescent="0.3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0.26340954397160521</v>
      </c>
      <c r="O122" s="9">
        <v>0.19999996749016238</v>
      </c>
      <c r="P122" s="9">
        <v>4.0462747402845389</v>
      </c>
      <c r="Q122" s="9">
        <v>0.52615272966738103</v>
      </c>
      <c r="R122" s="10">
        <v>1.3388542324735361E-3</v>
      </c>
      <c r="S122" s="8">
        <f t="shared" si="7"/>
        <v>3.659045602839478E-2</v>
      </c>
      <c r="T122" s="8">
        <f t="shared" si="8"/>
        <v>1.999996749016239E-2</v>
      </c>
      <c r="U122" s="8">
        <f t="shared" si="9"/>
        <v>0.38127474028453889</v>
      </c>
      <c r="V122" s="8">
        <f t="shared" si="10"/>
        <v>1.0448472703326188</v>
      </c>
    </row>
    <row r="123" spans="1:22" x14ac:dyDescent="0.3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0.33829043338769288</v>
      </c>
      <c r="O123" s="9">
        <v>3.536575334149851E-2</v>
      </c>
      <c r="P123" s="9">
        <v>1.9407709714610708</v>
      </c>
      <c r="Q123" s="9">
        <v>0.81677364241448913</v>
      </c>
      <c r="R123" s="10">
        <v>1.0781514664531174E-4</v>
      </c>
      <c r="S123" s="8">
        <f t="shared" si="7"/>
        <v>3.829043338769289E-2</v>
      </c>
      <c r="T123" s="8">
        <f t="shared" si="8"/>
        <v>4.4634246658501492E-2</v>
      </c>
      <c r="U123" s="8">
        <f t="shared" si="9"/>
        <v>0.36977097146107085</v>
      </c>
      <c r="V123" s="8">
        <f t="shared" si="10"/>
        <v>3.1773642414489101E-2</v>
      </c>
    </row>
    <row r="124" spans="1:22" x14ac:dyDescent="0.3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0.21003915716994101</v>
      </c>
      <c r="O124" s="9">
        <v>0.19999381653560278</v>
      </c>
      <c r="P124" s="9">
        <v>1.500301024328353</v>
      </c>
      <c r="Q124" s="9">
        <v>1.1718299929394362</v>
      </c>
      <c r="R124" s="10">
        <v>2.326157699317462E-5</v>
      </c>
      <c r="S124" s="8">
        <f t="shared" si="7"/>
        <v>0.18996084283005901</v>
      </c>
      <c r="T124" s="8">
        <f t="shared" si="8"/>
        <v>5.9993816535602762E-2</v>
      </c>
      <c r="U124" s="8">
        <f t="shared" si="9"/>
        <v>7.0698975671646958E-2</v>
      </c>
      <c r="V124" s="8">
        <f t="shared" si="10"/>
        <v>0.38682999293943621</v>
      </c>
    </row>
    <row r="125" spans="1:22" x14ac:dyDescent="0.3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0.55469607906476759</v>
      </c>
      <c r="O125" s="9">
        <v>0.19425334413969744</v>
      </c>
      <c r="P125" s="9">
        <v>1.7584229906752742</v>
      </c>
      <c r="Q125" s="9">
        <v>0.68677762617599292</v>
      </c>
      <c r="R125" s="10">
        <v>5.4958961321566599E-5</v>
      </c>
      <c r="S125" s="8">
        <f t="shared" si="7"/>
        <v>4.5303920935232389E-2</v>
      </c>
      <c r="T125" s="8">
        <f t="shared" si="8"/>
        <v>3.4253344139697439E-2</v>
      </c>
      <c r="U125" s="8">
        <f t="shared" si="9"/>
        <v>0.18742299067527424</v>
      </c>
      <c r="V125" s="8">
        <f t="shared" si="10"/>
        <v>9.8222373824007114E-2</v>
      </c>
    </row>
    <row r="126" spans="1:22" x14ac:dyDescent="0.3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0.52021027804842357</v>
      </c>
      <c r="O126" s="9">
        <v>3.2178855623331254E-2</v>
      </c>
      <c r="P126" s="9">
        <v>1.4629107637983829</v>
      </c>
      <c r="Q126" s="9">
        <v>1.2698806493768013</v>
      </c>
      <c r="R126" s="10">
        <v>3.3819259757066845E-5</v>
      </c>
      <c r="S126" s="8">
        <f t="shared" si="7"/>
        <v>0.12021027804842355</v>
      </c>
      <c r="T126" s="8">
        <f t="shared" si="8"/>
        <v>2.7821144376668744E-2</v>
      </c>
      <c r="U126" s="8">
        <f t="shared" si="9"/>
        <v>0.10808923620161703</v>
      </c>
      <c r="V126" s="8">
        <f t="shared" si="10"/>
        <v>0.30111935062319861</v>
      </c>
    </row>
    <row r="127" spans="1:22" x14ac:dyDescent="0.3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0.87589346041394245</v>
      </c>
      <c r="O127" s="9">
        <v>8.6275600450264708E-2</v>
      </c>
      <c r="P127" s="9">
        <v>1.5328974200251893</v>
      </c>
      <c r="Q127" s="9">
        <v>1.5540420153000198</v>
      </c>
      <c r="R127" s="10">
        <v>2.1484654408864713E-5</v>
      </c>
      <c r="S127" s="8">
        <f t="shared" si="7"/>
        <v>7.5893460413942404E-2</v>
      </c>
      <c r="T127" s="8">
        <f t="shared" si="8"/>
        <v>6.2756004502647067E-3</v>
      </c>
      <c r="U127" s="8">
        <f t="shared" si="9"/>
        <v>3.8102579974810702E-2</v>
      </c>
      <c r="V127" s="8">
        <f t="shared" si="10"/>
        <v>1.6957984699980111E-2</v>
      </c>
    </row>
    <row r="128" spans="1:22" x14ac:dyDescent="0.3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0.49190819506818251</v>
      </c>
      <c r="O128" s="9">
        <v>0.19998735099913112</v>
      </c>
      <c r="P128" s="9">
        <v>1.7498885462924152</v>
      </c>
      <c r="Q128" s="9">
        <v>1.1353951082172531</v>
      </c>
      <c r="R128" s="10">
        <v>5.5029516161504363E-4</v>
      </c>
      <c r="S128" s="8">
        <f t="shared" si="7"/>
        <v>0.20809180493181745</v>
      </c>
      <c r="T128" s="8">
        <f t="shared" si="8"/>
        <v>3.9987350999131116E-2</v>
      </c>
      <c r="U128" s="8">
        <f t="shared" si="9"/>
        <v>0.17888854629241524</v>
      </c>
      <c r="V128" s="8">
        <f t="shared" si="10"/>
        <v>0.43560489178274686</v>
      </c>
    </row>
    <row r="129" spans="1:22" x14ac:dyDescent="0.3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0.64111718922204464</v>
      </c>
      <c r="O129" s="9">
        <v>0.19999677848673741</v>
      </c>
      <c r="P129" s="9">
        <v>1.382577797084267</v>
      </c>
      <c r="Q129" s="9">
        <v>1.4606116284152302</v>
      </c>
      <c r="R129" s="10">
        <v>1.7371691873407499E-3</v>
      </c>
      <c r="S129" s="8">
        <f t="shared" si="7"/>
        <v>5.8882810777955319E-2</v>
      </c>
      <c r="T129" s="8">
        <f t="shared" si="8"/>
        <v>3.2215132625967868E-6</v>
      </c>
      <c r="U129" s="8">
        <f t="shared" si="9"/>
        <v>0.18842220291573297</v>
      </c>
      <c r="V129" s="8">
        <f t="shared" si="10"/>
        <v>0.11038837158476977</v>
      </c>
    </row>
    <row r="130" spans="1:22" x14ac:dyDescent="0.3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0.76375090978728233</v>
      </c>
      <c r="O130" s="9">
        <v>6.7629715710803714E-2</v>
      </c>
      <c r="P130" s="9">
        <v>3.5483788281896773</v>
      </c>
      <c r="Q130" s="9">
        <v>0.7881129528469718</v>
      </c>
      <c r="R130" s="10">
        <v>3.6894283004579647E-5</v>
      </c>
      <c r="S130" s="8">
        <f t="shared" si="7"/>
        <v>6.3750909787282373E-2</v>
      </c>
      <c r="T130" s="8">
        <f t="shared" si="8"/>
        <v>7.6297157108037167E-3</v>
      </c>
      <c r="U130" s="8">
        <f t="shared" si="9"/>
        <v>0.11662117181032272</v>
      </c>
      <c r="V130" s="8">
        <f t="shared" si="10"/>
        <v>3.1129528469717727E-3</v>
      </c>
    </row>
    <row r="131" spans="1:22" x14ac:dyDescent="0.3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0.7690815180405165</v>
      </c>
      <c r="O131" s="9">
        <v>8.0846692957104158E-2</v>
      </c>
      <c r="P131" s="9">
        <v>3.5408148800933508</v>
      </c>
      <c r="Q131" s="9">
        <v>0.65546376981997523</v>
      </c>
      <c r="R131" s="10">
        <v>7.9378201089336736E-5</v>
      </c>
      <c r="S131" s="8">
        <f t="shared" si="7"/>
        <v>0.16908151804051652</v>
      </c>
      <c r="T131" s="8">
        <f t="shared" si="8"/>
        <v>1.9153307042895848E-2</v>
      </c>
      <c r="U131" s="8">
        <f t="shared" si="9"/>
        <v>0.12418511990664927</v>
      </c>
      <c r="V131" s="8">
        <f t="shared" si="10"/>
        <v>0.1295362301800248</v>
      </c>
    </row>
    <row r="132" spans="1:22" x14ac:dyDescent="0.3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0.68377469876017205</v>
      </c>
      <c r="O132" s="9">
        <v>0.19520706899381157</v>
      </c>
      <c r="P132" s="9">
        <v>3.7471539781364691</v>
      </c>
      <c r="Q132" s="9">
        <v>0.63529181672076118</v>
      </c>
      <c r="R132" s="10">
        <v>2.4703891832659444E-4</v>
      </c>
      <c r="S132" s="8">
        <f t="shared" si="7"/>
        <v>0.11622530123982799</v>
      </c>
      <c r="T132" s="8">
        <f t="shared" si="8"/>
        <v>1.5207068993811579E-2</v>
      </c>
      <c r="U132" s="8">
        <f t="shared" si="9"/>
        <v>8.2153978136469075E-2</v>
      </c>
      <c r="V132" s="8">
        <f t="shared" si="10"/>
        <v>0.14970818327923885</v>
      </c>
    </row>
    <row r="133" spans="1:22" x14ac:dyDescent="0.3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0.27201583825589692</v>
      </c>
      <c r="O133" s="9">
        <v>0.17143874651355825</v>
      </c>
      <c r="P133" s="9">
        <v>3.6884812181395663</v>
      </c>
      <c r="Q133" s="9">
        <v>1.608885973075445</v>
      </c>
      <c r="R133" s="10">
        <v>3.0929790344461157E-5</v>
      </c>
      <c r="S133" s="8">
        <f t="shared" si="7"/>
        <v>0.1279841617441031</v>
      </c>
      <c r="T133" s="8">
        <f t="shared" si="8"/>
        <v>2.8561253486441757E-2</v>
      </c>
      <c r="U133" s="8">
        <f t="shared" si="9"/>
        <v>2.3481218139566273E-2</v>
      </c>
      <c r="V133" s="8">
        <f t="shared" si="10"/>
        <v>0.82388597307544498</v>
      </c>
    </row>
    <row r="134" spans="1:22" x14ac:dyDescent="0.3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0.24460855207464152</v>
      </c>
      <c r="O134" s="9">
        <v>0.1999555255838309</v>
      </c>
      <c r="P134" s="9">
        <v>3.5512099717220917</v>
      </c>
      <c r="Q134" s="9">
        <v>1.4349948320953572</v>
      </c>
      <c r="R134" s="10">
        <v>7.0074287244041954E-5</v>
      </c>
      <c r="S134" s="8">
        <f t="shared" si="7"/>
        <v>0.1553914479253585</v>
      </c>
      <c r="T134" s="8">
        <f t="shared" si="8"/>
        <v>9.995552558383089E-2</v>
      </c>
      <c r="U134" s="8">
        <f t="shared" si="9"/>
        <v>0.11379002827790829</v>
      </c>
      <c r="V134" s="8">
        <f t="shared" si="10"/>
        <v>0.13600516790464279</v>
      </c>
    </row>
    <row r="135" spans="1:22" x14ac:dyDescent="0.3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0.71078002818105701</v>
      </c>
      <c r="O135" s="9">
        <v>0.113440537562338</v>
      </c>
      <c r="P135" s="9">
        <v>3.6579028684649333</v>
      </c>
      <c r="Q135" s="9">
        <v>1.7057510817676174</v>
      </c>
      <c r="R135" s="10">
        <v>1.8537126670312981E-5</v>
      </c>
      <c r="S135" s="8">
        <f t="shared" si="7"/>
        <v>1.0780028181057055E-2</v>
      </c>
      <c r="T135" s="8">
        <f t="shared" si="8"/>
        <v>1.3440537562337998E-2</v>
      </c>
      <c r="U135" s="8">
        <f t="shared" si="9"/>
        <v>7.0971315350667474E-3</v>
      </c>
      <c r="V135" s="8">
        <f t="shared" si="10"/>
        <v>0.13475108176761741</v>
      </c>
    </row>
    <row r="136" spans="1:22" x14ac:dyDescent="0.3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0.49806495217675678</v>
      </c>
      <c r="O136" s="9">
        <v>8.3508108907190584E-2</v>
      </c>
      <c r="P136" s="9">
        <v>3.7576016662705878</v>
      </c>
      <c r="Q136" s="9">
        <v>1.5272341705288455</v>
      </c>
      <c r="R136" s="10">
        <v>1.0235579125766379E-4</v>
      </c>
      <c r="S136" s="8">
        <f t="shared" si="7"/>
        <v>9.8064952176756759E-2</v>
      </c>
      <c r="T136" s="8">
        <f t="shared" si="8"/>
        <v>7.6491891092809419E-2</v>
      </c>
      <c r="U136" s="8">
        <f t="shared" si="9"/>
        <v>9.2601666270587746E-2</v>
      </c>
      <c r="V136" s="8">
        <f t="shared" si="10"/>
        <v>4.3765829471154483E-2</v>
      </c>
    </row>
    <row r="137" spans="1:22" x14ac:dyDescent="0.3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0.26469668234207167</v>
      </c>
      <c r="O137" s="9">
        <v>0.19999898195473587</v>
      </c>
      <c r="P137" s="9">
        <v>3.9017101862079349</v>
      </c>
      <c r="Q137" s="9">
        <v>0.73383155603030537</v>
      </c>
      <c r="R137" s="10">
        <v>6.1993063479949908E-4</v>
      </c>
      <c r="S137" s="8">
        <f t="shared" si="7"/>
        <v>3.5303317657928324E-2</v>
      </c>
      <c r="T137" s="8">
        <f t="shared" si="8"/>
        <v>1.9998981954735873E-2</v>
      </c>
      <c r="U137" s="8">
        <f t="shared" si="9"/>
        <v>0.23671018620793483</v>
      </c>
      <c r="V137" s="8">
        <f t="shared" si="10"/>
        <v>0.83716844396969459</v>
      </c>
    </row>
    <row r="138" spans="1:22" x14ac:dyDescent="0.3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0.29469506221198566</v>
      </c>
      <c r="O138" s="9">
        <v>3.4101046190860268E-2</v>
      </c>
      <c r="P138" s="9">
        <v>1.7409567047646126</v>
      </c>
      <c r="Q138" s="9">
        <v>0.99223589357945985</v>
      </c>
      <c r="R138" s="10">
        <v>6.7216719605715715E-5</v>
      </c>
      <c r="S138" s="8">
        <f t="shared" si="7"/>
        <v>5.30493778801433E-3</v>
      </c>
      <c r="T138" s="8">
        <f t="shared" si="8"/>
        <v>4.5898953809139734E-2</v>
      </c>
      <c r="U138" s="8">
        <f t="shared" si="9"/>
        <v>0.16995670476461266</v>
      </c>
      <c r="V138" s="8">
        <f t="shared" si="10"/>
        <v>0.20723589357945982</v>
      </c>
    </row>
    <row r="139" spans="1:22" x14ac:dyDescent="0.3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0.51742772722311448</v>
      </c>
      <c r="O139" s="9">
        <v>5.9582765066174027E-2</v>
      </c>
      <c r="P139" s="9">
        <v>1.593030580604814</v>
      </c>
      <c r="Q139" s="9">
        <v>0.87037723072251505</v>
      </c>
      <c r="R139" s="10">
        <v>4.0223511618319973E-5</v>
      </c>
      <c r="S139" s="8">
        <f t="shared" si="7"/>
        <v>0.11742772722311445</v>
      </c>
      <c r="T139" s="8">
        <f t="shared" si="8"/>
        <v>8.0417234933825993E-2</v>
      </c>
      <c r="U139" s="8">
        <f t="shared" si="9"/>
        <v>2.2030580604813998E-2</v>
      </c>
      <c r="V139" s="8">
        <f t="shared" si="10"/>
        <v>8.5377230722515018E-2</v>
      </c>
    </row>
    <row r="140" spans="1:22" x14ac:dyDescent="0.3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0.53285768099748843</v>
      </c>
      <c r="O140" s="9">
        <v>0.15539000500014968</v>
      </c>
      <c r="P140" s="9">
        <v>1.4783330679092752</v>
      </c>
      <c r="Q140" s="9">
        <v>0.91173897577017049</v>
      </c>
      <c r="R140" s="10">
        <v>2.3314700776261174E-4</v>
      </c>
      <c r="S140" s="8">
        <f t="shared" si="7"/>
        <v>6.7142319002511552E-2</v>
      </c>
      <c r="T140" s="8">
        <f t="shared" si="8"/>
        <v>4.6099949998503198E-3</v>
      </c>
      <c r="U140" s="8">
        <f t="shared" si="9"/>
        <v>9.2666932090724741E-2</v>
      </c>
      <c r="V140" s="8">
        <f t="shared" si="10"/>
        <v>0.12673897577017046</v>
      </c>
    </row>
    <row r="141" spans="1:22" x14ac:dyDescent="0.3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0.34997639841039491</v>
      </c>
      <c r="O141" s="9">
        <v>8.2839242168680896E-2</v>
      </c>
      <c r="P141" s="9">
        <v>1.7436386562352411</v>
      </c>
      <c r="Q141" s="9">
        <v>1.5780197324375913</v>
      </c>
      <c r="R141" s="10">
        <v>6.0259411331528571E-5</v>
      </c>
      <c r="S141" s="8">
        <f t="shared" si="7"/>
        <v>5.0023601589605116E-2</v>
      </c>
      <c r="T141" s="8">
        <f t="shared" si="8"/>
        <v>2.2839242168680898E-2</v>
      </c>
      <c r="U141" s="8">
        <f t="shared" si="9"/>
        <v>0.17263865623524111</v>
      </c>
      <c r="V141" s="8">
        <f t="shared" si="10"/>
        <v>7.0197324375913528E-3</v>
      </c>
    </row>
    <row r="142" spans="1:22" x14ac:dyDescent="0.3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0.89793598324975177</v>
      </c>
      <c r="O142" s="9">
        <v>8.8175163382569893E-2</v>
      </c>
      <c r="P142" s="9">
        <v>1.5407941252583655</v>
      </c>
      <c r="Q142" s="9">
        <v>1.2840336980387339</v>
      </c>
      <c r="R142" s="10">
        <v>2.3955895000561463E-5</v>
      </c>
      <c r="S142" s="8">
        <f t="shared" si="7"/>
        <v>9.7935983249751724E-2</v>
      </c>
      <c r="T142" s="8">
        <f t="shared" si="8"/>
        <v>8.1751633825698916E-3</v>
      </c>
      <c r="U142" s="8">
        <f t="shared" si="9"/>
        <v>3.0205874741634497E-2</v>
      </c>
      <c r="V142" s="8">
        <f t="shared" si="10"/>
        <v>0.28696630196126605</v>
      </c>
    </row>
    <row r="143" spans="1:22" x14ac:dyDescent="0.3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0.73734197835236048</v>
      </c>
      <c r="O143" s="9">
        <v>0.13445262089266236</v>
      </c>
      <c r="P143" s="9">
        <v>1.5122791846122201</v>
      </c>
      <c r="Q143" s="9">
        <v>1.7166688063551381</v>
      </c>
      <c r="R143" s="10">
        <v>1.7905689700534487E-4</v>
      </c>
      <c r="S143" s="8">
        <f t="shared" si="7"/>
        <v>3.7341978352360528E-2</v>
      </c>
      <c r="T143" s="8">
        <f t="shared" si="8"/>
        <v>2.5547379107337648E-2</v>
      </c>
      <c r="U143" s="8">
        <f t="shared" si="9"/>
        <v>5.8720815387779846E-2</v>
      </c>
      <c r="V143" s="8">
        <f t="shared" si="10"/>
        <v>0.14566880635513813</v>
      </c>
    </row>
    <row r="144" spans="1:22" x14ac:dyDescent="0.3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0.61666520574896555</v>
      </c>
      <c r="O144" s="9">
        <v>0.19998608342199678</v>
      </c>
      <c r="P144" s="9">
        <v>1.6276060623014708</v>
      </c>
      <c r="Q144" s="9">
        <v>1.4267967713156677</v>
      </c>
      <c r="R144" s="10">
        <v>7.3822940650882397E-4</v>
      </c>
      <c r="S144" s="8">
        <f t="shared" si="7"/>
        <v>8.3334794251034405E-2</v>
      </c>
      <c r="T144" s="8">
        <f t="shared" si="8"/>
        <v>1.3916578003231317E-5</v>
      </c>
      <c r="U144" s="8">
        <f t="shared" si="9"/>
        <v>5.6606062301470805E-2</v>
      </c>
      <c r="V144" s="8">
        <f t="shared" si="10"/>
        <v>0.14420322868433222</v>
      </c>
    </row>
    <row r="145" spans="1:22" x14ac:dyDescent="0.3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0.90010805319005116</v>
      </c>
      <c r="O145" s="9">
        <v>4.3941646165498539E-2</v>
      </c>
      <c r="P145" s="9">
        <v>3.7536188504845058</v>
      </c>
      <c r="Q145" s="9">
        <v>0.74252533145841382</v>
      </c>
      <c r="R145" s="10">
        <v>1.0223703480857761E-4</v>
      </c>
      <c r="S145" s="8">
        <f t="shared" si="7"/>
        <v>0.2001080531900512</v>
      </c>
      <c r="T145" s="8">
        <f t="shared" si="8"/>
        <v>1.6058353834501458E-2</v>
      </c>
      <c r="U145" s="8">
        <f t="shared" si="9"/>
        <v>8.8618850484505796E-2</v>
      </c>
      <c r="V145" s="8">
        <f t="shared" si="10"/>
        <v>4.2474668541586214E-2</v>
      </c>
    </row>
    <row r="146" spans="1:22" x14ac:dyDescent="0.3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0.58939903786642478</v>
      </c>
      <c r="O146" s="9">
        <v>7.3846910470486263E-2</v>
      </c>
      <c r="P146" s="9">
        <v>3.5270312936396055</v>
      </c>
      <c r="Q146" s="9">
        <v>1.1252014451125698</v>
      </c>
      <c r="R146" s="10">
        <v>1.3451061030789142E-4</v>
      </c>
      <c r="S146" s="8">
        <f t="shared" ref="S146:S152" si="11">ABS(N146-A146)</f>
        <v>1.0600962133575198E-2</v>
      </c>
      <c r="T146" s="8">
        <f t="shared" ref="T146:T152" si="12">ABS(O146-B146)</f>
        <v>2.6153089529513743E-2</v>
      </c>
      <c r="U146" s="8">
        <f t="shared" ref="U146:U152" si="13">ABS(P146-C146)</f>
        <v>0.13796870636039449</v>
      </c>
      <c r="V146" s="8">
        <f t="shared" ref="V146:V152" si="14">ABS(Q146-D146)</f>
        <v>0.34020144511256978</v>
      </c>
    </row>
    <row r="147" spans="1:22" x14ac:dyDescent="0.3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0.98100955981416615</v>
      </c>
      <c r="O147" s="9">
        <v>0.19999999963538773</v>
      </c>
      <c r="P147" s="9">
        <v>3.5160743052280097</v>
      </c>
      <c r="Q147" s="9">
        <v>0.33408878403171438</v>
      </c>
      <c r="R147" s="10">
        <v>8.7127769376657723E-4</v>
      </c>
      <c r="S147" s="8">
        <f t="shared" si="11"/>
        <v>0.18100955981416611</v>
      </c>
      <c r="T147" s="8">
        <f t="shared" si="12"/>
        <v>1.9999999635387733E-2</v>
      </c>
      <c r="U147" s="8">
        <f t="shared" si="13"/>
        <v>0.14892569477199036</v>
      </c>
      <c r="V147" s="8">
        <f t="shared" si="14"/>
        <v>0.45091121596828565</v>
      </c>
    </row>
    <row r="148" spans="1:22" x14ac:dyDescent="0.3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0.3333032265986543</v>
      </c>
      <c r="O148" s="9">
        <v>0.19999930883523884</v>
      </c>
      <c r="P148" s="9">
        <v>3.8370780208045758</v>
      </c>
      <c r="Q148" s="9">
        <v>0.57560078116565971</v>
      </c>
      <c r="R148" s="10">
        <v>5.5131956372979254E-4</v>
      </c>
      <c r="S148" s="8">
        <f t="shared" si="11"/>
        <v>6.6696773401345721E-2</v>
      </c>
      <c r="T148" s="8">
        <f t="shared" si="12"/>
        <v>6.9116476117403458E-7</v>
      </c>
      <c r="U148" s="8">
        <f t="shared" si="13"/>
        <v>0.17207802080457579</v>
      </c>
      <c r="V148" s="8">
        <f t="shared" si="14"/>
        <v>0.20939921883434032</v>
      </c>
    </row>
    <row r="149" spans="1:22" x14ac:dyDescent="0.3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0.45861466545953578</v>
      </c>
      <c r="O149" s="9">
        <v>6.9867803972391715E-2</v>
      </c>
      <c r="P149" s="9">
        <v>3.6901624053204012</v>
      </c>
      <c r="Q149" s="9">
        <v>1.8056047648673808</v>
      </c>
      <c r="R149" s="10">
        <v>7.1419701966401708E-6</v>
      </c>
      <c r="S149" s="8">
        <f t="shared" si="11"/>
        <v>5.8614665459535753E-2</v>
      </c>
      <c r="T149" s="8">
        <f t="shared" si="12"/>
        <v>3.0132196027608291E-2</v>
      </c>
      <c r="U149" s="8">
        <f t="shared" si="13"/>
        <v>2.5162405320401149E-2</v>
      </c>
      <c r="V149" s="8">
        <f t="shared" si="14"/>
        <v>0.2346047648673808</v>
      </c>
    </row>
    <row r="150" spans="1:22" x14ac:dyDescent="0.3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0.65336655895524054</v>
      </c>
      <c r="O150" s="9">
        <v>0.13824186510209568</v>
      </c>
      <c r="P150" s="9">
        <v>3.6384531847842689</v>
      </c>
      <c r="Q150" s="9">
        <v>1.2737751855081958</v>
      </c>
      <c r="R150" s="10">
        <v>7.9388791383623177E-5</v>
      </c>
      <c r="S150" s="8">
        <f t="shared" si="11"/>
        <v>4.6633441044759416E-2</v>
      </c>
      <c r="T150" s="8">
        <f t="shared" si="12"/>
        <v>3.8241865102095679E-2</v>
      </c>
      <c r="U150" s="8">
        <f t="shared" si="13"/>
        <v>2.6546815215731101E-2</v>
      </c>
      <c r="V150" s="8">
        <f t="shared" si="14"/>
        <v>0.29722481449180416</v>
      </c>
    </row>
    <row r="151" spans="1:22" x14ac:dyDescent="0.3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0.31071518887366822</v>
      </c>
      <c r="O151" s="9">
        <v>0.19999994420296122</v>
      </c>
      <c r="P151" s="9">
        <v>3.8817261749332816</v>
      </c>
      <c r="Q151" s="9">
        <v>2.3543635744577225</v>
      </c>
      <c r="R151" s="10">
        <v>1.8650466288179565E-3</v>
      </c>
      <c r="S151" s="8">
        <f t="shared" si="11"/>
        <v>8.9284811126331798E-2</v>
      </c>
      <c r="T151" s="8">
        <f t="shared" si="12"/>
        <v>3.9999944202961213E-2</v>
      </c>
      <c r="U151" s="8">
        <f t="shared" si="13"/>
        <v>0.21672617493328161</v>
      </c>
      <c r="V151" s="8">
        <f t="shared" si="14"/>
        <v>0.78336357445772253</v>
      </c>
    </row>
    <row r="152" spans="1:22" x14ac:dyDescent="0.3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0.24176795966781781</v>
      </c>
      <c r="O152" s="9">
        <v>0.1819468966019305</v>
      </c>
      <c r="P152" s="9">
        <v>3.7635135340835242</v>
      </c>
      <c r="Q152" s="9">
        <v>1.2989631736952754</v>
      </c>
      <c r="R152" s="10">
        <v>3.2356424836682835E-5</v>
      </c>
      <c r="S152" s="8">
        <f t="shared" si="11"/>
        <v>5.8232040332182183E-2</v>
      </c>
      <c r="T152" s="8">
        <f t="shared" si="12"/>
        <v>1.946896601930509E-3</v>
      </c>
      <c r="U152" s="8">
        <f t="shared" si="13"/>
        <v>9.8513534083524146E-2</v>
      </c>
      <c r="V152" s="8">
        <f t="shared" si="14"/>
        <v>0.27203682630472459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E7D0-8D53-4D50-8A46-D33B47A4FF55}">
  <dimension ref="A1:Z152"/>
  <sheetViews>
    <sheetView tabSelected="1" topLeftCell="I1" workbookViewId="0">
      <selection activeCell="R153" sqref="R153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-1.5595351578667801E-4</v>
      </c>
      <c r="I3" s="9">
        <f>'Proximal Validation (single)'!I3</f>
        <v>-3.4215424209833097E-2</v>
      </c>
      <c r="J3" s="9">
        <f>'Proximal Validation (single)'!J3</f>
        <v>-1.4112447388470199E-7</v>
      </c>
      <c r="K3" s="9">
        <f>'Proximal Validation (single)'!K3</f>
        <v>0.19788618385791801</v>
      </c>
      <c r="L3" s="9">
        <f>'Proximal Validation (single)'!L3</f>
        <v>-3.1988471746444702E-3</v>
      </c>
      <c r="M3" s="9">
        <f>'Proximal Validation (single)'!M3</f>
        <v>0.198836579918861</v>
      </c>
      <c r="N3" s="9">
        <v>0.37255199714654602</v>
      </c>
      <c r="O3" s="9">
        <v>2.257590788578312E-2</v>
      </c>
      <c r="P3" s="9">
        <v>1.634531311310758</v>
      </c>
      <c r="Q3" s="9">
        <v>1.7973086048148368</v>
      </c>
      <c r="R3" s="10">
        <v>1.7416254759117635E-4</v>
      </c>
      <c r="S3" s="8">
        <f>ABS(N3-A3)</f>
        <v>7.2551997146546032E-2</v>
      </c>
      <c r="T3" s="8">
        <f t="shared" ref="T3:V18" si="0">ABS(O3-B3)</f>
        <v>5.7424092114216882E-2</v>
      </c>
      <c r="U3" s="8">
        <f t="shared" si="0"/>
        <v>6.3531311310758065E-2</v>
      </c>
      <c r="V3" s="8">
        <f t="shared" si="0"/>
        <v>1.0123086048148369</v>
      </c>
      <c r="W3" s="9">
        <f>AVERAGE(S3:S152)</f>
        <v>0.1370077024977007</v>
      </c>
      <c r="X3" s="9">
        <f t="shared" ref="X3:Z3" si="1">AVERAGE(T3:T152)</f>
        <v>4.1942791846021538E-2</v>
      </c>
      <c r="Y3" s="9">
        <f t="shared" si="1"/>
        <v>0.26995841034156487</v>
      </c>
      <c r="Z3" s="9">
        <f t="shared" si="1"/>
        <v>0.41156169253554559</v>
      </c>
    </row>
    <row r="4" spans="1:26" x14ac:dyDescent="0.3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-2.4353998014703401E-4</v>
      </c>
      <c r="I4" s="9">
        <f>'Proximal Validation (single)'!I4</f>
        <v>-5.8889582753181499E-2</v>
      </c>
      <c r="J4" s="9">
        <f>'Proximal Validation (single)'!J4</f>
        <v>-5.9254060033708797E-5</v>
      </c>
      <c r="K4" s="9">
        <f>'Proximal Validation (single)'!K4</f>
        <v>0.25050288438797003</v>
      </c>
      <c r="L4" s="9">
        <f>'Proximal Validation (single)'!L4</f>
        <v>9.8302215337753296E-4</v>
      </c>
      <c r="M4" s="9">
        <f>'Proximal Validation (single)'!M4</f>
        <v>0.25498384237289401</v>
      </c>
      <c r="N4" s="9">
        <v>0.48145648807986874</v>
      </c>
      <c r="O4" s="9">
        <v>5.5760949841842461E-2</v>
      </c>
      <c r="P4" s="9">
        <v>0.89684462880205829</v>
      </c>
      <c r="Q4" s="9">
        <v>0.62712083451079825</v>
      </c>
      <c r="R4" s="10">
        <v>1.4350975525333752E-3</v>
      </c>
      <c r="S4" s="8">
        <f t="shared" ref="S4:V19" si="2">ABS(N4-A4)</f>
        <v>8.1456488079868716E-2</v>
      </c>
      <c r="T4" s="8">
        <f t="shared" si="0"/>
        <v>8.4239050158157552E-2</v>
      </c>
      <c r="U4" s="8">
        <f t="shared" si="0"/>
        <v>0.67415537119794167</v>
      </c>
      <c r="V4" s="8">
        <f t="shared" si="0"/>
        <v>0.15787916548920178</v>
      </c>
      <c r="Y4">
        <f>DEGREES(Y3)</f>
        <v>15.467477556632504</v>
      </c>
      <c r="Z4">
        <f>DEGREES(Z3)</f>
        <v>23.5807479915476</v>
      </c>
    </row>
    <row r="5" spans="1:26" x14ac:dyDescent="0.3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2.2863354533910799E-3</v>
      </c>
      <c r="I5" s="9">
        <f>'Proximal Validation (single)'!I5</f>
        <v>-0.11987078934907899</v>
      </c>
      <c r="J5" s="9">
        <f>'Proximal Validation (single)'!J5</f>
        <v>-6.9630080834031096E-3</v>
      </c>
      <c r="K5" s="9">
        <f>'Proximal Validation (single)'!K5</f>
        <v>0.31022596359252902</v>
      </c>
      <c r="L5" s="9">
        <f>'Proximal Validation (single)'!L5</f>
        <v>-2.3233078420162201E-2</v>
      </c>
      <c r="M5" s="9">
        <f>'Proximal Validation (single)'!M5</f>
        <v>0.50102174282073997</v>
      </c>
      <c r="N5" s="9">
        <v>0.83585099958821607</v>
      </c>
      <c r="O5" s="9">
        <v>0.19999999271773744</v>
      </c>
      <c r="P5" s="9">
        <v>2.2030469713979914</v>
      </c>
      <c r="Q5" s="9">
        <v>0.25073751353801765</v>
      </c>
      <c r="R5" s="10">
        <v>1.7127280159990388E-3</v>
      </c>
      <c r="S5" s="8">
        <f t="shared" si="2"/>
        <v>0.23585099958821609</v>
      </c>
      <c r="T5" s="8">
        <f t="shared" si="0"/>
        <v>3.9999992717737437E-2</v>
      </c>
      <c r="U5" s="8">
        <f t="shared" si="0"/>
        <v>0.63204697139799149</v>
      </c>
      <c r="V5" s="8">
        <f t="shared" si="0"/>
        <v>0.53426248646198238</v>
      </c>
    </row>
    <row r="6" spans="1:26" x14ac:dyDescent="0.3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6.5225898288190397E-4</v>
      </c>
      <c r="I6" s="9">
        <f>'Proximal Validation (single)'!I6</f>
        <v>-6.1197262257337598E-2</v>
      </c>
      <c r="J6" s="9">
        <f>'Proximal Validation (single)'!J6</f>
        <v>-8.9818926062434901E-4</v>
      </c>
      <c r="K6" s="9">
        <f>'Proximal Validation (single)'!K6</f>
        <v>-1.97219010442495E-3</v>
      </c>
      <c r="L6" s="9">
        <f>'Proximal Validation (single)'!L6</f>
        <v>-5.79428672790527E-3</v>
      </c>
      <c r="M6" s="9">
        <f>'Proximal Validation (single)'!M6</f>
        <v>0.38675421476364102</v>
      </c>
      <c r="N6" s="9">
        <v>0.44342163709519805</v>
      </c>
      <c r="O6" s="9">
        <v>4.9572473579522137E-2</v>
      </c>
      <c r="P6" s="9">
        <v>1.452537262258061</v>
      </c>
      <c r="Q6" s="9">
        <v>1.6653795531408195</v>
      </c>
      <c r="R6" s="10">
        <v>3.6906082038555544E-4</v>
      </c>
      <c r="S6" s="8">
        <f t="shared" si="2"/>
        <v>4.3421637095198029E-2</v>
      </c>
      <c r="T6" s="8">
        <f t="shared" si="0"/>
        <v>1.042752642047786E-2</v>
      </c>
      <c r="U6" s="8">
        <f t="shared" si="0"/>
        <v>0.11846273774193894</v>
      </c>
      <c r="V6" s="8">
        <f t="shared" si="0"/>
        <v>9.4379553140819583E-2</v>
      </c>
    </row>
    <row r="7" spans="1:26" x14ac:dyDescent="0.3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-4.06092498451471E-4</v>
      </c>
      <c r="I7" s="9">
        <f>'Proximal Validation (single)'!I7</f>
        <v>-0.15244589745998399</v>
      </c>
      <c r="J7" s="9">
        <f>'Proximal Validation (single)'!J7</f>
        <v>-1.21209200005978E-3</v>
      </c>
      <c r="K7" s="9">
        <f>'Proximal Validation (single)'!K7</f>
        <v>-0.117412149906158</v>
      </c>
      <c r="L7" s="9">
        <f>'Proximal Validation (single)'!L7</f>
        <v>-2.6462823152542101E-3</v>
      </c>
      <c r="M7" s="9">
        <f>'Proximal Validation (single)'!M7</f>
        <v>0.85134243965148904</v>
      </c>
      <c r="N7" s="9">
        <v>0.96155799449400492</v>
      </c>
      <c r="O7" s="9">
        <v>6.8834809710659861E-2</v>
      </c>
      <c r="P7" s="9">
        <v>1.4640648689142359</v>
      </c>
      <c r="Q7" s="9">
        <v>1.3192024235312982</v>
      </c>
      <c r="R7" s="10">
        <v>5.6938594194915414E-4</v>
      </c>
      <c r="S7" s="8">
        <f t="shared" si="2"/>
        <v>0.16155799449400488</v>
      </c>
      <c r="T7" s="8">
        <f t="shared" si="0"/>
        <v>1.1165190289340141E-2</v>
      </c>
      <c r="U7" s="8">
        <f t="shared" si="0"/>
        <v>0.10693513108576402</v>
      </c>
      <c r="V7" s="8">
        <f t="shared" si="0"/>
        <v>0.25179757646870171</v>
      </c>
    </row>
    <row r="8" spans="1:26" x14ac:dyDescent="0.3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5.05214463919401E-3</v>
      </c>
      <c r="I8" s="9">
        <f>'Proximal Validation (single)'!I8</f>
        <v>-0.157537400722504</v>
      </c>
      <c r="J8" s="9">
        <f>'Proximal Validation (single)'!J8</f>
        <v>-6.2086973339319203E-3</v>
      </c>
      <c r="K8" s="9">
        <f>'Proximal Validation (single)'!K8</f>
        <v>-0.29486876726150502</v>
      </c>
      <c r="L8" s="9">
        <f>'Proximal Validation (single)'!L8</f>
        <v>-2.80796959996223E-2</v>
      </c>
      <c r="M8" s="9">
        <f>'Proximal Validation (single)'!M8</f>
        <v>0.56537818908691395</v>
      </c>
      <c r="N8" s="9">
        <v>0.67656075448148079</v>
      </c>
      <c r="O8" s="9">
        <v>0.19308646729954687</v>
      </c>
      <c r="P8" s="9">
        <v>1.7012668712870029</v>
      </c>
      <c r="Q8" s="9">
        <v>1.6113936315660653</v>
      </c>
      <c r="R8" s="10">
        <v>4.3373266203892361E-4</v>
      </c>
      <c r="S8" s="8">
        <f t="shared" si="2"/>
        <v>2.3439245518519169E-2</v>
      </c>
      <c r="T8" s="8">
        <f t="shared" si="0"/>
        <v>3.3086467299546868E-2</v>
      </c>
      <c r="U8" s="8">
        <f t="shared" si="0"/>
        <v>0.13026687128700298</v>
      </c>
      <c r="V8" s="8">
        <f t="shared" si="0"/>
        <v>4.0393631566065347E-2</v>
      </c>
    </row>
    <row r="9" spans="1:26" x14ac:dyDescent="0.3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3.71134956367314E-5</v>
      </c>
      <c r="I9" s="9">
        <f>'Proximal Validation (single)'!I9</f>
        <v>-0.19372102618217499</v>
      </c>
      <c r="J9" s="9">
        <f>'Proximal Validation (single)'!J9</f>
        <v>-2.1289892029017201E-3</v>
      </c>
      <c r="K9" s="9">
        <f>'Proximal Validation (single)'!K9</f>
        <v>-0.41201990842819203</v>
      </c>
      <c r="L9" s="9">
        <f>'Proximal Validation (single)'!L9</f>
        <v>-1.1864490807056401E-3</v>
      </c>
      <c r="M9" s="9">
        <f>'Proximal Validation (single)'!M9</f>
        <v>0.55889892578125</v>
      </c>
      <c r="N9" s="9">
        <v>0.97749950989765089</v>
      </c>
      <c r="O9" s="9">
        <v>0.1999994662515546</v>
      </c>
      <c r="P9" s="9">
        <v>1.5363693287618154</v>
      </c>
      <c r="Q9" s="9">
        <v>1.9398582263186466</v>
      </c>
      <c r="R9" s="10">
        <v>6.0240050417286709E-4</v>
      </c>
      <c r="S9" s="8">
        <f t="shared" si="2"/>
        <v>0.27749950989765093</v>
      </c>
      <c r="T9" s="8">
        <f t="shared" si="0"/>
        <v>5.3374844541376198E-7</v>
      </c>
      <c r="U9" s="8">
        <f t="shared" si="0"/>
        <v>3.4630671238184529E-2</v>
      </c>
      <c r="V9" s="8">
        <f t="shared" si="0"/>
        <v>0.36885822631864662</v>
      </c>
    </row>
    <row r="10" spans="1:26" x14ac:dyDescent="0.3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-8.9350854977965398E-4</v>
      </c>
      <c r="I10" s="9">
        <f>'Proximal Validation (single)'!I10</f>
        <v>4.2732272297143901E-2</v>
      </c>
      <c r="J10" s="9">
        <f>'Proximal Validation (single)'!J10</f>
        <v>-7.74873793125153E-2</v>
      </c>
      <c r="K10" s="9">
        <f>'Proximal Validation (single)'!K10</f>
        <v>0.62493914365768399</v>
      </c>
      <c r="L10" s="9">
        <f>'Proximal Validation (single)'!L10</f>
        <v>-0.52349442243576105</v>
      </c>
      <c r="M10" s="9">
        <f>'Proximal Validation (single)'!M10</f>
        <v>-0.28826642036437999</v>
      </c>
      <c r="N10" s="9">
        <v>0.99999152767870703</v>
      </c>
      <c r="O10" s="9">
        <v>1.6267592034002194E-2</v>
      </c>
      <c r="P10" s="9">
        <v>3.5132822292987167</v>
      </c>
      <c r="Q10" s="9">
        <v>0.86169099268316141</v>
      </c>
      <c r="R10" s="10">
        <v>8.7145677362342232E-4</v>
      </c>
      <c r="S10" s="8">
        <f t="shared" si="2"/>
        <v>0.29999152767870707</v>
      </c>
      <c r="T10" s="8">
        <f t="shared" si="0"/>
        <v>4.3732407965997804E-2</v>
      </c>
      <c r="U10" s="8">
        <f t="shared" si="0"/>
        <v>0.15171777070128334</v>
      </c>
      <c r="V10" s="8">
        <f t="shared" si="0"/>
        <v>7.6690992683161374E-2</v>
      </c>
    </row>
    <row r="11" spans="1:26" x14ac:dyDescent="0.3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-8.9688366279006004E-4</v>
      </c>
      <c r="I11" s="9">
        <f>'Proximal Validation (single)'!I11</f>
        <v>4.1764143854379703E-2</v>
      </c>
      <c r="J11" s="9">
        <f>'Proximal Validation (single)'!J11</f>
        <v>-7.7566295862197904E-2</v>
      </c>
      <c r="K11" s="9">
        <f>'Proximal Validation (single)'!K11</f>
        <v>0.45929118990898099</v>
      </c>
      <c r="L11" s="9">
        <f>'Proximal Validation (single)'!L11</f>
        <v>-0.41274711489677401</v>
      </c>
      <c r="M11" s="9">
        <f>'Proximal Validation (single)'!M11</f>
        <v>-0.223745286464691</v>
      </c>
      <c r="N11" s="9">
        <v>0.62241264334742374</v>
      </c>
      <c r="O11" s="9">
        <v>8.3466536287165424E-2</v>
      </c>
      <c r="P11" s="9">
        <v>3.3996577773344097</v>
      </c>
      <c r="Q11" s="9">
        <v>1.023570103860584</v>
      </c>
      <c r="R11" s="10">
        <v>3.8334982599136944E-4</v>
      </c>
      <c r="S11" s="8">
        <f t="shared" si="2"/>
        <v>2.2412643347423766E-2</v>
      </c>
      <c r="T11" s="8">
        <f t="shared" si="0"/>
        <v>1.6533463712834581E-2</v>
      </c>
      <c r="U11" s="8">
        <f t="shared" si="0"/>
        <v>0.26534222266559038</v>
      </c>
      <c r="V11" s="8">
        <f t="shared" si="0"/>
        <v>0.23857010386058397</v>
      </c>
    </row>
    <row r="12" spans="1:26" x14ac:dyDescent="0.3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-5.51847275346518E-4</v>
      </c>
      <c r="I12" s="9">
        <f>'Proximal Validation (single)'!I12</f>
        <v>6.6554106771945995E-2</v>
      </c>
      <c r="J12" s="9">
        <f>'Proximal Validation (single)'!J12</f>
        <v>-0.119616024196148</v>
      </c>
      <c r="K12" s="9">
        <f>'Proximal Validation (single)'!K12</f>
        <v>0.49095398187637301</v>
      </c>
      <c r="L12" s="9">
        <f>'Proximal Validation (single)'!L12</f>
        <v>-0.47584062814712502</v>
      </c>
      <c r="M12" s="9">
        <f>'Proximal Validation (single)'!M12</f>
        <v>-0.25870200991630599</v>
      </c>
      <c r="N12" s="9">
        <v>0.89659690925100044</v>
      </c>
      <c r="O12" s="9">
        <v>0.1953165476902585</v>
      </c>
      <c r="P12" s="9">
        <v>3.785990078951178</v>
      </c>
      <c r="Q12" s="9">
        <v>0.4036698328581878</v>
      </c>
      <c r="R12" s="10">
        <v>3.9302675466082167E-4</v>
      </c>
      <c r="S12" s="8">
        <f t="shared" si="2"/>
        <v>9.6596909251000396E-2</v>
      </c>
      <c r="T12" s="8">
        <f t="shared" si="0"/>
        <v>1.5316547690258503E-2</v>
      </c>
      <c r="U12" s="8">
        <f t="shared" si="0"/>
        <v>0.12099007895117797</v>
      </c>
      <c r="V12" s="8">
        <f t="shared" si="0"/>
        <v>0.38133016714181223</v>
      </c>
    </row>
    <row r="13" spans="1:26" x14ac:dyDescent="0.3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-3.2309396192431499E-4</v>
      </c>
      <c r="I13" s="9">
        <f>'Proximal Validation (single)'!I13</f>
        <v>3.5572569817304597E-2</v>
      </c>
      <c r="J13" s="9">
        <f>'Proximal Validation (single)'!J13</f>
        <v>-6.1782382428646102E-2</v>
      </c>
      <c r="K13" s="9">
        <f>'Proximal Validation (single)'!K13</f>
        <v>0.27096122503280601</v>
      </c>
      <c r="L13" s="9">
        <f>'Proximal Validation (single)'!L13</f>
        <v>-0.21531303226947801</v>
      </c>
      <c r="M13" s="9">
        <f>'Proximal Validation (single)'!M13</f>
        <v>-0.122712507843971</v>
      </c>
      <c r="N13" s="9">
        <v>0.39491623280619809</v>
      </c>
      <c r="O13" s="9">
        <v>0.19898207832161258</v>
      </c>
      <c r="P13" s="9">
        <v>3.6155295462260981</v>
      </c>
      <c r="Q13" s="9">
        <v>0.64450822462988577</v>
      </c>
      <c r="R13" s="10">
        <v>3.2897738556991775E-5</v>
      </c>
      <c r="S13" s="8">
        <f t="shared" si="2"/>
        <v>5.0837671938019358E-3</v>
      </c>
      <c r="T13" s="8">
        <f t="shared" si="0"/>
        <v>1.0179216783874345E-3</v>
      </c>
      <c r="U13" s="8">
        <f t="shared" si="0"/>
        <v>4.9470453773901912E-2</v>
      </c>
      <c r="V13" s="8">
        <f t="shared" si="0"/>
        <v>0.14049177537011426</v>
      </c>
    </row>
    <row r="14" spans="1:26" x14ac:dyDescent="0.3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-7.1692815981805303E-4</v>
      </c>
      <c r="I14" s="9">
        <f>'Proximal Validation (single)'!I14</f>
        <v>3.56008112430573E-2</v>
      </c>
      <c r="J14" s="9">
        <f>'Proximal Validation (single)'!J14</f>
        <v>-6.2020469456911101E-2</v>
      </c>
      <c r="K14" s="9">
        <f>'Proximal Validation (single)'!K14</f>
        <v>-6.5964758396148699E-3</v>
      </c>
      <c r="L14" s="9">
        <f>'Proximal Validation (single)'!L14</f>
        <v>-0.30639430880546598</v>
      </c>
      <c r="M14" s="9">
        <f>'Proximal Validation (single)'!M14</f>
        <v>-0.17468151450157199</v>
      </c>
      <c r="N14" s="9">
        <v>0.69726746191201017</v>
      </c>
      <c r="O14" s="9">
        <v>1.7567275123397789E-2</v>
      </c>
      <c r="P14" s="9">
        <v>2.2852660562033735</v>
      </c>
      <c r="Q14" s="9">
        <v>2.816463225829454</v>
      </c>
      <c r="R14" s="10">
        <v>3.6804415092733145E-3</v>
      </c>
      <c r="S14" s="8">
        <f t="shared" si="2"/>
        <v>0.29726746191201014</v>
      </c>
      <c r="T14" s="8">
        <f t="shared" si="0"/>
        <v>8.243272487660222E-2</v>
      </c>
      <c r="U14" s="8">
        <f t="shared" si="0"/>
        <v>1.3797339437966265</v>
      </c>
      <c r="V14" s="8">
        <f t="shared" si="0"/>
        <v>1.245463225829454</v>
      </c>
    </row>
    <row r="15" spans="1:26" x14ac:dyDescent="0.3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-1.24058220535517E-3</v>
      </c>
      <c r="I15" s="9">
        <f>'Proximal Validation (single)'!I15</f>
        <v>6.9012217223644298E-2</v>
      </c>
      <c r="J15" s="9">
        <f>'Proximal Validation (single)'!J15</f>
        <v>-0.119697146117687</v>
      </c>
      <c r="K15" s="9">
        <f>'Proximal Validation (single)'!K15</f>
        <v>-5.5351331830024698E-2</v>
      </c>
      <c r="L15" s="9">
        <f>'Proximal Validation (single)'!L15</f>
        <v>-0.59383064508438099</v>
      </c>
      <c r="M15" s="9">
        <f>'Proximal Validation (single)'!M15</f>
        <v>-0.33820247650146501</v>
      </c>
      <c r="N15" s="9">
        <v>0.66021524064555903</v>
      </c>
      <c r="O15" s="9">
        <v>0.11716607686343662</v>
      </c>
      <c r="P15" s="9">
        <v>3.6202858291524773</v>
      </c>
      <c r="Q15" s="9">
        <v>1.3276741890123156</v>
      </c>
      <c r="R15" s="10">
        <v>4.350051387453882E-4</v>
      </c>
      <c r="S15" s="8">
        <f t="shared" si="2"/>
        <v>3.9784759354440924E-2</v>
      </c>
      <c r="T15" s="8">
        <f t="shared" si="0"/>
        <v>1.7166076863436616E-2</v>
      </c>
      <c r="U15" s="8">
        <f t="shared" si="0"/>
        <v>4.4714170847522716E-2</v>
      </c>
      <c r="V15" s="8">
        <f t="shared" si="0"/>
        <v>0.24332581098768435</v>
      </c>
    </row>
    <row r="16" spans="1:26" x14ac:dyDescent="0.3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-7.1821291930973497E-4</v>
      </c>
      <c r="I16" s="9">
        <f>'Proximal Validation (single)'!I16</f>
        <v>4.6037148684263202E-2</v>
      </c>
      <c r="J16" s="9">
        <f>'Proximal Validation (single)'!J16</f>
        <v>-7.8464329242706299E-2</v>
      </c>
      <c r="K16" s="9">
        <f>'Proximal Validation (single)'!K16</f>
        <v>-7.8753150999546107E-2</v>
      </c>
      <c r="L16" s="9">
        <f>'Proximal Validation (single)'!L16</f>
        <v>-0.286407381296158</v>
      </c>
      <c r="M16" s="9">
        <f>'Proximal Validation (single)'!M16</f>
        <v>-0.16520524024963401</v>
      </c>
      <c r="N16" s="9">
        <v>0.73685893313367512</v>
      </c>
      <c r="O16" s="9">
        <v>5.7792845928568114E-2</v>
      </c>
      <c r="P16" s="9">
        <v>3.6694689375376304</v>
      </c>
      <c r="Q16" s="9">
        <v>2.0946789930079781</v>
      </c>
      <c r="R16" s="10">
        <v>1.0117075960662346E-5</v>
      </c>
      <c r="S16" s="8">
        <f t="shared" si="2"/>
        <v>0.3368589331336751</v>
      </c>
      <c r="T16" s="8">
        <f t="shared" si="0"/>
        <v>0.10220715407143188</v>
      </c>
      <c r="U16" s="8">
        <f t="shared" si="0"/>
        <v>4.4689375376303353E-3</v>
      </c>
      <c r="V16" s="8">
        <f t="shared" si="0"/>
        <v>0.52367899300797816</v>
      </c>
    </row>
    <row r="17" spans="1:22" x14ac:dyDescent="0.3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-6.2177400104701497E-4</v>
      </c>
      <c r="I17" s="9">
        <f>'Proximal Validation (single)'!I17</f>
        <v>3.2626789063215297E-2</v>
      </c>
      <c r="J17" s="9">
        <f>'Proximal Validation (single)'!J17</f>
        <v>-5.72014674544334E-2</v>
      </c>
      <c r="K17" s="9">
        <f>'Proximal Validation (single)'!K17</f>
        <v>-2.7179472148418399E-2</v>
      </c>
      <c r="L17" s="9">
        <f>'Proximal Validation (single)'!L17</f>
        <v>-0.194883912801743</v>
      </c>
      <c r="M17" s="9">
        <f>'Proximal Validation (single)'!M17</f>
        <v>-0.10984055697917899</v>
      </c>
      <c r="N17" s="9">
        <v>0.2125262236262051</v>
      </c>
      <c r="O17" s="9">
        <v>0.19295943910124091</v>
      </c>
      <c r="P17" s="9">
        <v>4.0777091258652955</v>
      </c>
      <c r="Q17" s="9">
        <v>1.9262283151633084</v>
      </c>
      <c r="R17" s="10">
        <v>8.4489685589853492E-4</v>
      </c>
      <c r="S17" s="8">
        <f t="shared" si="2"/>
        <v>8.7473776373794887E-2</v>
      </c>
      <c r="T17" s="8">
        <f t="shared" si="0"/>
        <v>1.2959439101240922E-2</v>
      </c>
      <c r="U17" s="8">
        <f t="shared" si="0"/>
        <v>0.41270912586529551</v>
      </c>
      <c r="V17" s="8">
        <f t="shared" si="0"/>
        <v>0.35522831516330844</v>
      </c>
    </row>
    <row r="18" spans="1:22" x14ac:dyDescent="0.3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0.66449325834047701</v>
      </c>
      <c r="O18" s="9">
        <v>1.0498925238653327E-2</v>
      </c>
      <c r="P18" s="9">
        <v>1.8040545307013267</v>
      </c>
      <c r="Q18" s="9">
        <v>0.55178064125603721</v>
      </c>
      <c r="R18" s="10">
        <v>1.3675595988294002E-4</v>
      </c>
      <c r="S18" s="8">
        <f t="shared" si="2"/>
        <v>0.36449325834047702</v>
      </c>
      <c r="T18" s="8">
        <f t="shared" si="0"/>
        <v>6.9501074761346676E-2</v>
      </c>
      <c r="U18" s="8">
        <f t="shared" si="0"/>
        <v>0.23305453070132676</v>
      </c>
      <c r="V18" s="8">
        <f t="shared" si="0"/>
        <v>0.23321935874396282</v>
      </c>
    </row>
    <row r="19" spans="1:22" x14ac:dyDescent="0.3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0.39878017985934539</v>
      </c>
      <c r="O19" s="9">
        <v>4.6800217498061375E-2</v>
      </c>
      <c r="P19" s="9">
        <v>2.0510444487270951</v>
      </c>
      <c r="Q19" s="9">
        <v>2.0101157121083881</v>
      </c>
      <c r="R19" s="10">
        <v>9.6974030659995622E-4</v>
      </c>
      <c r="S19" s="8">
        <f t="shared" si="2"/>
        <v>1.2198201406546372E-3</v>
      </c>
      <c r="T19" s="8">
        <f t="shared" si="2"/>
        <v>9.3199782501938638E-2</v>
      </c>
      <c r="U19" s="8">
        <f t="shared" si="2"/>
        <v>0.48004444872709517</v>
      </c>
      <c r="V19" s="8">
        <f t="shared" si="2"/>
        <v>1.225115712108388</v>
      </c>
    </row>
    <row r="20" spans="1:22" x14ac:dyDescent="0.3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0.54052164254527524</v>
      </c>
      <c r="O20" s="9">
        <v>0.19996837375056692</v>
      </c>
      <c r="P20" s="9">
        <v>1.7074578698112575</v>
      </c>
      <c r="Q20" s="9">
        <v>0.48316276432278571</v>
      </c>
      <c r="R20" s="10">
        <v>1.1372516830612011E-3</v>
      </c>
      <c r="S20" s="8">
        <f t="shared" ref="S20:V83" si="3">ABS(N20-A20)</f>
        <v>5.947835745472474E-2</v>
      </c>
      <c r="T20" s="8">
        <f t="shared" si="3"/>
        <v>3.9968373750566916E-2</v>
      </c>
      <c r="U20" s="8">
        <f t="shared" si="3"/>
        <v>0.13645786981125752</v>
      </c>
      <c r="V20" s="8">
        <f t="shared" si="3"/>
        <v>0.30183723567721432</v>
      </c>
    </row>
    <row r="21" spans="1:22" x14ac:dyDescent="0.3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0.4652392817799661</v>
      </c>
      <c r="O21" s="9">
        <v>7.421556490627329E-2</v>
      </c>
      <c r="P21" s="9">
        <v>1.7532855521227353</v>
      </c>
      <c r="Q21" s="9">
        <v>0.85655566221614166</v>
      </c>
      <c r="R21" s="10">
        <v>4.6107475721591254E-4</v>
      </c>
      <c r="S21" s="8">
        <f t="shared" si="3"/>
        <v>6.5239281779966074E-2</v>
      </c>
      <c r="T21" s="8">
        <f t="shared" si="3"/>
        <v>1.4215564906273293E-2</v>
      </c>
      <c r="U21" s="8">
        <f t="shared" si="3"/>
        <v>0.18228555212273534</v>
      </c>
      <c r="V21" s="8">
        <f t="shared" si="3"/>
        <v>0.7144443377838583</v>
      </c>
    </row>
    <row r="22" spans="1:22" x14ac:dyDescent="0.3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0.99999999724290245</v>
      </c>
      <c r="O22" s="9">
        <v>5.7573313640135175E-2</v>
      </c>
      <c r="P22" s="9">
        <v>1.4583871676416307</v>
      </c>
      <c r="Q22" s="9">
        <v>1.7213183880813481</v>
      </c>
      <c r="R22" s="10">
        <v>6.3105002662714885E-3</v>
      </c>
      <c r="S22" s="8">
        <f t="shared" si="3"/>
        <v>0.19999999724290241</v>
      </c>
      <c r="T22" s="8">
        <f t="shared" si="3"/>
        <v>2.2426686359864827E-2</v>
      </c>
      <c r="U22" s="8">
        <f t="shared" si="3"/>
        <v>0.11261283235836927</v>
      </c>
      <c r="V22" s="8">
        <f t="shared" si="3"/>
        <v>0.15031838808134812</v>
      </c>
    </row>
    <row r="23" spans="1:22" x14ac:dyDescent="0.3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0.62543972271072867</v>
      </c>
      <c r="O23" s="9">
        <v>0.19983677011371478</v>
      </c>
      <c r="P23" s="9">
        <v>1.5837248356691818</v>
      </c>
      <c r="Q23" s="9">
        <v>0.71510558569375615</v>
      </c>
      <c r="R23" s="10">
        <v>1.0011602414785607E-3</v>
      </c>
      <c r="S23" s="8">
        <f t="shared" si="3"/>
        <v>7.4560277289271282E-2</v>
      </c>
      <c r="T23" s="8">
        <f t="shared" si="3"/>
        <v>3.9836770113714781E-2</v>
      </c>
      <c r="U23" s="8">
        <f t="shared" si="3"/>
        <v>1.2724835669181811E-2</v>
      </c>
      <c r="V23" s="8">
        <f t="shared" si="3"/>
        <v>0.8558944143062438</v>
      </c>
    </row>
    <row r="24" spans="1:22" x14ac:dyDescent="0.3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0.59890579261096144</v>
      </c>
      <c r="O24" s="9">
        <v>0.19999339759613427</v>
      </c>
      <c r="P24" s="9">
        <v>1.7971764731406505</v>
      </c>
      <c r="Q24" s="9">
        <v>1.8596635797032766</v>
      </c>
      <c r="R24" s="10">
        <v>5.22134334854054E-3</v>
      </c>
      <c r="S24" s="8">
        <f t="shared" si="3"/>
        <v>0.10109420738903852</v>
      </c>
      <c r="T24" s="8">
        <f t="shared" si="3"/>
        <v>6.6024038657408468E-6</v>
      </c>
      <c r="U24" s="8">
        <f t="shared" si="3"/>
        <v>0.22617647314065059</v>
      </c>
      <c r="V24" s="8">
        <f t="shared" si="3"/>
        <v>0.28866357970327661</v>
      </c>
    </row>
    <row r="25" spans="1:22" x14ac:dyDescent="0.3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0.59518094777045938</v>
      </c>
      <c r="O25" s="9">
        <v>0.11963270755010427</v>
      </c>
      <c r="P25" s="9">
        <v>3.9869800218976041</v>
      </c>
      <c r="Q25" s="9">
        <v>0.73435165845668016</v>
      </c>
      <c r="R25" s="10">
        <v>1.1173696721612422E-3</v>
      </c>
      <c r="S25" s="8">
        <f t="shared" si="3"/>
        <v>0.10481905222954058</v>
      </c>
      <c r="T25" s="8">
        <f t="shared" si="3"/>
        <v>5.9632707550104275E-2</v>
      </c>
      <c r="U25" s="8">
        <f t="shared" si="3"/>
        <v>0.32198002189760411</v>
      </c>
      <c r="V25" s="8">
        <f t="shared" si="3"/>
        <v>5.0648341543319875E-2</v>
      </c>
    </row>
    <row r="26" spans="1:22" x14ac:dyDescent="0.3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0.75874330592240502</v>
      </c>
      <c r="O26" s="9">
        <v>0.11361291031151226</v>
      </c>
      <c r="P26" s="9">
        <v>3.4112945515213284</v>
      </c>
      <c r="Q26" s="9">
        <v>0.49107935321453106</v>
      </c>
      <c r="R26" s="10">
        <v>7.6526309862214004E-4</v>
      </c>
      <c r="S26" s="8">
        <f t="shared" si="3"/>
        <v>0.15874330592240504</v>
      </c>
      <c r="T26" s="8">
        <f t="shared" si="3"/>
        <v>1.3612910311512252E-2</v>
      </c>
      <c r="U26" s="8">
        <f t="shared" si="3"/>
        <v>0.2537054484786716</v>
      </c>
      <c r="V26" s="8">
        <f t="shared" si="3"/>
        <v>0.29392064678546898</v>
      </c>
    </row>
    <row r="27" spans="1:22" x14ac:dyDescent="0.3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0.77908789259306366</v>
      </c>
      <c r="O27" s="9">
        <v>0.12386908832710612</v>
      </c>
      <c r="P27" s="9">
        <v>3.586276216448566</v>
      </c>
      <c r="Q27" s="9">
        <v>0.88676609058113021</v>
      </c>
      <c r="R27" s="10">
        <v>7.5995901796754829E-4</v>
      </c>
      <c r="S27" s="8">
        <f t="shared" si="3"/>
        <v>2.0912107406936387E-2</v>
      </c>
      <c r="T27" s="8">
        <f t="shared" si="3"/>
        <v>5.6130911672893871E-2</v>
      </c>
      <c r="U27" s="8">
        <f t="shared" si="3"/>
        <v>7.8723783551434057E-2</v>
      </c>
      <c r="V27" s="8">
        <f t="shared" si="3"/>
        <v>0.10176609058113018</v>
      </c>
    </row>
    <row r="28" spans="1:22" x14ac:dyDescent="0.3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0.61502575421314332</v>
      </c>
      <c r="O28" s="9">
        <v>0.19991981603470757</v>
      </c>
      <c r="P28" s="9">
        <v>3.1737548516231922</v>
      </c>
      <c r="Q28" s="9">
        <v>0.24391746078812651</v>
      </c>
      <c r="R28" s="10">
        <v>1.3199999405715515E-3</v>
      </c>
      <c r="S28" s="8">
        <f t="shared" si="3"/>
        <v>0.21502575421314329</v>
      </c>
      <c r="T28" s="8">
        <f t="shared" si="3"/>
        <v>8.0183965292440762E-5</v>
      </c>
      <c r="U28" s="8">
        <f t="shared" si="3"/>
        <v>0.49124514837680788</v>
      </c>
      <c r="V28" s="8">
        <f t="shared" si="3"/>
        <v>0.54108253921187355</v>
      </c>
    </row>
    <row r="29" spans="1:22" x14ac:dyDescent="0.3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0.3734366017181654</v>
      </c>
      <c r="O29" s="9">
        <v>0.11841334379548563</v>
      </c>
      <c r="P29" s="9">
        <v>3.4953258653937809</v>
      </c>
      <c r="Q29" s="9">
        <v>1.3084096782040311</v>
      </c>
      <c r="R29" s="10">
        <v>1.0359035074227443E-4</v>
      </c>
      <c r="S29" s="8">
        <f t="shared" si="3"/>
        <v>2.6563398281834627E-2</v>
      </c>
      <c r="T29" s="8">
        <f t="shared" si="3"/>
        <v>1.8413343795485621E-2</v>
      </c>
      <c r="U29" s="8">
        <f t="shared" si="3"/>
        <v>0.16967413460621916</v>
      </c>
      <c r="V29" s="8">
        <f t="shared" si="3"/>
        <v>0.26259032179596886</v>
      </c>
    </row>
    <row r="30" spans="1:22" x14ac:dyDescent="0.3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0.77538841430511485</v>
      </c>
      <c r="O30" s="9">
        <v>0.11297856465803988</v>
      </c>
      <c r="P30" s="9">
        <v>3.9455258289571793</v>
      </c>
      <c r="Q30" s="9">
        <v>1.9880910903152003</v>
      </c>
      <c r="R30" s="10">
        <v>1.0062166152612977E-3</v>
      </c>
      <c r="S30" s="8">
        <f t="shared" si="3"/>
        <v>7.5388414305114892E-2</v>
      </c>
      <c r="T30" s="8">
        <f t="shared" si="3"/>
        <v>1.2978564658039871E-2</v>
      </c>
      <c r="U30" s="8">
        <f t="shared" si="3"/>
        <v>0.28052582895717926</v>
      </c>
      <c r="V30" s="8">
        <f t="shared" si="3"/>
        <v>0.41709109031520031</v>
      </c>
    </row>
    <row r="31" spans="1:22" x14ac:dyDescent="0.3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0.38529898246286659</v>
      </c>
      <c r="O31" s="9">
        <v>0.12601308353415561</v>
      </c>
      <c r="P31" s="9">
        <v>3.8214153278530043</v>
      </c>
      <c r="Q31" s="9">
        <v>1.1457935377517519</v>
      </c>
      <c r="R31" s="10">
        <v>8.4443193453897082E-4</v>
      </c>
      <c r="S31" s="8">
        <f t="shared" si="3"/>
        <v>1.4701017537133432E-2</v>
      </c>
      <c r="T31" s="8">
        <f t="shared" si="3"/>
        <v>3.3986916465844397E-2</v>
      </c>
      <c r="U31" s="8">
        <f t="shared" si="3"/>
        <v>0.15641532785300427</v>
      </c>
      <c r="V31" s="8">
        <f t="shared" si="3"/>
        <v>0.4252064622482481</v>
      </c>
    </row>
    <row r="32" spans="1:22" x14ac:dyDescent="0.3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0.57094202815344652</v>
      </c>
      <c r="O32" s="9">
        <v>4.6936027626251271E-2</v>
      </c>
      <c r="P32" s="9">
        <v>3.1744133272487893</v>
      </c>
      <c r="Q32" s="9">
        <v>1.9917852657310366</v>
      </c>
      <c r="R32" s="10">
        <v>9.443931176982682E-4</v>
      </c>
      <c r="S32" s="8">
        <f t="shared" si="3"/>
        <v>0.27094202815344653</v>
      </c>
      <c r="T32" s="8">
        <f t="shared" si="3"/>
        <v>0.13306397237374873</v>
      </c>
      <c r="U32" s="8">
        <f t="shared" si="3"/>
        <v>0.49058667275121071</v>
      </c>
      <c r="V32" s="8">
        <f t="shared" si="3"/>
        <v>0.4207852657310367</v>
      </c>
    </row>
    <row r="33" spans="1:22" x14ac:dyDescent="0.3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0.28972912317391131</v>
      </c>
      <c r="O33" s="9">
        <v>4.2908041976339996E-2</v>
      </c>
      <c r="P33" s="9">
        <v>1.2085598342082167</v>
      </c>
      <c r="Q33" s="9">
        <v>0.85761064088224526</v>
      </c>
      <c r="R33" s="10">
        <v>4.9817026759415939E-5</v>
      </c>
      <c r="S33" s="8">
        <f t="shared" si="3"/>
        <v>1.0270876826088682E-2</v>
      </c>
      <c r="T33" s="8">
        <f t="shared" si="3"/>
        <v>3.7091958023660006E-2</v>
      </c>
      <c r="U33" s="8">
        <f t="shared" si="3"/>
        <v>0.36244016579178329</v>
      </c>
      <c r="V33" s="8">
        <f t="shared" si="3"/>
        <v>7.2610640882245225E-2</v>
      </c>
    </row>
    <row r="34" spans="1:22" x14ac:dyDescent="0.3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0.87069272441843248</v>
      </c>
      <c r="O34" s="9">
        <v>0.19851641142487761</v>
      </c>
      <c r="P34" s="9">
        <v>2.7196668401164534</v>
      </c>
      <c r="Q34" s="9">
        <v>4.8577344168810661E-2</v>
      </c>
      <c r="R34" s="10">
        <v>3.4712049086550838E-3</v>
      </c>
      <c r="S34" s="8">
        <f t="shared" si="3"/>
        <v>0.47069272441843246</v>
      </c>
      <c r="T34" s="8">
        <f t="shared" si="3"/>
        <v>5.8516411424877596E-2</v>
      </c>
      <c r="U34" s="8">
        <f t="shared" si="3"/>
        <v>1.1486668401164535</v>
      </c>
      <c r="V34" s="8">
        <f t="shared" si="3"/>
        <v>0.73642265583118938</v>
      </c>
    </row>
    <row r="35" spans="1:22" x14ac:dyDescent="0.3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0.57264439549285906</v>
      </c>
      <c r="O35" s="9">
        <v>0.11946540816456272</v>
      </c>
      <c r="P35" s="9">
        <v>1.9397209527179908</v>
      </c>
      <c r="Q35" s="9">
        <v>1.717766817370066</v>
      </c>
      <c r="R35" s="10">
        <v>2.213169735993204E-3</v>
      </c>
      <c r="S35" s="8">
        <f t="shared" si="3"/>
        <v>2.7355604507140918E-2</v>
      </c>
      <c r="T35" s="8">
        <f t="shared" si="3"/>
        <v>4.0534591835437284E-2</v>
      </c>
      <c r="U35" s="8">
        <f t="shared" si="3"/>
        <v>0.36872095271799088</v>
      </c>
      <c r="V35" s="8">
        <f t="shared" si="3"/>
        <v>0.93276681737006595</v>
      </c>
    </row>
    <row r="36" spans="1:22" x14ac:dyDescent="0.3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0.6207982592509087</v>
      </c>
      <c r="O36" s="9">
        <v>1.0438215034881616E-2</v>
      </c>
      <c r="P36" s="9">
        <v>1.5467016949491568</v>
      </c>
      <c r="Q36" s="9">
        <v>1.5188973279840003</v>
      </c>
      <c r="R36" s="10">
        <v>6.1602012414571294E-5</v>
      </c>
      <c r="S36" s="8">
        <f t="shared" si="3"/>
        <v>0.22079825925090868</v>
      </c>
      <c r="T36" s="8">
        <f t="shared" si="3"/>
        <v>4.9561784965118386E-2</v>
      </c>
      <c r="U36" s="8">
        <f t="shared" si="3"/>
        <v>2.4298305050843183E-2</v>
      </c>
      <c r="V36" s="8">
        <f t="shared" si="3"/>
        <v>5.2102672015999607E-2</v>
      </c>
    </row>
    <row r="37" spans="1:22" x14ac:dyDescent="0.3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0.93463257467191174</v>
      </c>
      <c r="O37" s="9">
        <v>7.447315232903913E-2</v>
      </c>
      <c r="P37" s="9">
        <v>1.635873579884757</v>
      </c>
      <c r="Q37" s="9">
        <v>1.3036727641771577</v>
      </c>
      <c r="R37" s="10">
        <v>1.2021084303569315E-4</v>
      </c>
      <c r="S37" s="8">
        <f t="shared" si="3"/>
        <v>0.1346325746719117</v>
      </c>
      <c r="T37" s="8">
        <f t="shared" si="3"/>
        <v>5.5268476709608716E-3</v>
      </c>
      <c r="U37" s="8">
        <f t="shared" si="3"/>
        <v>6.487357988475706E-2</v>
      </c>
      <c r="V37" s="8">
        <f t="shared" si="3"/>
        <v>0.26732723582284224</v>
      </c>
    </row>
    <row r="38" spans="1:22" x14ac:dyDescent="0.3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0.66154904224131139</v>
      </c>
      <c r="O38" s="9">
        <v>0.18899670401008997</v>
      </c>
      <c r="P38" s="9">
        <v>1.3838556020887294</v>
      </c>
      <c r="Q38" s="9">
        <v>1.6522748590511125</v>
      </c>
      <c r="R38" s="10">
        <v>2.2312136052321636E-3</v>
      </c>
      <c r="S38" s="8">
        <f t="shared" si="3"/>
        <v>3.8450957758688564E-2</v>
      </c>
      <c r="T38" s="8">
        <f t="shared" si="3"/>
        <v>2.8996704010089969E-2</v>
      </c>
      <c r="U38" s="8">
        <f t="shared" si="3"/>
        <v>0.18714439791127058</v>
      </c>
      <c r="V38" s="8">
        <f t="shared" si="3"/>
        <v>8.1274859051112536E-2</v>
      </c>
    </row>
    <row r="39" spans="1:22" x14ac:dyDescent="0.3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0.52221981050251109</v>
      </c>
      <c r="O39" s="9">
        <v>0.19998594396434333</v>
      </c>
      <c r="P39" s="9">
        <v>1.4641410611393173</v>
      </c>
      <c r="Q39" s="9">
        <v>1.0764443955252005</v>
      </c>
      <c r="R39" s="10">
        <v>2.3983361857228712E-3</v>
      </c>
      <c r="S39" s="8">
        <f t="shared" si="3"/>
        <v>0.17778018949748886</v>
      </c>
      <c r="T39" s="8">
        <f t="shared" si="3"/>
        <v>1.405603565668434E-5</v>
      </c>
      <c r="U39" s="8">
        <f t="shared" si="3"/>
        <v>0.10685893886068265</v>
      </c>
      <c r="V39" s="8">
        <f t="shared" si="3"/>
        <v>0.4945556044747994</v>
      </c>
    </row>
    <row r="40" spans="1:22" x14ac:dyDescent="0.3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0.86127466130541197</v>
      </c>
      <c r="O40" s="9">
        <v>3.6577385875286528E-2</v>
      </c>
      <c r="P40" s="9">
        <v>3.396430073544265</v>
      </c>
      <c r="Q40" s="9">
        <v>0.83684521876673879</v>
      </c>
      <c r="R40" s="10">
        <v>4.9032082564878223E-4</v>
      </c>
      <c r="S40" s="8">
        <f t="shared" si="3"/>
        <v>0.16127466130541201</v>
      </c>
      <c r="T40" s="8">
        <f t="shared" si="3"/>
        <v>2.342261412471347E-2</v>
      </c>
      <c r="U40" s="8">
        <f t="shared" si="3"/>
        <v>0.26856992645573508</v>
      </c>
      <c r="V40" s="8">
        <f t="shared" si="3"/>
        <v>5.1845218766738754E-2</v>
      </c>
    </row>
    <row r="41" spans="1:22" x14ac:dyDescent="0.3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0.33715505487652397</v>
      </c>
      <c r="O41" s="9">
        <v>0.1993719723298942</v>
      </c>
      <c r="P41" s="9">
        <v>3.8532802548348895</v>
      </c>
      <c r="Q41" s="9">
        <v>0.78765646303995285</v>
      </c>
      <c r="R41" s="10">
        <v>6.3422177736005211E-4</v>
      </c>
      <c r="S41" s="8">
        <f t="shared" si="3"/>
        <v>0.262844945123476</v>
      </c>
      <c r="T41" s="8">
        <f t="shared" si="3"/>
        <v>9.9371972329894198E-2</v>
      </c>
      <c r="U41" s="8">
        <f t="shared" si="3"/>
        <v>0.18828025483488942</v>
      </c>
      <c r="V41" s="8">
        <f t="shared" si="3"/>
        <v>2.6564630399528166E-3</v>
      </c>
    </row>
    <row r="42" spans="1:22" x14ac:dyDescent="0.3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0.89900452284311705</v>
      </c>
      <c r="O42" s="9">
        <v>0.11934090050633228</v>
      </c>
      <c r="P42" s="9">
        <v>3.8316023827588261</v>
      </c>
      <c r="Q42" s="9">
        <v>0.66547239669308256</v>
      </c>
      <c r="R42" s="10">
        <v>4.1528191712612383E-4</v>
      </c>
      <c r="S42" s="8">
        <f t="shared" si="3"/>
        <v>9.9004522843117004E-2</v>
      </c>
      <c r="T42" s="8">
        <f t="shared" si="3"/>
        <v>6.0659099493667712E-2</v>
      </c>
      <c r="U42" s="8">
        <f t="shared" si="3"/>
        <v>0.16660238275882611</v>
      </c>
      <c r="V42" s="8">
        <f t="shared" si="3"/>
        <v>0.11952760330691747</v>
      </c>
    </row>
    <row r="43" spans="1:22" x14ac:dyDescent="0.3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0.41749000390889063</v>
      </c>
      <c r="O43" s="9">
        <v>0.10458137572407751</v>
      </c>
      <c r="P43" s="9">
        <v>3.9086542991167037</v>
      </c>
      <c r="Q43" s="9">
        <v>1.0681488643782391</v>
      </c>
      <c r="R43" s="10">
        <v>1.067958993003393E-3</v>
      </c>
      <c r="S43" s="8">
        <f t="shared" si="3"/>
        <v>1.7490003908890606E-2</v>
      </c>
      <c r="T43" s="8">
        <f t="shared" si="3"/>
        <v>9.5418624275922501E-2</v>
      </c>
      <c r="U43" s="8">
        <f t="shared" si="3"/>
        <v>0.24365429911670367</v>
      </c>
      <c r="V43" s="8">
        <f t="shared" si="3"/>
        <v>0.28314886437823905</v>
      </c>
    </row>
    <row r="44" spans="1:22" x14ac:dyDescent="0.3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0.42054065997083195</v>
      </c>
      <c r="O44" s="9">
        <v>0.19999828768547812</v>
      </c>
      <c r="P44" s="9">
        <v>3.7652725954065898</v>
      </c>
      <c r="Q44" s="9">
        <v>0.48565834398807356</v>
      </c>
      <c r="R44" s="10">
        <v>1.9735378016009272E-4</v>
      </c>
      <c r="S44" s="8">
        <f t="shared" si="3"/>
        <v>2.0540659970831932E-2</v>
      </c>
      <c r="T44" s="8">
        <f t="shared" si="3"/>
        <v>9.999828768547811E-2</v>
      </c>
      <c r="U44" s="8">
        <f t="shared" si="3"/>
        <v>0.10027259540658973</v>
      </c>
      <c r="V44" s="8">
        <f t="shared" si="3"/>
        <v>1.0853416560119264</v>
      </c>
    </row>
    <row r="45" spans="1:22" x14ac:dyDescent="0.3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0.78073023724580204</v>
      </c>
      <c r="O45" s="9">
        <v>8.8728606320744224E-2</v>
      </c>
      <c r="P45" s="9">
        <v>3.4051235414224457</v>
      </c>
      <c r="Q45" s="9">
        <v>1.3996432797903191</v>
      </c>
      <c r="R45" s="10">
        <v>1.9366426174107206E-3</v>
      </c>
      <c r="S45" s="8">
        <f t="shared" si="3"/>
        <v>8.0730237245802083E-2</v>
      </c>
      <c r="T45" s="8">
        <f t="shared" si="3"/>
        <v>1.1271393679255781E-2</v>
      </c>
      <c r="U45" s="8">
        <f t="shared" si="3"/>
        <v>0.25987645857755437</v>
      </c>
      <c r="V45" s="8">
        <f t="shared" si="3"/>
        <v>0.17135672020968085</v>
      </c>
    </row>
    <row r="46" spans="1:22" x14ac:dyDescent="0.3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0.52292430563621617</v>
      </c>
      <c r="O46" s="9">
        <v>0.14517988245177546</v>
      </c>
      <c r="P46" s="9">
        <v>3.8102902052549976</v>
      </c>
      <c r="Q46" s="9">
        <v>2.2462418319420467</v>
      </c>
      <c r="R46" s="10">
        <v>1.38768072648695E-4</v>
      </c>
      <c r="S46" s="8">
        <f t="shared" si="3"/>
        <v>0.12292430563621615</v>
      </c>
      <c r="T46" s="8">
        <f t="shared" si="3"/>
        <v>1.4820117548224543E-2</v>
      </c>
      <c r="U46" s="8">
        <f t="shared" si="3"/>
        <v>0.14529020525499758</v>
      </c>
      <c r="V46" s="8">
        <f t="shared" si="3"/>
        <v>0.67524183194204679</v>
      </c>
    </row>
    <row r="47" spans="1:22" x14ac:dyDescent="0.3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0.52232658958388045</v>
      </c>
      <c r="O47" s="9">
        <v>1.0000000139856404E-2</v>
      </c>
      <c r="P47" s="9">
        <v>4.7951156131158506</v>
      </c>
      <c r="Q47" s="9">
        <v>1.6060425142861494</v>
      </c>
      <c r="R47" s="10">
        <v>3.135275801932084E-3</v>
      </c>
      <c r="S47" s="8">
        <f t="shared" si="3"/>
        <v>0.22232658958388046</v>
      </c>
      <c r="T47" s="8">
        <f t="shared" si="3"/>
        <v>0.16999999986014358</v>
      </c>
      <c r="U47" s="8">
        <f t="shared" si="3"/>
        <v>1.1301156131158505</v>
      </c>
      <c r="V47" s="8">
        <f t="shared" si="3"/>
        <v>3.5042514286149462E-2</v>
      </c>
    </row>
    <row r="48" spans="1:22" x14ac:dyDescent="0.3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0.52607082633039237</v>
      </c>
      <c r="O48" s="9">
        <v>0.11819957371449243</v>
      </c>
      <c r="P48" s="9">
        <v>1.4993545363436545</v>
      </c>
      <c r="Q48" s="9">
        <v>2.6268528074990698</v>
      </c>
      <c r="R48" s="10">
        <v>4.325922206686166E-6</v>
      </c>
      <c r="S48" s="8">
        <f t="shared" si="3"/>
        <v>0.22607082633039238</v>
      </c>
      <c r="T48" s="8">
        <f t="shared" si="3"/>
        <v>3.8199573714492424E-2</v>
      </c>
      <c r="U48" s="8">
        <f t="shared" si="3"/>
        <v>7.1645463656345498E-2</v>
      </c>
      <c r="V48" s="8">
        <f t="shared" si="3"/>
        <v>1.8418528074990697</v>
      </c>
    </row>
    <row r="49" spans="1:22" x14ac:dyDescent="0.3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0.35265304672472403</v>
      </c>
      <c r="O49" s="9">
        <v>8.816113141375552E-2</v>
      </c>
      <c r="P49" s="9">
        <v>1.3576077658468122</v>
      </c>
      <c r="Q49" s="9">
        <v>1.3339149058865067</v>
      </c>
      <c r="R49" s="10">
        <v>1.1484065609767957E-4</v>
      </c>
      <c r="S49" s="8">
        <f t="shared" si="3"/>
        <v>4.7346953275275994E-2</v>
      </c>
      <c r="T49" s="8">
        <f t="shared" si="3"/>
        <v>5.1838868586244494E-2</v>
      </c>
      <c r="U49" s="8">
        <f t="shared" si="3"/>
        <v>0.21339223415318775</v>
      </c>
      <c r="V49" s="8">
        <f t="shared" si="3"/>
        <v>0.54891490588650671</v>
      </c>
    </row>
    <row r="50" spans="1:22" x14ac:dyDescent="0.3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0.68089549806079297</v>
      </c>
      <c r="O50" s="9">
        <v>0.19995936876083401</v>
      </c>
      <c r="P50" s="9">
        <v>2.0322304580836654</v>
      </c>
      <c r="Q50" s="9">
        <v>0.38233423933482757</v>
      </c>
      <c r="R50" s="10">
        <v>7.5465400213984744E-4</v>
      </c>
      <c r="S50" s="8">
        <f t="shared" si="3"/>
        <v>8.0895498060792992E-2</v>
      </c>
      <c r="T50" s="8">
        <f t="shared" si="3"/>
        <v>3.9959368760834002E-2</v>
      </c>
      <c r="U50" s="8">
        <f t="shared" si="3"/>
        <v>0.46123045808366547</v>
      </c>
      <c r="V50" s="8">
        <f t="shared" si="3"/>
        <v>0.40266576066517246</v>
      </c>
    </row>
    <row r="51" spans="1:22" x14ac:dyDescent="0.3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0.3778893627704828</v>
      </c>
      <c r="O51" s="9">
        <v>9.9000866325733419E-2</v>
      </c>
      <c r="P51" s="9">
        <v>1.6420132434287713</v>
      </c>
      <c r="Q51" s="9">
        <v>2.2135925622733446</v>
      </c>
      <c r="R51" s="10">
        <v>1.8030117046995123E-4</v>
      </c>
      <c r="S51" s="8">
        <f t="shared" si="3"/>
        <v>2.2110637229517227E-2</v>
      </c>
      <c r="T51" s="8">
        <f t="shared" si="3"/>
        <v>3.9000866325733421E-2</v>
      </c>
      <c r="U51" s="8">
        <f t="shared" si="3"/>
        <v>7.1013243428771355E-2</v>
      </c>
      <c r="V51" s="8">
        <f t="shared" si="3"/>
        <v>0.6425925622733446</v>
      </c>
    </row>
    <row r="52" spans="1:22" x14ac:dyDescent="0.3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0.92831728745257358</v>
      </c>
      <c r="O52" s="9">
        <v>7.4142156570198042E-2</v>
      </c>
      <c r="P52" s="9">
        <v>1.3963645348730578</v>
      </c>
      <c r="Q52" s="9">
        <v>1.3978620206992036</v>
      </c>
      <c r="R52" s="10">
        <v>1.0742459096255012E-3</v>
      </c>
      <c r="S52" s="8">
        <f t="shared" si="3"/>
        <v>0.12831728745257354</v>
      </c>
      <c r="T52" s="8">
        <f t="shared" si="3"/>
        <v>5.8578434298019594E-3</v>
      </c>
      <c r="U52" s="8">
        <f t="shared" si="3"/>
        <v>0.17463546512694217</v>
      </c>
      <c r="V52" s="8">
        <f t="shared" si="3"/>
        <v>0.17313797930079633</v>
      </c>
    </row>
    <row r="53" spans="1:22" x14ac:dyDescent="0.3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0.79694659432299109</v>
      </c>
      <c r="O53" s="9">
        <v>0.12715350124998237</v>
      </c>
      <c r="P53" s="9">
        <v>1.7913152441055222</v>
      </c>
      <c r="Q53" s="9">
        <v>1.00368333296074</v>
      </c>
      <c r="R53" s="10">
        <v>1.7955648808179571E-3</v>
      </c>
      <c r="S53" s="8">
        <f t="shared" si="3"/>
        <v>9.6946594322991131E-2</v>
      </c>
      <c r="T53" s="8">
        <f t="shared" si="3"/>
        <v>3.2846498750017633E-2</v>
      </c>
      <c r="U53" s="8">
        <f t="shared" si="3"/>
        <v>0.22031524410552228</v>
      </c>
      <c r="V53" s="8">
        <f t="shared" si="3"/>
        <v>0.56731666703925998</v>
      </c>
    </row>
    <row r="54" spans="1:22" x14ac:dyDescent="0.3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0.70730114590593596</v>
      </c>
      <c r="O54" s="9">
        <v>0.19652603052019604</v>
      </c>
      <c r="P54" s="9">
        <v>1.4877684741424577</v>
      </c>
      <c r="Q54" s="9">
        <v>1.5553262111819157</v>
      </c>
      <c r="R54" s="10">
        <v>5.270321286396215E-4</v>
      </c>
      <c r="S54" s="8">
        <f t="shared" si="3"/>
        <v>7.3011459059360018E-3</v>
      </c>
      <c r="T54" s="8">
        <f t="shared" si="3"/>
        <v>3.4739694798039678E-3</v>
      </c>
      <c r="U54" s="8">
        <f t="shared" si="3"/>
        <v>8.3231525857542232E-2</v>
      </c>
      <c r="V54" s="8">
        <f t="shared" si="3"/>
        <v>1.5673788818084233E-2</v>
      </c>
    </row>
    <row r="55" spans="1:22" x14ac:dyDescent="0.3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0.99999999973208908</v>
      </c>
      <c r="O55" s="9">
        <v>5.9274260882654237E-2</v>
      </c>
      <c r="P55" s="9">
        <v>3.9811368601014707</v>
      </c>
      <c r="Q55" s="9">
        <v>0.56629329962960928</v>
      </c>
      <c r="R55" s="10">
        <v>1.2602370767547163E-2</v>
      </c>
      <c r="S55" s="8">
        <f t="shared" si="3"/>
        <v>0.29999999973208913</v>
      </c>
      <c r="T55" s="8">
        <f t="shared" si="3"/>
        <v>7.2573911734576113E-4</v>
      </c>
      <c r="U55" s="8">
        <f t="shared" si="3"/>
        <v>0.31613686010147068</v>
      </c>
      <c r="V55" s="8">
        <f t="shared" si="3"/>
        <v>0.21870670037039075</v>
      </c>
    </row>
    <row r="56" spans="1:22" x14ac:dyDescent="0.3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0.61544351777714479</v>
      </c>
      <c r="O56" s="9">
        <v>7.6431361111870308E-2</v>
      </c>
      <c r="P56" s="9">
        <v>3.5476497225256192</v>
      </c>
      <c r="Q56" s="9">
        <v>0.94356878701910452</v>
      </c>
      <c r="R56" s="10">
        <v>4.8270911149604303E-4</v>
      </c>
      <c r="S56" s="8">
        <f t="shared" si="3"/>
        <v>1.5443517777144811E-2</v>
      </c>
      <c r="T56" s="8">
        <f t="shared" si="3"/>
        <v>2.3568638888129698E-2</v>
      </c>
      <c r="U56" s="8">
        <f t="shared" si="3"/>
        <v>0.11735027747438087</v>
      </c>
      <c r="V56" s="8">
        <f t="shared" si="3"/>
        <v>0.15856878701910448</v>
      </c>
    </row>
    <row r="57" spans="1:22" x14ac:dyDescent="0.3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0.49248035591906292</v>
      </c>
      <c r="O57" s="9">
        <v>0.19996459662135083</v>
      </c>
      <c r="P57" s="9">
        <v>3.4726102564515147</v>
      </c>
      <c r="Q57" s="9">
        <v>1.1098761451960322</v>
      </c>
      <c r="R57" s="10">
        <v>8.1675903101890762E-4</v>
      </c>
      <c r="S57" s="8">
        <f t="shared" si="3"/>
        <v>0.30751964408093713</v>
      </c>
      <c r="T57" s="8">
        <f t="shared" si="3"/>
        <v>1.9964596621350833E-2</v>
      </c>
      <c r="U57" s="8">
        <f t="shared" si="3"/>
        <v>0.19238974354848537</v>
      </c>
      <c r="V57" s="8">
        <f t="shared" si="3"/>
        <v>0.32487614519603214</v>
      </c>
    </row>
    <row r="58" spans="1:22" x14ac:dyDescent="0.3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0.57739219134345954</v>
      </c>
      <c r="O58" s="9">
        <v>5.1493372903585008E-2</v>
      </c>
      <c r="P58" s="9">
        <v>3.5417040282730108</v>
      </c>
      <c r="Q58" s="9">
        <v>0.96636230585548966</v>
      </c>
      <c r="R58" s="10">
        <v>2.1370750668881329E-4</v>
      </c>
      <c r="S58" s="8">
        <f t="shared" si="3"/>
        <v>0.17739219134345952</v>
      </c>
      <c r="T58" s="8">
        <f t="shared" si="3"/>
        <v>0.14850662709641499</v>
      </c>
      <c r="U58" s="8">
        <f t="shared" si="3"/>
        <v>0.12329597172698925</v>
      </c>
      <c r="V58" s="8">
        <f t="shared" si="3"/>
        <v>0.18136230585548963</v>
      </c>
    </row>
    <row r="59" spans="1:22" x14ac:dyDescent="0.3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0.57523141386093812</v>
      </c>
      <c r="O59" s="9">
        <v>0.19998905476558271</v>
      </c>
      <c r="P59" s="9">
        <v>3.9502309015103458</v>
      </c>
      <c r="Q59" s="9">
        <v>0.31171800732729299</v>
      </c>
      <c r="R59" s="10">
        <v>1.047979478124091E-3</v>
      </c>
      <c r="S59" s="8">
        <f t="shared" si="3"/>
        <v>0.1752314138609381</v>
      </c>
      <c r="T59" s="8">
        <f t="shared" si="3"/>
        <v>9.9989054765582702E-2</v>
      </c>
      <c r="U59" s="8">
        <f t="shared" si="3"/>
        <v>0.2852309015103458</v>
      </c>
      <c r="V59" s="8">
        <f t="shared" si="3"/>
        <v>1.259281992672707</v>
      </c>
    </row>
    <row r="60" spans="1:22" x14ac:dyDescent="0.3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0.86844526281947931</v>
      </c>
      <c r="O60" s="9">
        <v>7.942672926010326E-2</v>
      </c>
      <c r="P60" s="9">
        <v>3.9117393690012241</v>
      </c>
      <c r="Q60" s="9">
        <v>1.568371800479343</v>
      </c>
      <c r="R60" s="10">
        <v>1.1668722616702413E-3</v>
      </c>
      <c r="S60" s="8">
        <f t="shared" si="3"/>
        <v>0.16844526281947936</v>
      </c>
      <c r="T60" s="8">
        <f t="shared" si="3"/>
        <v>2.0573270739896746E-2</v>
      </c>
      <c r="U60" s="8">
        <f t="shared" si="3"/>
        <v>0.24673936900122406</v>
      </c>
      <c r="V60" s="8">
        <f t="shared" si="3"/>
        <v>2.6281995206569597E-3</v>
      </c>
    </row>
    <row r="61" spans="1:22" x14ac:dyDescent="0.3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0.45992797262462365</v>
      </c>
      <c r="O61" s="9">
        <v>0.14762209511325072</v>
      </c>
      <c r="P61" s="9">
        <v>3.943544031565636</v>
      </c>
      <c r="Q61" s="9">
        <v>2.1072041952467955</v>
      </c>
      <c r="R61" s="10">
        <v>3.8337800013458589E-4</v>
      </c>
      <c r="S61" s="8">
        <f t="shared" si="3"/>
        <v>5.9927972624623627E-2</v>
      </c>
      <c r="T61" s="8">
        <f t="shared" si="3"/>
        <v>1.237790488674928E-2</v>
      </c>
      <c r="U61" s="8">
        <f t="shared" si="3"/>
        <v>0.27854403156563601</v>
      </c>
      <c r="V61" s="8">
        <f t="shared" si="3"/>
        <v>0.53620419524679552</v>
      </c>
    </row>
    <row r="62" spans="1:22" x14ac:dyDescent="0.3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0.34232419004521358</v>
      </c>
      <c r="O62" s="9">
        <v>0.11235666014732527</v>
      </c>
      <c r="P62" s="9">
        <v>3.2170787903913767</v>
      </c>
      <c r="Q62" s="9">
        <v>1.0414324826291312</v>
      </c>
      <c r="R62" s="10">
        <v>5.3404262687148775E-4</v>
      </c>
      <c r="S62" s="8">
        <f t="shared" si="3"/>
        <v>4.2324190045213594E-2</v>
      </c>
      <c r="T62" s="8">
        <f t="shared" si="3"/>
        <v>6.7643339852674719E-2</v>
      </c>
      <c r="U62" s="8">
        <f t="shared" si="3"/>
        <v>0.44792120960862336</v>
      </c>
      <c r="V62" s="8">
        <f t="shared" si="3"/>
        <v>0.52956751737086871</v>
      </c>
    </row>
    <row r="63" spans="1:22" x14ac:dyDescent="0.3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0.32601530645483773</v>
      </c>
      <c r="O63" s="9">
        <v>2.835931646333659E-2</v>
      </c>
      <c r="P63" s="9">
        <v>1.825866364797694</v>
      </c>
      <c r="Q63" s="9">
        <v>2.2442476253006549</v>
      </c>
      <c r="R63" s="10">
        <v>1.1948112791575242E-4</v>
      </c>
      <c r="S63" s="8">
        <f t="shared" si="3"/>
        <v>2.6015306454837739E-2</v>
      </c>
      <c r="T63" s="8">
        <f t="shared" si="3"/>
        <v>5.1640683536663415E-2</v>
      </c>
      <c r="U63" s="8">
        <f t="shared" si="3"/>
        <v>0.25486636479769409</v>
      </c>
      <c r="V63" s="8">
        <f t="shared" si="3"/>
        <v>1.4592476253006548</v>
      </c>
    </row>
    <row r="64" spans="1:22" x14ac:dyDescent="0.3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0.35807122946057052</v>
      </c>
      <c r="O64" s="9">
        <v>0.19954540133475332</v>
      </c>
      <c r="P64" s="9">
        <v>0.89265402958078999</v>
      </c>
      <c r="Q64" s="9">
        <v>0.34458596812861281</v>
      </c>
      <c r="R64" s="10">
        <v>1.2210333847025797E-3</v>
      </c>
      <c r="S64" s="8">
        <f t="shared" si="3"/>
        <v>4.1928770539429505E-2</v>
      </c>
      <c r="T64" s="8">
        <f t="shared" si="3"/>
        <v>5.9545401334753306E-2</v>
      </c>
      <c r="U64" s="8">
        <f t="shared" si="3"/>
        <v>0.67834597041920996</v>
      </c>
      <c r="V64" s="8">
        <f t="shared" si="3"/>
        <v>0.44041403187138722</v>
      </c>
    </row>
    <row r="65" spans="1:22" x14ac:dyDescent="0.3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0.7995763280140219</v>
      </c>
      <c r="O65" s="9">
        <v>0.17776433859150814</v>
      </c>
      <c r="P65" s="9">
        <v>2.1726453789002642</v>
      </c>
      <c r="Q65" s="9">
        <v>0.41147670789462909</v>
      </c>
      <c r="R65" s="10">
        <v>2.4096196191744526E-3</v>
      </c>
      <c r="S65" s="8">
        <f t="shared" si="3"/>
        <v>0.19957632801402192</v>
      </c>
      <c r="T65" s="8">
        <f t="shared" si="3"/>
        <v>1.7764338591508139E-2</v>
      </c>
      <c r="U65" s="8">
        <f t="shared" si="3"/>
        <v>0.60164537890026426</v>
      </c>
      <c r="V65" s="8">
        <f t="shared" si="3"/>
        <v>0.37352329210537094</v>
      </c>
    </row>
    <row r="66" spans="1:22" x14ac:dyDescent="0.3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0.55543568630141826</v>
      </c>
      <c r="O66" s="9">
        <v>2.2470015305820903E-2</v>
      </c>
      <c r="P66" s="9">
        <v>1.5484085865822579</v>
      </c>
      <c r="Q66" s="9">
        <v>1.7871115908877309</v>
      </c>
      <c r="R66" s="10">
        <v>9.7840449663041054E-5</v>
      </c>
      <c r="S66" s="8">
        <f t="shared" si="3"/>
        <v>0.15543568630141824</v>
      </c>
      <c r="T66" s="8">
        <f t="shared" si="3"/>
        <v>3.7529984694179092E-2</v>
      </c>
      <c r="U66" s="8">
        <f t="shared" si="3"/>
        <v>2.2591413417742068E-2</v>
      </c>
      <c r="V66" s="8">
        <f t="shared" si="3"/>
        <v>0.21611159088773091</v>
      </c>
    </row>
    <row r="67" spans="1:22" x14ac:dyDescent="0.3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0.88644193076362632</v>
      </c>
      <c r="O67" s="9">
        <v>7.7268755336042896E-2</v>
      </c>
      <c r="P67" s="9">
        <v>1.4234954539395601</v>
      </c>
      <c r="Q67" s="9">
        <v>1.4344214103472037</v>
      </c>
      <c r="R67" s="10">
        <v>1.0525139834503617E-3</v>
      </c>
      <c r="S67" s="8">
        <f t="shared" si="3"/>
        <v>8.6441930763626273E-2</v>
      </c>
      <c r="T67" s="8">
        <f t="shared" si="3"/>
        <v>2.7312446639571053E-3</v>
      </c>
      <c r="U67" s="8">
        <f t="shared" si="3"/>
        <v>0.14750454606043983</v>
      </c>
      <c r="V67" s="8">
        <f t="shared" si="3"/>
        <v>0.13657858965279623</v>
      </c>
    </row>
    <row r="68" spans="1:22" x14ac:dyDescent="0.3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0.72335789333343781</v>
      </c>
      <c r="O68" s="9">
        <v>0.19968966682228126</v>
      </c>
      <c r="P68" s="9">
        <v>1.6501191864604232</v>
      </c>
      <c r="Q68" s="9">
        <v>1.8357174699409184</v>
      </c>
      <c r="R68" s="10">
        <v>2.6262675710329511E-4</v>
      </c>
      <c r="S68" s="8">
        <f t="shared" si="3"/>
        <v>2.3357893333437851E-2</v>
      </c>
      <c r="T68" s="8">
        <f t="shared" si="3"/>
        <v>3.9689666822281255E-2</v>
      </c>
      <c r="U68" s="8">
        <f t="shared" si="3"/>
        <v>7.9119186460423263E-2</v>
      </c>
      <c r="V68" s="8">
        <f t="shared" si="3"/>
        <v>0.26471746994091849</v>
      </c>
    </row>
    <row r="69" spans="1:22" x14ac:dyDescent="0.3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0.70598132087922194</v>
      </c>
      <c r="O69" s="9">
        <v>0.1999101163341849</v>
      </c>
      <c r="P69" s="9">
        <v>1.51151008189669</v>
      </c>
      <c r="Q69" s="9">
        <v>1.626676021874224</v>
      </c>
      <c r="R69" s="10">
        <v>6.6618025461460636E-4</v>
      </c>
      <c r="S69" s="8">
        <f t="shared" si="3"/>
        <v>5.9813208792219852E-3</v>
      </c>
      <c r="T69" s="8">
        <f t="shared" si="3"/>
        <v>8.9883665815110314E-5</v>
      </c>
      <c r="U69" s="8">
        <f t="shared" si="3"/>
        <v>5.9489918103309947E-2</v>
      </c>
      <c r="V69" s="8">
        <f t="shared" si="3"/>
        <v>5.5676021874224046E-2</v>
      </c>
    </row>
    <row r="70" spans="1:22" x14ac:dyDescent="0.3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0.99999999802703543</v>
      </c>
      <c r="O70" s="9">
        <v>5.3908385881679691E-2</v>
      </c>
      <c r="P70" s="9">
        <v>3.3943748173944712</v>
      </c>
      <c r="Q70" s="9">
        <v>0.56045713288828825</v>
      </c>
      <c r="R70" s="10">
        <v>5.297190710970183E-2</v>
      </c>
      <c r="S70" s="8">
        <f t="shared" si="3"/>
        <v>0.29999999802703547</v>
      </c>
      <c r="T70" s="8">
        <f t="shared" si="3"/>
        <v>6.0916141183203071E-3</v>
      </c>
      <c r="U70" s="8">
        <f t="shared" si="3"/>
        <v>0.27062518260552881</v>
      </c>
      <c r="V70" s="8">
        <f t="shared" si="3"/>
        <v>0.22454286711171179</v>
      </c>
    </row>
    <row r="71" spans="1:22" x14ac:dyDescent="0.3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0.52626281433849653</v>
      </c>
      <c r="O71" s="9">
        <v>9.82628116847616E-2</v>
      </c>
      <c r="P71" s="9">
        <v>3.5059101135537372</v>
      </c>
      <c r="Q71" s="9">
        <v>0.89997592204096877</v>
      </c>
      <c r="R71" s="10">
        <v>1.3027476641997026E-4</v>
      </c>
      <c r="S71" s="8">
        <f t="shared" si="3"/>
        <v>7.3737185661503446E-2</v>
      </c>
      <c r="T71" s="8">
        <f t="shared" si="3"/>
        <v>1.7371883152384054E-3</v>
      </c>
      <c r="U71" s="8">
        <f t="shared" si="3"/>
        <v>0.15908988644626287</v>
      </c>
      <c r="V71" s="8">
        <f t="shared" si="3"/>
        <v>0.11497592204096874</v>
      </c>
    </row>
    <row r="72" spans="1:22" x14ac:dyDescent="0.3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0.82905541390419346</v>
      </c>
      <c r="O72" s="9">
        <v>0.19999998433073624</v>
      </c>
      <c r="P72" s="9">
        <v>4.0841444367269393</v>
      </c>
      <c r="Q72" s="9">
        <v>0.33490049304617553</v>
      </c>
      <c r="R72" s="10">
        <v>5.8940454243228864E-3</v>
      </c>
      <c r="S72" s="8">
        <f t="shared" si="3"/>
        <v>2.9055413904193417E-2</v>
      </c>
      <c r="T72" s="8">
        <f t="shared" si="3"/>
        <v>1.9999984330736242E-2</v>
      </c>
      <c r="U72" s="8">
        <f t="shared" si="3"/>
        <v>0.41914443672693924</v>
      </c>
      <c r="V72" s="8">
        <f t="shared" si="3"/>
        <v>0.4500995069538245</v>
      </c>
    </row>
    <row r="73" spans="1:22" x14ac:dyDescent="0.3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0.44255345888445075</v>
      </c>
      <c r="O73" s="9">
        <v>0.15060892743213933</v>
      </c>
      <c r="P73" s="9">
        <v>3.5855176922720959</v>
      </c>
      <c r="Q73" s="9">
        <v>0.75955209899829312</v>
      </c>
      <c r="R73" s="10">
        <v>3.6457397387237649E-4</v>
      </c>
      <c r="S73" s="8">
        <f t="shared" si="3"/>
        <v>4.2553458884450723E-2</v>
      </c>
      <c r="T73" s="8">
        <f t="shared" si="3"/>
        <v>4.9391072567860683E-2</v>
      </c>
      <c r="U73" s="8">
        <f t="shared" si="3"/>
        <v>7.94823077279041E-2</v>
      </c>
      <c r="V73" s="8">
        <f t="shared" si="3"/>
        <v>2.5447901001706907E-2</v>
      </c>
    </row>
    <row r="74" spans="1:22" x14ac:dyDescent="0.3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0.62874449160089696</v>
      </c>
      <c r="O74" s="9">
        <v>0.16143924641176285</v>
      </c>
      <c r="P74" s="9">
        <v>2.9095751878580201</v>
      </c>
      <c r="Q74" s="9">
        <v>2.6346934904609443</v>
      </c>
      <c r="R74" s="10">
        <v>2.4815951032350499E-3</v>
      </c>
      <c r="S74" s="8">
        <f t="shared" si="3"/>
        <v>0.22874449160089694</v>
      </c>
      <c r="T74" s="8">
        <f t="shared" si="3"/>
        <v>6.1439246411762849E-2</v>
      </c>
      <c r="U74" s="8">
        <f t="shared" si="3"/>
        <v>0.75542481214197998</v>
      </c>
      <c r="V74" s="8">
        <f t="shared" si="3"/>
        <v>1.0636934904609443</v>
      </c>
    </row>
    <row r="75" spans="1:22" x14ac:dyDescent="0.3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0.64745601639156192</v>
      </c>
      <c r="O75" s="9">
        <v>0.12517912768202324</v>
      </c>
      <c r="P75" s="9">
        <v>3.5469843341943657</v>
      </c>
      <c r="Q75" s="9">
        <v>1.0817331878587046</v>
      </c>
      <c r="R75" s="10">
        <v>1.0668490639602526E-3</v>
      </c>
      <c r="S75" s="8">
        <f t="shared" si="3"/>
        <v>5.2543983608438039E-2</v>
      </c>
      <c r="T75" s="8">
        <f t="shared" si="3"/>
        <v>2.5179127682023239E-2</v>
      </c>
      <c r="U75" s="8">
        <f t="shared" si="3"/>
        <v>0.11801566580563438</v>
      </c>
      <c r="V75" s="8">
        <f t="shared" si="3"/>
        <v>0.4892668121412953</v>
      </c>
    </row>
    <row r="76" spans="1:22" x14ac:dyDescent="0.3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0.5630297298792093</v>
      </c>
      <c r="O76" s="9">
        <v>8.3459429986560585E-2</v>
      </c>
      <c r="P76" s="9">
        <v>3.6103183023720593</v>
      </c>
      <c r="Q76" s="9">
        <v>1.8935037786254634</v>
      </c>
      <c r="R76" s="10">
        <v>1.6327965560157787E-5</v>
      </c>
      <c r="S76" s="8">
        <f t="shared" si="3"/>
        <v>0.16302972987920927</v>
      </c>
      <c r="T76" s="8">
        <f t="shared" si="3"/>
        <v>7.6540570013439418E-2</v>
      </c>
      <c r="U76" s="8">
        <f t="shared" si="3"/>
        <v>5.4681697627940729E-2</v>
      </c>
      <c r="V76" s="8">
        <f t="shared" si="3"/>
        <v>0.32250377862546342</v>
      </c>
    </row>
    <row r="77" spans="1:22" x14ac:dyDescent="0.3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0.59605058630929164</v>
      </c>
      <c r="O77" s="9">
        <v>3.2607917624577397E-2</v>
      </c>
      <c r="P77" s="9">
        <v>4.4660981486329856</v>
      </c>
      <c r="Q77" s="9">
        <v>2.5529357940926474</v>
      </c>
      <c r="R77" s="10">
        <v>2.1256149610094691E-3</v>
      </c>
      <c r="S77" s="8">
        <f t="shared" si="3"/>
        <v>0.29605058630929165</v>
      </c>
      <c r="T77" s="8">
        <f t="shared" si="3"/>
        <v>0.14739208237542259</v>
      </c>
      <c r="U77" s="8">
        <f t="shared" si="3"/>
        <v>0.80109814863298556</v>
      </c>
      <c r="V77" s="8">
        <f t="shared" si="3"/>
        <v>0.98193579409264742</v>
      </c>
    </row>
    <row r="78" spans="1:22" x14ac:dyDescent="0.3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0.32765461252432715</v>
      </c>
      <c r="O78" s="9">
        <v>5.6278333734307712E-2</v>
      </c>
      <c r="P78" s="9">
        <v>1.8648111311989646</v>
      </c>
      <c r="Q78" s="9">
        <v>0.71498132256136293</v>
      </c>
      <c r="R78" s="10">
        <v>5.0115168229812375E-5</v>
      </c>
      <c r="S78" s="8">
        <f t="shared" si="3"/>
        <v>2.765461252432716E-2</v>
      </c>
      <c r="T78" s="8">
        <f t="shared" si="3"/>
        <v>2.372166626569229E-2</v>
      </c>
      <c r="U78" s="8">
        <f t="shared" si="3"/>
        <v>0.29381113119896463</v>
      </c>
      <c r="V78" s="8">
        <f t="shared" si="3"/>
        <v>7.00186774386371E-2</v>
      </c>
    </row>
    <row r="79" spans="1:22" x14ac:dyDescent="0.3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0.44460832717323723</v>
      </c>
      <c r="O79" s="9">
        <v>5.1818130820097265E-2</v>
      </c>
      <c r="P79" s="9">
        <v>1.7969696932122428</v>
      </c>
      <c r="Q79" s="9">
        <v>1.5857580465847259</v>
      </c>
      <c r="R79" s="10">
        <v>9.5179822822247123E-5</v>
      </c>
      <c r="S79" s="8">
        <f t="shared" si="3"/>
        <v>4.4608327173237206E-2</v>
      </c>
      <c r="T79" s="8">
        <f t="shared" si="3"/>
        <v>8.8181869179902755E-2</v>
      </c>
      <c r="U79" s="8">
        <f t="shared" si="3"/>
        <v>0.22596969321224281</v>
      </c>
      <c r="V79" s="8">
        <f t="shared" si="3"/>
        <v>0.80075804658472582</v>
      </c>
    </row>
    <row r="80" spans="1:22" x14ac:dyDescent="0.3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0.65955185984211451</v>
      </c>
      <c r="O80" s="9">
        <v>0.1977375997453337</v>
      </c>
      <c r="P80" s="9">
        <v>1.627368744815554</v>
      </c>
      <c r="Q80" s="9">
        <v>0.43102715540985498</v>
      </c>
      <c r="R80" s="10">
        <v>1.8041873743597232E-4</v>
      </c>
      <c r="S80" s="8">
        <f t="shared" si="3"/>
        <v>5.955185984211453E-2</v>
      </c>
      <c r="T80" s="8">
        <f t="shared" si="3"/>
        <v>3.7737599745333694E-2</v>
      </c>
      <c r="U80" s="8">
        <f t="shared" si="3"/>
        <v>5.6368744815554095E-2</v>
      </c>
      <c r="V80" s="8">
        <f t="shared" si="3"/>
        <v>0.35397284459014505</v>
      </c>
    </row>
    <row r="81" spans="1:22" x14ac:dyDescent="0.3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0.52265962700684387</v>
      </c>
      <c r="O81" s="9">
        <v>0.16473105414528805</v>
      </c>
      <c r="P81" s="9">
        <v>1.8221520680673551</v>
      </c>
      <c r="Q81" s="9">
        <v>0.3630947200910643</v>
      </c>
      <c r="R81" s="10">
        <v>1.9872642106561903E-5</v>
      </c>
      <c r="S81" s="8">
        <f t="shared" si="3"/>
        <v>0.12265962700684385</v>
      </c>
      <c r="T81" s="8">
        <f t="shared" si="3"/>
        <v>0.10473105414528805</v>
      </c>
      <c r="U81" s="8">
        <f t="shared" si="3"/>
        <v>0.25115206806735513</v>
      </c>
      <c r="V81" s="8">
        <f t="shared" si="3"/>
        <v>1.2079052799089356</v>
      </c>
    </row>
    <row r="82" spans="1:22" x14ac:dyDescent="0.3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0.94661243864237299</v>
      </c>
      <c r="O82" s="9">
        <v>8.3471014224155898E-2</v>
      </c>
      <c r="P82" s="9">
        <v>1.3450669597968707</v>
      </c>
      <c r="Q82" s="9">
        <v>1.5773758059169889</v>
      </c>
      <c r="R82" s="10">
        <v>1.1466549969286614E-3</v>
      </c>
      <c r="S82" s="8">
        <f t="shared" si="3"/>
        <v>0.14661243864237294</v>
      </c>
      <c r="T82" s="8">
        <f t="shared" si="3"/>
        <v>3.4710142241558967E-3</v>
      </c>
      <c r="U82" s="8">
        <f t="shared" si="3"/>
        <v>0.22593304020312921</v>
      </c>
      <c r="V82" s="8">
        <f t="shared" si="3"/>
        <v>6.3758059169889414E-3</v>
      </c>
    </row>
    <row r="83" spans="1:22" x14ac:dyDescent="0.3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0.72946794423399641</v>
      </c>
      <c r="O83" s="9">
        <v>0.14112641459201156</v>
      </c>
      <c r="P83" s="9">
        <v>1.5480950590057994</v>
      </c>
      <c r="Q83" s="9">
        <v>1.4280853841661116</v>
      </c>
      <c r="R83" s="10">
        <v>2.7789366297228198E-4</v>
      </c>
      <c r="S83" s="8">
        <f t="shared" si="3"/>
        <v>2.9467944233996457E-2</v>
      </c>
      <c r="T83" s="8">
        <f t="shared" si="3"/>
        <v>1.8873585407988447E-2</v>
      </c>
      <c r="U83" s="8">
        <f t="shared" si="3"/>
        <v>2.2904940994200595E-2</v>
      </c>
      <c r="V83" s="8">
        <f t="shared" ref="V83:V146" si="4">ABS(Q83-D83)</f>
        <v>0.14291461583388831</v>
      </c>
    </row>
    <row r="84" spans="1:22" x14ac:dyDescent="0.3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0.92992875905866212</v>
      </c>
      <c r="O84" s="9">
        <v>0.17481195498974186</v>
      </c>
      <c r="P84" s="9">
        <v>1.793724729255417</v>
      </c>
      <c r="Q84" s="9">
        <v>1.8463088193271231</v>
      </c>
      <c r="R84" s="10">
        <v>2.3243369999914974E-3</v>
      </c>
      <c r="S84" s="8">
        <f t="shared" ref="S84:V147" si="5">ABS(N84-A84)</f>
        <v>0.22992875905866217</v>
      </c>
      <c r="T84" s="8">
        <f t="shared" si="5"/>
        <v>2.5188045010258148E-2</v>
      </c>
      <c r="U84" s="8">
        <f t="shared" si="5"/>
        <v>0.22272472925541709</v>
      </c>
      <c r="V84" s="8">
        <f t="shared" si="4"/>
        <v>0.27530881932712314</v>
      </c>
    </row>
    <row r="85" spans="1:22" x14ac:dyDescent="0.3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0.77820842176303473</v>
      </c>
      <c r="O85" s="9">
        <v>7.8543692799430145E-2</v>
      </c>
      <c r="P85" s="9">
        <v>4.0099542778725858</v>
      </c>
      <c r="Q85" s="9">
        <v>0.74291554527616377</v>
      </c>
      <c r="R85" s="10">
        <v>1.3362774946513731E-3</v>
      </c>
      <c r="S85" s="8">
        <f t="shared" si="5"/>
        <v>7.8208421763034774E-2</v>
      </c>
      <c r="T85" s="8">
        <f t="shared" si="5"/>
        <v>1.8543692799430148E-2</v>
      </c>
      <c r="U85" s="8">
        <f t="shared" si="5"/>
        <v>0.34495427787258581</v>
      </c>
      <c r="V85" s="8">
        <f t="shared" si="4"/>
        <v>4.2084454723836262E-2</v>
      </c>
    </row>
    <row r="86" spans="1:22" x14ac:dyDescent="0.3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0.9332589824629316</v>
      </c>
      <c r="O86" s="9">
        <v>9.9886840184531159E-2</v>
      </c>
      <c r="P86" s="9">
        <v>3.5445184695697933</v>
      </c>
      <c r="Q86" s="9">
        <v>0.43740546768296412</v>
      </c>
      <c r="R86" s="10">
        <v>8.5821930105278133E-5</v>
      </c>
      <c r="S86" s="8">
        <f t="shared" si="5"/>
        <v>0.33325898246293162</v>
      </c>
      <c r="T86" s="8">
        <f t="shared" si="5"/>
        <v>1.1315981546884679E-4</v>
      </c>
      <c r="U86" s="8">
        <f t="shared" si="5"/>
        <v>0.12048153043020671</v>
      </c>
      <c r="V86" s="8">
        <f t="shared" si="4"/>
        <v>0.34759453231703591</v>
      </c>
    </row>
    <row r="87" spans="1:22" x14ac:dyDescent="0.3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0.87784129554512624</v>
      </c>
      <c r="O87" s="9">
        <v>7.3770443538347608E-2</v>
      </c>
      <c r="P87" s="9">
        <v>3.1558894722649233</v>
      </c>
      <c r="Q87" s="9">
        <v>0.92034372633250905</v>
      </c>
      <c r="R87" s="10">
        <v>5.0278790123939243E-3</v>
      </c>
      <c r="S87" s="8">
        <f t="shared" si="5"/>
        <v>7.7841295545126199E-2</v>
      </c>
      <c r="T87" s="8">
        <f t="shared" si="5"/>
        <v>0.10622955646165239</v>
      </c>
      <c r="U87" s="8">
        <f t="shared" si="5"/>
        <v>0.5091105277350767</v>
      </c>
      <c r="V87" s="8">
        <f t="shared" si="4"/>
        <v>0.13534372633250902</v>
      </c>
    </row>
    <row r="88" spans="1:22" x14ac:dyDescent="0.3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0.99999962879845572</v>
      </c>
      <c r="O88" s="9">
        <v>0.19999323603477895</v>
      </c>
      <c r="P88" s="9">
        <v>3.6751825855610551</v>
      </c>
      <c r="Q88" s="9">
        <v>0.17720618453354897</v>
      </c>
      <c r="R88" s="10">
        <v>7.6774477013893802E-3</v>
      </c>
      <c r="S88" s="8">
        <f t="shared" si="5"/>
        <v>0.5999996287984557</v>
      </c>
      <c r="T88" s="8">
        <f t="shared" si="5"/>
        <v>6.7639652210627066E-6</v>
      </c>
      <c r="U88" s="8">
        <f t="shared" si="5"/>
        <v>1.0182585561055113E-2</v>
      </c>
      <c r="V88" s="8">
        <f t="shared" si="4"/>
        <v>0.60779381546645106</v>
      </c>
    </row>
    <row r="89" spans="1:22" x14ac:dyDescent="0.3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0.50334990246423872</v>
      </c>
      <c r="O89" s="9">
        <v>4.7172433323700497E-2</v>
      </c>
      <c r="P89" s="9">
        <v>3.7460013108235439</v>
      </c>
      <c r="Q89" s="9">
        <v>1.180655486512481</v>
      </c>
      <c r="R89" s="10">
        <v>3.7129799169496885E-6</v>
      </c>
      <c r="S89" s="8">
        <f t="shared" si="5"/>
        <v>0.1033499024642387</v>
      </c>
      <c r="T89" s="8">
        <f t="shared" si="5"/>
        <v>5.2827566676299509E-2</v>
      </c>
      <c r="U89" s="8">
        <f t="shared" si="5"/>
        <v>8.1001310823543893E-2</v>
      </c>
      <c r="V89" s="8">
        <f t="shared" si="4"/>
        <v>0.39034451348751897</v>
      </c>
    </row>
    <row r="90" spans="1:22" x14ac:dyDescent="0.3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0.62216835405625615</v>
      </c>
      <c r="O90" s="9">
        <v>0.15441107292323375</v>
      </c>
      <c r="P90" s="9">
        <v>3.6252637267099579</v>
      </c>
      <c r="Q90" s="9">
        <v>1.7119143276313942</v>
      </c>
      <c r="R90" s="10">
        <v>4.3412910841803708E-4</v>
      </c>
      <c r="S90" s="8">
        <f t="shared" si="5"/>
        <v>7.783164594374381E-2</v>
      </c>
      <c r="T90" s="8">
        <f t="shared" si="5"/>
        <v>5.4411072923233744E-2</v>
      </c>
      <c r="U90" s="8">
        <f t="shared" si="5"/>
        <v>3.9736273290042146E-2</v>
      </c>
      <c r="V90" s="8">
        <f t="shared" si="4"/>
        <v>0.14091432763139422</v>
      </c>
    </row>
    <row r="91" spans="1:22" x14ac:dyDescent="0.3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0.40448084312788879</v>
      </c>
      <c r="O91" s="9">
        <v>0.15836616240600743</v>
      </c>
      <c r="P91" s="9">
        <v>4.0531290525273498</v>
      </c>
      <c r="Q91" s="9">
        <v>2.2325891792862906</v>
      </c>
      <c r="R91" s="10">
        <v>1.6384667664685495E-3</v>
      </c>
      <c r="S91" s="8">
        <f t="shared" si="5"/>
        <v>4.4808431278887673E-3</v>
      </c>
      <c r="T91" s="8">
        <f t="shared" si="5"/>
        <v>1.6338375939925764E-3</v>
      </c>
      <c r="U91" s="8">
        <f t="shared" si="5"/>
        <v>0.38812905252734975</v>
      </c>
      <c r="V91" s="8">
        <f t="shared" si="4"/>
        <v>0.66158917928629069</v>
      </c>
    </row>
    <row r="92" spans="1:22" x14ac:dyDescent="0.3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0.28408175776750116</v>
      </c>
      <c r="O92" s="9">
        <v>0.15680179261512706</v>
      </c>
      <c r="P92" s="9">
        <v>3.0909434416070147</v>
      </c>
      <c r="Q92" s="9">
        <v>0.872373286309721</v>
      </c>
      <c r="R92" s="10">
        <v>1.3871027742722827E-3</v>
      </c>
      <c r="S92" s="8">
        <f t="shared" si="5"/>
        <v>1.5918242232498825E-2</v>
      </c>
      <c r="T92" s="8">
        <f t="shared" si="5"/>
        <v>2.3198207384872938E-2</v>
      </c>
      <c r="U92" s="8">
        <f t="shared" si="5"/>
        <v>0.57405655839298531</v>
      </c>
      <c r="V92" s="8">
        <f t="shared" si="4"/>
        <v>0.69862671369027896</v>
      </c>
    </row>
    <row r="93" spans="1:22" x14ac:dyDescent="0.3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0.80643736297973012</v>
      </c>
      <c r="O93" s="9">
        <v>3.6694834762465559E-2</v>
      </c>
      <c r="P93" s="9">
        <v>1.4992058295863493</v>
      </c>
      <c r="Q93" s="9">
        <v>0.27299465697914249</v>
      </c>
      <c r="R93" s="10">
        <v>2.8430311253966561E-5</v>
      </c>
      <c r="S93" s="8">
        <f t="shared" si="5"/>
        <v>0.50643736297973008</v>
      </c>
      <c r="T93" s="8">
        <f t="shared" si="5"/>
        <v>4.3305165237534443E-2</v>
      </c>
      <c r="U93" s="8">
        <f t="shared" si="5"/>
        <v>7.179417041365066E-2</v>
      </c>
      <c r="V93" s="8">
        <f t="shared" si="4"/>
        <v>0.51200534302085754</v>
      </c>
    </row>
    <row r="94" spans="1:22" x14ac:dyDescent="0.3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0.29273149205253002</v>
      </c>
      <c r="O94" s="9">
        <v>0.15263370898312956</v>
      </c>
      <c r="P94" s="9">
        <v>2.5255310766958421</v>
      </c>
      <c r="Q94" s="9">
        <v>0.57001645517851895</v>
      </c>
      <c r="R94" s="10">
        <v>2.3231345828932373E-3</v>
      </c>
      <c r="S94" s="8">
        <f t="shared" si="5"/>
        <v>0.10726850794747</v>
      </c>
      <c r="T94" s="8">
        <f t="shared" si="5"/>
        <v>1.2633708983129543E-2</v>
      </c>
      <c r="U94" s="8">
        <f t="shared" si="5"/>
        <v>0.95453107669584214</v>
      </c>
      <c r="V94" s="8">
        <f t="shared" si="4"/>
        <v>0.21498354482148108</v>
      </c>
    </row>
    <row r="95" spans="1:22" x14ac:dyDescent="0.3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0.79206892579826171</v>
      </c>
      <c r="O95" s="9">
        <v>0.19576906180601272</v>
      </c>
      <c r="P95" s="9">
        <v>1.8388726020126351</v>
      </c>
      <c r="Q95" s="9">
        <v>0.33120825720446123</v>
      </c>
      <c r="R95" s="10">
        <v>3.0306427413447204E-4</v>
      </c>
      <c r="S95" s="8">
        <f t="shared" si="5"/>
        <v>0.19206892579826174</v>
      </c>
      <c r="T95" s="8">
        <f t="shared" si="5"/>
        <v>3.576906180601272E-2</v>
      </c>
      <c r="U95" s="8">
        <f t="shared" si="5"/>
        <v>0.26787260201263519</v>
      </c>
      <c r="V95" s="8">
        <f t="shared" si="4"/>
        <v>0.4537917427955388</v>
      </c>
    </row>
    <row r="96" spans="1:22" x14ac:dyDescent="0.3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0.69571618506196087</v>
      </c>
      <c r="O96" s="9">
        <v>1.0733183082458461E-2</v>
      </c>
      <c r="P96" s="9">
        <v>1.1913224805658202</v>
      </c>
      <c r="Q96" s="9">
        <v>1.738822348461615</v>
      </c>
      <c r="R96" s="10">
        <v>7.1022824827717489E-4</v>
      </c>
      <c r="S96" s="8">
        <f t="shared" si="5"/>
        <v>0.29571618506196085</v>
      </c>
      <c r="T96" s="8">
        <f t="shared" si="5"/>
        <v>4.9266816917541534E-2</v>
      </c>
      <c r="U96" s="8">
        <f t="shared" si="5"/>
        <v>0.37967751943417971</v>
      </c>
      <c r="V96" s="8">
        <f t="shared" si="4"/>
        <v>0.16782234846161503</v>
      </c>
    </row>
    <row r="97" spans="1:22" x14ac:dyDescent="0.3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0.99999998836181569</v>
      </c>
      <c r="O97" s="9">
        <v>8.076456583635605E-2</v>
      </c>
      <c r="P97" s="9">
        <v>1.6702336416202512</v>
      </c>
      <c r="Q97" s="9">
        <v>1.9106947938969276</v>
      </c>
      <c r="R97" s="10">
        <v>3.7713984142641261E-3</v>
      </c>
      <c r="S97" s="8">
        <f t="shared" si="5"/>
        <v>0.19999998836181565</v>
      </c>
      <c r="T97" s="8">
        <f t="shared" si="5"/>
        <v>7.6456583635604869E-4</v>
      </c>
      <c r="U97" s="8">
        <f t="shared" si="5"/>
        <v>9.9233641620251278E-2</v>
      </c>
      <c r="V97" s="8">
        <f t="shared" si="4"/>
        <v>0.33969479389692769</v>
      </c>
    </row>
    <row r="98" spans="1:22" x14ac:dyDescent="0.3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0.52437637284349103</v>
      </c>
      <c r="O98" s="9">
        <v>0.19794542814793359</v>
      </c>
      <c r="P98" s="9">
        <v>1.4723006865262382</v>
      </c>
      <c r="Q98" s="9">
        <v>1.4072926775843475</v>
      </c>
      <c r="R98" s="10">
        <v>4.5106567207965035E-4</v>
      </c>
      <c r="S98" s="8">
        <f t="shared" si="5"/>
        <v>0.17562362715650892</v>
      </c>
      <c r="T98" s="8">
        <f t="shared" si="5"/>
        <v>3.7945428147933585E-2</v>
      </c>
      <c r="U98" s="8">
        <f t="shared" si="5"/>
        <v>9.8699313473761707E-2</v>
      </c>
      <c r="V98" s="8">
        <f t="shared" si="4"/>
        <v>0.16370732241565245</v>
      </c>
    </row>
    <row r="99" spans="1:22" x14ac:dyDescent="0.3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0.70751668154495684</v>
      </c>
      <c r="O99" s="9">
        <v>0.18700794577646151</v>
      </c>
      <c r="P99" s="9">
        <v>1.2667291678469985</v>
      </c>
      <c r="Q99" s="9">
        <v>1.6775889325663267</v>
      </c>
      <c r="R99" s="10">
        <v>3.9886223535884032E-3</v>
      </c>
      <c r="S99" s="8">
        <f t="shared" si="5"/>
        <v>7.5166815449568825E-3</v>
      </c>
      <c r="T99" s="8">
        <f t="shared" si="5"/>
        <v>1.2992054223538496E-2</v>
      </c>
      <c r="U99" s="8">
        <f t="shared" si="5"/>
        <v>0.30427083215300144</v>
      </c>
      <c r="V99" s="8">
        <f t="shared" si="4"/>
        <v>0.10658893256632673</v>
      </c>
    </row>
    <row r="100" spans="1:22" x14ac:dyDescent="0.3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0.99999991779166786</v>
      </c>
      <c r="O100" s="9">
        <v>8.4422215248291729E-2</v>
      </c>
      <c r="P100" s="9">
        <v>3.4760069977435788</v>
      </c>
      <c r="Q100" s="9">
        <v>0.43381390516347279</v>
      </c>
      <c r="R100" s="10">
        <v>3.2363457211732921E-2</v>
      </c>
      <c r="S100" s="8">
        <f t="shared" si="5"/>
        <v>0.2999999177916679</v>
      </c>
      <c r="T100" s="8">
        <f t="shared" si="5"/>
        <v>2.4422215248291732E-2</v>
      </c>
      <c r="U100" s="8">
        <f t="shared" si="5"/>
        <v>0.18899300225642124</v>
      </c>
      <c r="V100" s="8">
        <f t="shared" si="4"/>
        <v>0.35118609483652724</v>
      </c>
    </row>
    <row r="101" spans="1:22" x14ac:dyDescent="0.3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0.71610190124583706</v>
      </c>
      <c r="O101" s="9">
        <v>0.16265842207774883</v>
      </c>
      <c r="P101" s="9">
        <v>3.6689071662810324</v>
      </c>
      <c r="Q101" s="9">
        <v>0.40726958246417122</v>
      </c>
      <c r="R101" s="10">
        <v>1.7182327145261924E-4</v>
      </c>
      <c r="S101" s="8">
        <f t="shared" si="5"/>
        <v>0.11610190124583708</v>
      </c>
      <c r="T101" s="8">
        <f t="shared" si="5"/>
        <v>6.2658422077748827E-2</v>
      </c>
      <c r="U101" s="8">
        <f t="shared" si="5"/>
        <v>3.9071662810323815E-3</v>
      </c>
      <c r="V101" s="8">
        <f t="shared" si="4"/>
        <v>0.37773041753582881</v>
      </c>
    </row>
    <row r="102" spans="1:22" x14ac:dyDescent="0.3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0.78745533840402393</v>
      </c>
      <c r="O102" s="9">
        <v>9.1059967786484286E-2</v>
      </c>
      <c r="P102" s="9">
        <v>3.8112157383789276</v>
      </c>
      <c r="Q102" s="9">
        <v>1.2163708549006611</v>
      </c>
      <c r="R102" s="10">
        <v>4.0571676720139175E-4</v>
      </c>
      <c r="S102" s="8">
        <f t="shared" si="5"/>
        <v>1.2544661595976114E-2</v>
      </c>
      <c r="T102" s="8">
        <f t="shared" si="5"/>
        <v>8.8940032213515707E-2</v>
      </c>
      <c r="U102" s="8">
        <f t="shared" si="5"/>
        <v>0.14621573837892754</v>
      </c>
      <c r="V102" s="8">
        <f t="shared" si="4"/>
        <v>0.43137085490066107</v>
      </c>
    </row>
    <row r="103" spans="1:22" x14ac:dyDescent="0.3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0.43666435136620874</v>
      </c>
      <c r="O103" s="9">
        <v>0.12608963395552497</v>
      </c>
      <c r="P103" s="9">
        <v>3.6320661878151337</v>
      </c>
      <c r="Q103" s="9">
        <v>0.76974606661517664</v>
      </c>
      <c r="R103" s="10">
        <v>4.9564665694773477E-5</v>
      </c>
      <c r="S103" s="8">
        <f t="shared" si="5"/>
        <v>3.6664351366208714E-2</v>
      </c>
      <c r="T103" s="8">
        <f t="shared" si="5"/>
        <v>7.391036604447504E-2</v>
      </c>
      <c r="U103" s="8">
        <f t="shared" si="5"/>
        <v>3.2933812184866351E-2</v>
      </c>
      <c r="V103" s="8">
        <f t="shared" si="4"/>
        <v>1.5253933384823393E-2</v>
      </c>
    </row>
    <row r="104" spans="1:22" x14ac:dyDescent="0.3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0.58814832990453303</v>
      </c>
      <c r="O104" s="9">
        <v>0.17870630135656945</v>
      </c>
      <c r="P104" s="9">
        <v>3.1028386586489218</v>
      </c>
      <c r="Q104" s="9">
        <v>2.6453280858351595</v>
      </c>
      <c r="R104" s="10">
        <v>1.814353122857828E-3</v>
      </c>
      <c r="S104" s="8">
        <f t="shared" si="5"/>
        <v>0.18814832990453301</v>
      </c>
      <c r="T104" s="8">
        <f t="shared" si="5"/>
        <v>7.8706301356569447E-2</v>
      </c>
      <c r="U104" s="8">
        <f t="shared" si="5"/>
        <v>0.5621613413510782</v>
      </c>
      <c r="V104" s="8">
        <f t="shared" si="4"/>
        <v>1.0743280858351596</v>
      </c>
    </row>
    <row r="105" spans="1:22" x14ac:dyDescent="0.3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0.8847244491023607</v>
      </c>
      <c r="O105" s="9">
        <v>5.8457112543243449E-2</v>
      </c>
      <c r="P105" s="9">
        <v>3.4850929999365916</v>
      </c>
      <c r="Q105" s="9">
        <v>1.7858926844914949</v>
      </c>
      <c r="R105" s="10">
        <v>8.876073219168854E-4</v>
      </c>
      <c r="S105" s="8">
        <f t="shared" si="5"/>
        <v>0.18472444910236074</v>
      </c>
      <c r="T105" s="8">
        <f t="shared" si="5"/>
        <v>4.1542887456756557E-2</v>
      </c>
      <c r="U105" s="8">
        <f t="shared" si="5"/>
        <v>0.17990700006340843</v>
      </c>
      <c r="V105" s="8">
        <f t="shared" si="4"/>
        <v>0.2148926844914949</v>
      </c>
    </row>
    <row r="106" spans="1:22" x14ac:dyDescent="0.3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0.42605412106909435</v>
      </c>
      <c r="O106" s="9">
        <v>0.12490701883460081</v>
      </c>
      <c r="P106" s="9">
        <v>3.9370722105858373</v>
      </c>
      <c r="Q106" s="9">
        <v>1.0380380334558943</v>
      </c>
      <c r="R106" s="10">
        <v>1.0684919665003415E-3</v>
      </c>
      <c r="S106" s="8">
        <f t="shared" si="5"/>
        <v>2.6054121069094327E-2</v>
      </c>
      <c r="T106" s="8">
        <f t="shared" si="5"/>
        <v>3.509298116539919E-2</v>
      </c>
      <c r="U106" s="8">
        <f t="shared" si="5"/>
        <v>0.2720722105858373</v>
      </c>
      <c r="V106" s="8">
        <f t="shared" si="4"/>
        <v>0.53296196654410566</v>
      </c>
    </row>
    <row r="107" spans="1:22" x14ac:dyDescent="0.3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0.90113035227463267</v>
      </c>
      <c r="O107" s="9">
        <v>7.4136791537998237E-2</v>
      </c>
      <c r="P107" s="9">
        <v>4.2194764518479904</v>
      </c>
      <c r="Q107" s="9">
        <v>2.7154126896955986</v>
      </c>
      <c r="R107" s="10">
        <v>1.4119422454499752E-3</v>
      </c>
      <c r="S107" s="8">
        <f t="shared" si="5"/>
        <v>0.60113035227463274</v>
      </c>
      <c r="T107" s="8">
        <f t="shared" si="5"/>
        <v>0.10586320846200176</v>
      </c>
      <c r="U107" s="8">
        <f t="shared" si="5"/>
        <v>0.55447645184799033</v>
      </c>
      <c r="V107" s="8">
        <f t="shared" si="4"/>
        <v>1.1444126896955986</v>
      </c>
    </row>
    <row r="108" spans="1:22" x14ac:dyDescent="0.3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0.32942538488037676</v>
      </c>
      <c r="O108" s="9">
        <v>9.1501221367868688E-2</v>
      </c>
      <c r="P108" s="9">
        <v>2.1653663467307407</v>
      </c>
      <c r="Q108" s="9">
        <v>0.86405002214499949</v>
      </c>
      <c r="R108" s="10">
        <v>2.744429699056925E-4</v>
      </c>
      <c r="S108" s="8">
        <f t="shared" si="5"/>
        <v>2.942538488037677E-2</v>
      </c>
      <c r="T108" s="8">
        <f t="shared" si="5"/>
        <v>1.1501221367868686E-2</v>
      </c>
      <c r="U108" s="8">
        <f t="shared" si="5"/>
        <v>0.59436634673074074</v>
      </c>
      <c r="V108" s="8">
        <f t="shared" si="4"/>
        <v>7.9050022144999454E-2</v>
      </c>
    </row>
    <row r="109" spans="1:22" x14ac:dyDescent="0.3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0.60678215681592351</v>
      </c>
      <c r="O109" s="9">
        <v>6.214838400899305E-2</v>
      </c>
      <c r="P109" s="9">
        <v>1.1854333608970598</v>
      </c>
      <c r="Q109" s="9">
        <v>0.68143060147144918</v>
      </c>
      <c r="R109" s="10">
        <v>3.9383518388540635E-4</v>
      </c>
      <c r="S109" s="8">
        <f t="shared" si="5"/>
        <v>0.20678215681592349</v>
      </c>
      <c r="T109" s="8">
        <f t="shared" si="5"/>
        <v>7.7851615991006956E-2</v>
      </c>
      <c r="U109" s="8">
        <f t="shared" si="5"/>
        <v>0.3855666391029402</v>
      </c>
      <c r="V109" s="8">
        <f t="shared" si="4"/>
        <v>0.10356939852855085</v>
      </c>
    </row>
    <row r="110" spans="1:22" x14ac:dyDescent="0.3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0.46038955250680075</v>
      </c>
      <c r="O110" s="9">
        <v>0.18778986739232723</v>
      </c>
      <c r="P110" s="9">
        <v>1.7553348108003326</v>
      </c>
      <c r="Q110" s="9">
        <v>0.92660369263767683</v>
      </c>
      <c r="R110" s="10">
        <v>5.2987083966157377E-5</v>
      </c>
      <c r="S110" s="8">
        <f t="shared" si="5"/>
        <v>0.13961044749319923</v>
      </c>
      <c r="T110" s="8">
        <f t="shared" si="5"/>
        <v>2.7789867392327222E-2</v>
      </c>
      <c r="U110" s="8">
        <f t="shared" si="5"/>
        <v>0.18433481080033265</v>
      </c>
      <c r="V110" s="8">
        <f t="shared" si="4"/>
        <v>0.1416036926376768</v>
      </c>
    </row>
    <row r="111" spans="1:22" x14ac:dyDescent="0.3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0.5288774464435072</v>
      </c>
      <c r="O111" s="9">
        <v>3.3850726299397144E-2</v>
      </c>
      <c r="P111" s="9">
        <v>2.3657133976853468</v>
      </c>
      <c r="Q111" s="9">
        <v>0.84603891132788323</v>
      </c>
      <c r="R111" s="10">
        <v>2.2162966073431276E-3</v>
      </c>
      <c r="S111" s="8">
        <f t="shared" si="5"/>
        <v>0.12887744644350718</v>
      </c>
      <c r="T111" s="8">
        <f t="shared" si="5"/>
        <v>2.6149273700602854E-2</v>
      </c>
      <c r="U111" s="8">
        <f t="shared" si="5"/>
        <v>0.79471339768534688</v>
      </c>
      <c r="V111" s="8">
        <f t="shared" si="4"/>
        <v>0.72496108867211673</v>
      </c>
    </row>
    <row r="112" spans="1:22" x14ac:dyDescent="0.3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0.93917297766058294</v>
      </c>
      <c r="O112" s="9">
        <v>7.3149663935343098E-2</v>
      </c>
      <c r="P112" s="9">
        <v>1.5679678423770613</v>
      </c>
      <c r="Q112" s="9">
        <v>1.6669724569967808</v>
      </c>
      <c r="R112" s="10">
        <v>5.425918692220733E-5</v>
      </c>
      <c r="S112" s="8">
        <f t="shared" si="5"/>
        <v>0.1391729776605829</v>
      </c>
      <c r="T112" s="8">
        <f t="shared" si="5"/>
        <v>6.8503360646569034E-3</v>
      </c>
      <c r="U112" s="8">
        <f t="shared" si="5"/>
        <v>3.0321576229386249E-3</v>
      </c>
      <c r="V112" s="8">
        <f t="shared" si="4"/>
        <v>9.5972456996780808E-2</v>
      </c>
    </row>
    <row r="113" spans="1:22" x14ac:dyDescent="0.3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0.99729226947953609</v>
      </c>
      <c r="O113" s="9">
        <v>9.5286991993558112E-2</v>
      </c>
      <c r="P113" s="9">
        <v>1.6754766919444326</v>
      </c>
      <c r="Q113" s="9">
        <v>2.0281986461095598</v>
      </c>
      <c r="R113" s="10">
        <v>5.7951529847974077E-5</v>
      </c>
      <c r="S113" s="8">
        <f t="shared" si="5"/>
        <v>0.29729226947953613</v>
      </c>
      <c r="T113" s="8">
        <f t="shared" si="5"/>
        <v>6.4713008006441891E-2</v>
      </c>
      <c r="U113" s="8">
        <f t="shared" si="5"/>
        <v>0.10447669194443265</v>
      </c>
      <c r="V113" s="8">
        <f t="shared" si="4"/>
        <v>0.45719864610955985</v>
      </c>
    </row>
    <row r="114" spans="1:22" x14ac:dyDescent="0.3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0.63778522290792206</v>
      </c>
      <c r="O114" s="9">
        <v>0.19999748343501797</v>
      </c>
      <c r="P114" s="9">
        <v>1.4250276591536362</v>
      </c>
      <c r="Q114" s="9">
        <v>1.4373327426598166</v>
      </c>
      <c r="R114" s="10">
        <v>1.4089149823209568E-3</v>
      </c>
      <c r="S114" s="8">
        <f t="shared" si="5"/>
        <v>6.22147770920779E-2</v>
      </c>
      <c r="T114" s="8">
        <f t="shared" si="5"/>
        <v>2.5165649820413361E-6</v>
      </c>
      <c r="U114" s="8">
        <f t="shared" si="5"/>
        <v>0.14597234084636379</v>
      </c>
      <c r="V114" s="8">
        <f t="shared" si="4"/>
        <v>0.13366725734018337</v>
      </c>
    </row>
    <row r="115" spans="1:22" x14ac:dyDescent="0.3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0.90843907410573344</v>
      </c>
      <c r="O115" s="9">
        <v>2.135416607906105E-2</v>
      </c>
      <c r="P115" s="9">
        <v>4.0027041254406157</v>
      </c>
      <c r="Q115" s="9">
        <v>1.0052235348959797</v>
      </c>
      <c r="R115" s="10">
        <v>1.35647365367804E-3</v>
      </c>
      <c r="S115" s="8">
        <f t="shared" si="5"/>
        <v>0.20843907410573348</v>
      </c>
      <c r="T115" s="8">
        <f t="shared" si="5"/>
        <v>3.8645833920938948E-2</v>
      </c>
      <c r="U115" s="8">
        <f t="shared" si="5"/>
        <v>0.33770412544061568</v>
      </c>
      <c r="V115" s="8">
        <f t="shared" si="4"/>
        <v>0.22022353489597968</v>
      </c>
    </row>
    <row r="116" spans="1:22" x14ac:dyDescent="0.3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0.96492752521547542</v>
      </c>
      <c r="O116" s="9">
        <v>5.014568012242232E-2</v>
      </c>
      <c r="P116" s="9">
        <v>3.5039886224944823</v>
      </c>
      <c r="Q116" s="9">
        <v>0.67389782638647533</v>
      </c>
      <c r="R116" s="10">
        <v>5.0995579928462295E-4</v>
      </c>
      <c r="S116" s="8">
        <f t="shared" si="5"/>
        <v>0.36492752521547545</v>
      </c>
      <c r="T116" s="8">
        <f t="shared" si="5"/>
        <v>4.9854319877577685E-2</v>
      </c>
      <c r="U116" s="8">
        <f t="shared" si="5"/>
        <v>0.16101137750551775</v>
      </c>
      <c r="V116" s="8">
        <f t="shared" si="4"/>
        <v>0.1111021736135247</v>
      </c>
    </row>
    <row r="117" spans="1:22" x14ac:dyDescent="0.3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0.67570447278821999</v>
      </c>
      <c r="O117" s="9">
        <v>0.19995756423124972</v>
      </c>
      <c r="P117" s="9">
        <v>3.6052516700771822</v>
      </c>
      <c r="Q117" s="9">
        <v>0.45129792097019789</v>
      </c>
      <c r="R117" s="10">
        <v>1.6940631169788277E-3</v>
      </c>
      <c r="S117" s="8">
        <f t="shared" si="5"/>
        <v>0.12429552721178005</v>
      </c>
      <c r="T117" s="8">
        <f t="shared" si="5"/>
        <v>1.9957564231249725E-2</v>
      </c>
      <c r="U117" s="8">
        <f t="shared" si="5"/>
        <v>5.9748329922817867E-2</v>
      </c>
      <c r="V117" s="8">
        <f t="shared" si="4"/>
        <v>0.33370207902980215</v>
      </c>
    </row>
    <row r="118" spans="1:22" x14ac:dyDescent="0.3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0.38495937347925269</v>
      </c>
      <c r="O118" s="9">
        <v>8.0114264051634923E-2</v>
      </c>
      <c r="P118" s="9">
        <v>3.7849809882537748</v>
      </c>
      <c r="Q118" s="9">
        <v>2.0502249474286867</v>
      </c>
      <c r="R118" s="10">
        <v>8.946335311914694E-5</v>
      </c>
      <c r="S118" s="8">
        <f t="shared" si="5"/>
        <v>1.5040626520747336E-2</v>
      </c>
      <c r="T118" s="8">
        <f t="shared" si="5"/>
        <v>0.11988573594836509</v>
      </c>
      <c r="U118" s="8">
        <f t="shared" si="5"/>
        <v>0.11998098825377479</v>
      </c>
      <c r="V118" s="8">
        <f t="shared" si="4"/>
        <v>1.2652249474286865</v>
      </c>
    </row>
    <row r="119" spans="1:22" x14ac:dyDescent="0.3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0.53656064964177519</v>
      </c>
      <c r="O119" s="9">
        <v>4.4348687135281395E-2</v>
      </c>
      <c r="P119" s="9">
        <v>3.7918309181636971</v>
      </c>
      <c r="Q119" s="9">
        <v>1.3002319402127585</v>
      </c>
      <c r="R119" s="10">
        <v>4.0267413095429499E-5</v>
      </c>
      <c r="S119" s="8">
        <f t="shared" si="5"/>
        <v>0.13656064964177517</v>
      </c>
      <c r="T119" s="8">
        <f t="shared" si="5"/>
        <v>5.5651312864718611E-2</v>
      </c>
      <c r="U119" s="8">
        <f t="shared" si="5"/>
        <v>0.12683091816369707</v>
      </c>
      <c r="V119" s="8">
        <f t="shared" si="4"/>
        <v>0.2707680597872415</v>
      </c>
    </row>
    <row r="120" spans="1:22" x14ac:dyDescent="0.3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0.68348326811270477</v>
      </c>
      <c r="O120" s="9">
        <v>0.13063790704661973</v>
      </c>
      <c r="P120" s="9">
        <v>3.6508481547643452</v>
      </c>
      <c r="Q120" s="9">
        <v>1.836281810872082</v>
      </c>
      <c r="R120" s="10">
        <v>1.4101470076334209E-5</v>
      </c>
      <c r="S120" s="8">
        <f t="shared" si="5"/>
        <v>1.6516731887295188E-2</v>
      </c>
      <c r="T120" s="8">
        <f t="shared" si="5"/>
        <v>3.0637907046619728E-2</v>
      </c>
      <c r="U120" s="8">
        <f t="shared" si="5"/>
        <v>1.4151845235654825E-2</v>
      </c>
      <c r="V120" s="8">
        <f t="shared" si="4"/>
        <v>0.26528181087208202</v>
      </c>
    </row>
    <row r="121" spans="1:22" x14ac:dyDescent="0.3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0.32643511901343197</v>
      </c>
      <c r="O121" s="9">
        <v>0.16517466722173846</v>
      </c>
      <c r="P121" s="9">
        <v>3.2221253861098176</v>
      </c>
      <c r="Q121" s="9">
        <v>1.7278024158123015</v>
      </c>
      <c r="R121" s="10">
        <v>1.0051971631744494E-3</v>
      </c>
      <c r="S121" s="8">
        <f t="shared" si="5"/>
        <v>7.3564880986568049E-2</v>
      </c>
      <c r="T121" s="8">
        <f t="shared" si="5"/>
        <v>5.1746672217384548E-3</v>
      </c>
      <c r="U121" s="8">
        <f t="shared" si="5"/>
        <v>0.44287461389018246</v>
      </c>
      <c r="V121" s="8">
        <f t="shared" si="4"/>
        <v>0.15680241581230159</v>
      </c>
    </row>
    <row r="122" spans="1:22" x14ac:dyDescent="0.3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0.46536745111510769</v>
      </c>
      <c r="O122" s="9">
        <v>0.17082655974465752</v>
      </c>
      <c r="P122" s="9">
        <v>4.696371300864203</v>
      </c>
      <c r="Q122" s="9">
        <v>0.23415233644950431</v>
      </c>
      <c r="R122" s="10">
        <v>4.5949706372876604E-3</v>
      </c>
      <c r="S122" s="8">
        <f t="shared" si="5"/>
        <v>0.1653674511151077</v>
      </c>
      <c r="T122" s="8">
        <f t="shared" si="5"/>
        <v>9.1734402553424743E-3</v>
      </c>
      <c r="U122" s="8">
        <f t="shared" si="5"/>
        <v>1.0313713008642029</v>
      </c>
      <c r="V122" s="8">
        <f t="shared" si="4"/>
        <v>1.3368476635504956</v>
      </c>
    </row>
    <row r="123" spans="1:22" x14ac:dyDescent="0.3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0.41013424454443043</v>
      </c>
      <c r="O123" s="9">
        <v>1.0339098012527054E-2</v>
      </c>
      <c r="P123" s="9">
        <v>2.1362803758712721</v>
      </c>
      <c r="Q123" s="9">
        <v>0.88515498197277576</v>
      </c>
      <c r="R123" s="10">
        <v>2.9832857687106344E-4</v>
      </c>
      <c r="S123" s="8">
        <f t="shared" si="5"/>
        <v>0.11013424454443044</v>
      </c>
      <c r="T123" s="8">
        <f t="shared" si="5"/>
        <v>6.9660901987472948E-2</v>
      </c>
      <c r="U123" s="8">
        <f t="shared" si="5"/>
        <v>0.56528037587127211</v>
      </c>
      <c r="V123" s="8">
        <f t="shared" si="4"/>
        <v>0.10015498197277573</v>
      </c>
    </row>
    <row r="124" spans="1:22" x14ac:dyDescent="0.3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0.2330017341923509</v>
      </c>
      <c r="O124" s="9">
        <v>0.19999981010995257</v>
      </c>
      <c r="P124" s="9">
        <v>1.3990993504853073</v>
      </c>
      <c r="Q124" s="9">
        <v>2.1866533175942875</v>
      </c>
      <c r="R124" s="10">
        <v>2.4678935229821921E-4</v>
      </c>
      <c r="S124" s="8">
        <f t="shared" si="5"/>
        <v>0.16699826580764912</v>
      </c>
      <c r="T124" s="8">
        <f t="shared" si="5"/>
        <v>5.9999810109952562E-2</v>
      </c>
      <c r="U124" s="8">
        <f t="shared" si="5"/>
        <v>0.17190064951469264</v>
      </c>
      <c r="V124" s="8">
        <f t="shared" si="4"/>
        <v>1.4016533175942874</v>
      </c>
    </row>
    <row r="125" spans="1:22" x14ac:dyDescent="0.3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0.52693273229627047</v>
      </c>
      <c r="O125" s="9">
        <v>0.19604315440423872</v>
      </c>
      <c r="P125" s="9">
        <v>1.7941293653212864</v>
      </c>
      <c r="Q125" s="9">
        <v>0.77959808273989906</v>
      </c>
      <c r="R125" s="10">
        <v>2.0523146679523696E-4</v>
      </c>
      <c r="S125" s="8">
        <f t="shared" si="5"/>
        <v>7.306726770372951E-2</v>
      </c>
      <c r="T125" s="8">
        <f t="shared" si="5"/>
        <v>3.604315440423872E-2</v>
      </c>
      <c r="U125" s="8">
        <f t="shared" si="5"/>
        <v>0.22312936532128647</v>
      </c>
      <c r="V125" s="8">
        <f t="shared" si="4"/>
        <v>5.4019172601009746E-3</v>
      </c>
    </row>
    <row r="126" spans="1:22" x14ac:dyDescent="0.3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0.68207934451423202</v>
      </c>
      <c r="O126" s="9">
        <v>1.0261495721720294E-2</v>
      </c>
      <c r="P126" s="9">
        <v>1.3799809034035395</v>
      </c>
      <c r="Q126" s="9">
        <v>1.1337777042362382</v>
      </c>
      <c r="R126" s="10">
        <v>8.3982371172398206E-5</v>
      </c>
      <c r="S126" s="8">
        <f t="shared" si="5"/>
        <v>0.282079344514232</v>
      </c>
      <c r="T126" s="8">
        <f t="shared" si="5"/>
        <v>4.9738504278279708E-2</v>
      </c>
      <c r="U126" s="8">
        <f t="shared" si="5"/>
        <v>0.19101909659646044</v>
      </c>
      <c r="V126" s="8">
        <f t="shared" si="4"/>
        <v>0.4372222957637617</v>
      </c>
    </row>
    <row r="127" spans="1:22" x14ac:dyDescent="0.3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0.89401561334619362</v>
      </c>
      <c r="O127" s="9">
        <v>8.4140000110526178E-2</v>
      </c>
      <c r="P127" s="9">
        <v>1.4931053369622578</v>
      </c>
      <c r="Q127" s="9">
        <v>1.5746437982383106</v>
      </c>
      <c r="R127" s="10">
        <v>7.3944963043334527E-5</v>
      </c>
      <c r="S127" s="8">
        <f t="shared" si="5"/>
        <v>9.4015613346193572E-2</v>
      </c>
      <c r="T127" s="8">
        <f t="shared" si="5"/>
        <v>4.1400001105261763E-3</v>
      </c>
      <c r="U127" s="8">
        <f t="shared" si="5"/>
        <v>7.7894663037742173E-2</v>
      </c>
      <c r="V127" s="8">
        <f t="shared" si="4"/>
        <v>3.6437982383106249E-3</v>
      </c>
    </row>
    <row r="128" spans="1:22" x14ac:dyDescent="0.3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0.47602778315116878</v>
      </c>
      <c r="O128" s="9">
        <v>0.19998248256423123</v>
      </c>
      <c r="P128" s="9">
        <v>1.9519822592312333</v>
      </c>
      <c r="Q128" s="9">
        <v>0.72806866661507785</v>
      </c>
      <c r="R128" s="10">
        <v>2.9756932969665327E-3</v>
      </c>
      <c r="S128" s="8">
        <f t="shared" si="5"/>
        <v>0.22397221684883117</v>
      </c>
      <c r="T128" s="8">
        <f t="shared" si="5"/>
        <v>3.9982482564231231E-2</v>
      </c>
      <c r="U128" s="8">
        <f t="shared" si="5"/>
        <v>0.3809822592312333</v>
      </c>
      <c r="V128" s="8">
        <f t="shared" si="4"/>
        <v>0.8429313333849221</v>
      </c>
    </row>
    <row r="129" spans="1:22" x14ac:dyDescent="0.3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0.61025883656990432</v>
      </c>
      <c r="O129" s="9">
        <v>0.19998983982862328</v>
      </c>
      <c r="P129" s="9">
        <v>1.1868245788256169</v>
      </c>
      <c r="Q129" s="9">
        <v>1.3718504881566151</v>
      </c>
      <c r="R129" s="10">
        <v>5.5141655738587623E-3</v>
      </c>
      <c r="S129" s="8">
        <f t="shared" si="5"/>
        <v>8.9741163430095638E-2</v>
      </c>
      <c r="T129" s="8">
        <f t="shared" si="5"/>
        <v>1.0160171376727423E-5</v>
      </c>
      <c r="U129" s="8">
        <f t="shared" si="5"/>
        <v>0.38417542117438308</v>
      </c>
      <c r="V129" s="8">
        <f t="shared" si="4"/>
        <v>0.19914951184338481</v>
      </c>
    </row>
    <row r="130" spans="1:22" x14ac:dyDescent="0.3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0.6757539309318451</v>
      </c>
      <c r="O130" s="9">
        <v>7.2973614864774133E-2</v>
      </c>
      <c r="P130" s="9">
        <v>3.4454314419095833</v>
      </c>
      <c r="Q130" s="9">
        <v>0.90058152699806571</v>
      </c>
      <c r="R130" s="10">
        <v>1.7580861004205079E-4</v>
      </c>
      <c r="S130" s="8">
        <f t="shared" si="5"/>
        <v>2.4246069068154852E-2</v>
      </c>
      <c r="T130" s="8">
        <f t="shared" si="5"/>
        <v>1.2973614864774136E-2</v>
      </c>
      <c r="U130" s="8">
        <f t="shared" si="5"/>
        <v>0.21956855809041675</v>
      </c>
      <c r="V130" s="8">
        <f t="shared" si="4"/>
        <v>0.11558152699806568</v>
      </c>
    </row>
    <row r="131" spans="1:22" x14ac:dyDescent="0.3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0.88614221697827777</v>
      </c>
      <c r="O131" s="9">
        <v>5.8445230965977694E-2</v>
      </c>
      <c r="P131" s="9">
        <v>3.4593618231020198</v>
      </c>
      <c r="Q131" s="9">
        <v>0.64776995500738987</v>
      </c>
      <c r="R131" s="10">
        <v>2.5728429246795631E-4</v>
      </c>
      <c r="S131" s="8">
        <f t="shared" si="5"/>
        <v>0.2861422169782778</v>
      </c>
      <c r="T131" s="8">
        <f t="shared" si="5"/>
        <v>4.1554769034022311E-2</v>
      </c>
      <c r="U131" s="8">
        <f t="shared" si="5"/>
        <v>0.20563817689798025</v>
      </c>
      <c r="V131" s="8">
        <f t="shared" si="4"/>
        <v>0.13723004499261016</v>
      </c>
    </row>
    <row r="132" spans="1:22" x14ac:dyDescent="0.3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0.65325421600414102</v>
      </c>
      <c r="O132" s="9">
        <v>0.17947922871593155</v>
      </c>
      <c r="P132" s="9">
        <v>3.8518102140832169</v>
      </c>
      <c r="Q132" s="9">
        <v>0.78214868055744269</v>
      </c>
      <c r="R132" s="10">
        <v>1.0217464704280804E-3</v>
      </c>
      <c r="S132" s="8">
        <f t="shared" si="5"/>
        <v>0.14674578399585902</v>
      </c>
      <c r="T132" s="8">
        <f t="shared" si="5"/>
        <v>5.2077128406843864E-4</v>
      </c>
      <c r="U132" s="8">
        <f t="shared" si="5"/>
        <v>0.18681021408321685</v>
      </c>
      <c r="V132" s="8">
        <f t="shared" si="4"/>
        <v>2.8513194425573429E-3</v>
      </c>
    </row>
    <row r="133" spans="1:22" x14ac:dyDescent="0.3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0.45571201927269189</v>
      </c>
      <c r="O133" s="9">
        <v>0.14182653674120216</v>
      </c>
      <c r="P133" s="9">
        <v>3.717036044009995</v>
      </c>
      <c r="Q133" s="9">
        <v>2.3650009995529722</v>
      </c>
      <c r="R133" s="10">
        <v>1.1961255894869703E-4</v>
      </c>
      <c r="S133" s="8">
        <f t="shared" si="5"/>
        <v>5.5712019272691871E-2</v>
      </c>
      <c r="T133" s="8">
        <f t="shared" si="5"/>
        <v>5.8173463258797853E-2</v>
      </c>
      <c r="U133" s="8">
        <f t="shared" si="5"/>
        <v>5.2036044009994953E-2</v>
      </c>
      <c r="V133" s="8">
        <f t="shared" si="4"/>
        <v>1.580000999552972</v>
      </c>
    </row>
    <row r="134" spans="1:22" x14ac:dyDescent="0.3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0.15141108853803195</v>
      </c>
      <c r="O134" s="9">
        <v>0.19999983235224178</v>
      </c>
      <c r="P134" s="9">
        <v>3.3004665919566363</v>
      </c>
      <c r="Q134" s="9">
        <v>1.4745243649308755</v>
      </c>
      <c r="R134" s="10">
        <v>1.3719042713472409E-3</v>
      </c>
      <c r="S134" s="8">
        <f t="shared" si="5"/>
        <v>0.24858891146196807</v>
      </c>
      <c r="T134" s="8">
        <f t="shared" si="5"/>
        <v>9.9999832352241774E-2</v>
      </c>
      <c r="U134" s="8">
        <f t="shared" si="5"/>
        <v>0.36453340804336376</v>
      </c>
      <c r="V134" s="8">
        <f t="shared" si="4"/>
        <v>9.6475635069124488E-2</v>
      </c>
    </row>
    <row r="135" spans="1:22" x14ac:dyDescent="0.3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0.76887885348151352</v>
      </c>
      <c r="O135" s="9">
        <v>0.11448269853548605</v>
      </c>
      <c r="P135" s="9">
        <v>3.6562030439338935</v>
      </c>
      <c r="Q135" s="9">
        <v>1.8959482341280971</v>
      </c>
      <c r="R135" s="10">
        <v>5.3171719491623374E-5</v>
      </c>
      <c r="S135" s="8">
        <f t="shared" si="5"/>
        <v>6.8878853481513569E-2</v>
      </c>
      <c r="T135" s="8">
        <f t="shared" si="5"/>
        <v>1.4482698535486047E-2</v>
      </c>
      <c r="U135" s="8">
        <f t="shared" si="5"/>
        <v>8.7969560661065316E-3</v>
      </c>
      <c r="V135" s="8">
        <f t="shared" si="4"/>
        <v>0.32494823412809715</v>
      </c>
    </row>
    <row r="136" spans="1:22" x14ac:dyDescent="0.3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0.66746857430852058</v>
      </c>
      <c r="O136" s="9">
        <v>3.233454870427413E-2</v>
      </c>
      <c r="P136" s="9">
        <v>3.8058687983622819</v>
      </c>
      <c r="Q136" s="9">
        <v>1.5049703286536227</v>
      </c>
      <c r="R136" s="10">
        <v>2.6960581167228425E-4</v>
      </c>
      <c r="S136" s="8">
        <f t="shared" si="5"/>
        <v>0.26746857430852056</v>
      </c>
      <c r="T136" s="8">
        <f t="shared" si="5"/>
        <v>0.12766545129572587</v>
      </c>
      <c r="U136" s="8">
        <f t="shared" si="5"/>
        <v>0.14086879836228183</v>
      </c>
      <c r="V136" s="8">
        <f t="shared" si="4"/>
        <v>6.6029671346377272E-2</v>
      </c>
    </row>
    <row r="137" spans="1:22" x14ac:dyDescent="0.3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0.40644402653175343</v>
      </c>
      <c r="O137" s="9">
        <v>0.19999415212722046</v>
      </c>
      <c r="P137" s="9">
        <v>4.1737199800154476</v>
      </c>
      <c r="Q137" s="9">
        <v>0.38271714954706071</v>
      </c>
      <c r="R137" s="10">
        <v>2.1948323022759424E-3</v>
      </c>
      <c r="S137" s="8">
        <f t="shared" si="5"/>
        <v>0.10644402653175344</v>
      </c>
      <c r="T137" s="8">
        <f t="shared" si="5"/>
        <v>1.9994152127220471E-2</v>
      </c>
      <c r="U137" s="8">
        <f t="shared" si="5"/>
        <v>0.5087199800154476</v>
      </c>
      <c r="V137" s="8">
        <f t="shared" si="4"/>
        <v>1.1882828504529392</v>
      </c>
    </row>
    <row r="138" spans="1:22" x14ac:dyDescent="0.3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0.32431509266955827</v>
      </c>
      <c r="O138" s="9">
        <v>1.0000023337895703E-2</v>
      </c>
      <c r="P138" s="9">
        <v>1.825824695402563</v>
      </c>
      <c r="Q138" s="9">
        <v>1.1991886248913461</v>
      </c>
      <c r="R138" s="10">
        <v>2.3269655360628322E-4</v>
      </c>
      <c r="S138" s="8">
        <f t="shared" si="5"/>
        <v>2.431509266955828E-2</v>
      </c>
      <c r="T138" s="8">
        <f t="shared" si="5"/>
        <v>6.9999976662104293E-2</v>
      </c>
      <c r="U138" s="8">
        <f t="shared" si="5"/>
        <v>0.25482469540256303</v>
      </c>
      <c r="V138" s="8">
        <f t="shared" si="4"/>
        <v>0.41418862489134611</v>
      </c>
    </row>
    <row r="139" spans="1:22" x14ac:dyDescent="0.3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0.68087606860934835</v>
      </c>
      <c r="O139" s="9">
        <v>2.1470079099813289E-2</v>
      </c>
      <c r="P139" s="9">
        <v>1.6051451746332832</v>
      </c>
      <c r="Q139" s="9">
        <v>0.9608814921077411</v>
      </c>
      <c r="R139" s="10">
        <v>1.5280313805958481E-4</v>
      </c>
      <c r="S139" s="8">
        <f t="shared" si="5"/>
        <v>0.28087606860934833</v>
      </c>
      <c r="T139" s="8">
        <f t="shared" si="5"/>
        <v>0.11852992090018673</v>
      </c>
      <c r="U139" s="8">
        <f t="shared" si="5"/>
        <v>3.414517463328326E-2</v>
      </c>
      <c r="V139" s="8">
        <f t="shared" si="4"/>
        <v>0.17588149210774107</v>
      </c>
    </row>
    <row r="140" spans="1:22" x14ac:dyDescent="0.3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0.52645846558972653</v>
      </c>
      <c r="O140" s="9">
        <v>0.1250839973979434</v>
      </c>
      <c r="P140" s="9">
        <v>1.2719340007535505</v>
      </c>
      <c r="Q140" s="9">
        <v>1.2493245749903834</v>
      </c>
      <c r="R140" s="10">
        <v>8.2666717982211803E-4</v>
      </c>
      <c r="S140" s="8">
        <f t="shared" si="5"/>
        <v>7.3541534410273446E-2</v>
      </c>
      <c r="T140" s="8">
        <f t="shared" si="5"/>
        <v>3.4916002602056601E-2</v>
      </c>
      <c r="U140" s="8">
        <f t="shared" si="5"/>
        <v>0.2990659992464495</v>
      </c>
      <c r="V140" s="8">
        <f t="shared" si="4"/>
        <v>0.46432457499038338</v>
      </c>
    </row>
    <row r="141" spans="1:22" x14ac:dyDescent="0.3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0.32711588209224884</v>
      </c>
      <c r="O141" s="9">
        <v>9.0087245371796437E-2</v>
      </c>
      <c r="P141" s="9">
        <v>1.9293035441545581</v>
      </c>
      <c r="Q141" s="9">
        <v>1.6731561005315916</v>
      </c>
      <c r="R141" s="10">
        <v>2.9366577979775266E-4</v>
      </c>
      <c r="S141" s="8">
        <f t="shared" si="5"/>
        <v>7.2884117907751178E-2</v>
      </c>
      <c r="T141" s="8">
        <f t="shared" si="5"/>
        <v>3.0087245371796439E-2</v>
      </c>
      <c r="U141" s="8">
        <f t="shared" si="5"/>
        <v>0.35830354415455812</v>
      </c>
      <c r="V141" s="8">
        <f t="shared" si="4"/>
        <v>0.10215610053159163</v>
      </c>
    </row>
    <row r="142" spans="1:22" x14ac:dyDescent="0.3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0.98562661898276382</v>
      </c>
      <c r="O142" s="9">
        <v>8.7881141717227204E-2</v>
      </c>
      <c r="P142" s="9">
        <v>1.5104486645086412</v>
      </c>
      <c r="Q142" s="9">
        <v>1.0684272387562475</v>
      </c>
      <c r="R142" s="10">
        <v>8.776458686466084E-5</v>
      </c>
      <c r="S142" s="8">
        <f t="shared" si="5"/>
        <v>0.18562661898276378</v>
      </c>
      <c r="T142" s="8">
        <f t="shared" si="5"/>
        <v>7.8811417172272025E-3</v>
      </c>
      <c r="U142" s="8">
        <f t="shared" si="5"/>
        <v>6.0551335491358715E-2</v>
      </c>
      <c r="V142" s="8">
        <f t="shared" si="4"/>
        <v>0.5025727612437525</v>
      </c>
    </row>
    <row r="143" spans="1:22" x14ac:dyDescent="0.3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0.8413373705565067</v>
      </c>
      <c r="O143" s="9">
        <v>0.10609755100952097</v>
      </c>
      <c r="P143" s="9">
        <v>1.439738276578443</v>
      </c>
      <c r="Q143" s="9">
        <v>1.8658521513263853</v>
      </c>
      <c r="R143" s="10">
        <v>5.1355328225248585E-4</v>
      </c>
      <c r="S143" s="8">
        <f t="shared" si="5"/>
        <v>0.14133737055650675</v>
      </c>
      <c r="T143" s="8">
        <f t="shared" si="5"/>
        <v>5.3902448990479038E-2</v>
      </c>
      <c r="U143" s="8">
        <f t="shared" si="5"/>
        <v>0.13126172342155695</v>
      </c>
      <c r="V143" s="8">
        <f t="shared" si="4"/>
        <v>0.29485215132638531</v>
      </c>
    </row>
    <row r="144" spans="1:22" x14ac:dyDescent="0.3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0.55480872019589622</v>
      </c>
      <c r="O144" s="9">
        <v>0.19999724437456498</v>
      </c>
      <c r="P144" s="9">
        <v>1.6853225187823917</v>
      </c>
      <c r="Q144" s="9">
        <v>1.3075259875011853</v>
      </c>
      <c r="R144" s="10">
        <v>1.8161293961645405E-3</v>
      </c>
      <c r="S144" s="8">
        <f t="shared" si="5"/>
        <v>0.14519127980410373</v>
      </c>
      <c r="T144" s="8">
        <f t="shared" si="5"/>
        <v>2.7556254350302734E-6</v>
      </c>
      <c r="U144" s="8">
        <f t="shared" si="5"/>
        <v>0.11432251878239175</v>
      </c>
      <c r="V144" s="8">
        <f t="shared" si="4"/>
        <v>0.26347401249881464</v>
      </c>
    </row>
    <row r="145" spans="1:22" x14ac:dyDescent="0.3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0.94049443754638951</v>
      </c>
      <c r="O145" s="9">
        <v>2.7245980988233554E-2</v>
      </c>
      <c r="P145" s="9">
        <v>3.8516831504812243</v>
      </c>
      <c r="Q145" s="9">
        <v>0.77668749057628184</v>
      </c>
      <c r="R145" s="10">
        <v>3.3200727440672564E-4</v>
      </c>
      <c r="S145" s="8">
        <f t="shared" si="5"/>
        <v>0.24049443754638955</v>
      </c>
      <c r="T145" s="8">
        <f t="shared" si="5"/>
        <v>3.2754019011766444E-2</v>
      </c>
      <c r="U145" s="8">
        <f t="shared" si="5"/>
        <v>0.1866831504812243</v>
      </c>
      <c r="V145" s="8">
        <f t="shared" si="4"/>
        <v>8.3125094237181951E-3</v>
      </c>
    </row>
    <row r="146" spans="1:22" x14ac:dyDescent="0.3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0.63585479893820507</v>
      </c>
      <c r="O146" s="9">
        <v>5.0999839986136962E-2</v>
      </c>
      <c r="P146" s="9">
        <v>3.4436256998025674</v>
      </c>
      <c r="Q146" s="9">
        <v>1.5798156185896006</v>
      </c>
      <c r="R146" s="10">
        <v>4.7060011564166568E-4</v>
      </c>
      <c r="S146" s="8">
        <f t="shared" si="5"/>
        <v>3.585479893820509E-2</v>
      </c>
      <c r="T146" s="8">
        <f t="shared" si="5"/>
        <v>4.9000160013863044E-2</v>
      </c>
      <c r="U146" s="8">
        <f t="shared" si="5"/>
        <v>0.22137430019743265</v>
      </c>
      <c r="V146" s="8">
        <f t="shared" si="4"/>
        <v>0.79481561858960059</v>
      </c>
    </row>
    <row r="147" spans="1:22" x14ac:dyDescent="0.3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0.99999990866833388</v>
      </c>
      <c r="O147" s="9">
        <v>0.19967829961268049</v>
      </c>
      <c r="P147" s="9">
        <v>3.4008812672072066</v>
      </c>
      <c r="Q147" s="9">
        <v>0.26246821760627165</v>
      </c>
      <c r="R147" s="10">
        <v>8.0543244896768729E-2</v>
      </c>
      <c r="S147" s="8">
        <f t="shared" si="5"/>
        <v>0.19999990866833384</v>
      </c>
      <c r="T147" s="8">
        <f t="shared" si="5"/>
        <v>1.96782996126805E-2</v>
      </c>
      <c r="U147" s="8">
        <f t="shared" si="5"/>
        <v>0.26411873279279341</v>
      </c>
      <c r="V147" s="8">
        <f t="shared" si="5"/>
        <v>0.52253178239372833</v>
      </c>
    </row>
    <row r="148" spans="1:22" x14ac:dyDescent="0.3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0.309770682287489</v>
      </c>
      <c r="O148" s="9">
        <v>0.19999616356910968</v>
      </c>
      <c r="P148" s="9">
        <v>4.0956215552049766</v>
      </c>
      <c r="Q148" s="9">
        <v>0.51365360907038671</v>
      </c>
      <c r="R148" s="10">
        <v>1.8793006629807102E-3</v>
      </c>
      <c r="S148" s="8">
        <f t="shared" ref="S148:V152" si="6">ABS(N148-A148)</f>
        <v>9.0229317712511026E-2</v>
      </c>
      <c r="T148" s="8">
        <f t="shared" si="6"/>
        <v>3.8364308903304778E-6</v>
      </c>
      <c r="U148" s="8">
        <f t="shared" si="6"/>
        <v>0.43062155520497658</v>
      </c>
      <c r="V148" s="8">
        <f t="shared" si="6"/>
        <v>0.27134639092961332</v>
      </c>
    </row>
    <row r="149" spans="1:22" x14ac:dyDescent="0.3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0.5798433949822136</v>
      </c>
      <c r="O149" s="9">
        <v>4.2058114590720883E-2</v>
      </c>
      <c r="P149" s="9">
        <v>3.7105275774508448</v>
      </c>
      <c r="Q149" s="9">
        <v>1.9607988545353838</v>
      </c>
      <c r="R149" s="10">
        <v>1.9905083331833875E-5</v>
      </c>
      <c r="S149" s="8">
        <f t="shared" si="6"/>
        <v>0.17984339498221358</v>
      </c>
      <c r="T149" s="8">
        <f t="shared" si="6"/>
        <v>5.7941885409279123E-2</v>
      </c>
      <c r="U149" s="8">
        <f t="shared" si="6"/>
        <v>4.5527577450844792E-2</v>
      </c>
      <c r="V149" s="8">
        <f t="shared" si="6"/>
        <v>0.38979885453538388</v>
      </c>
    </row>
    <row r="150" spans="1:22" x14ac:dyDescent="0.3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0.63599552568455542</v>
      </c>
      <c r="O150" s="9">
        <v>0.17224328406648981</v>
      </c>
      <c r="P150" s="9">
        <v>3.6172106381316369</v>
      </c>
      <c r="Q150" s="9">
        <v>1.0229813585588998</v>
      </c>
      <c r="R150" s="10">
        <v>3.2971490400991445E-4</v>
      </c>
      <c r="S150" s="8">
        <f t="shared" si="6"/>
        <v>6.4004474315444537E-2</v>
      </c>
      <c r="T150" s="8">
        <f t="shared" si="6"/>
        <v>7.2243284066489805E-2</v>
      </c>
      <c r="U150" s="8">
        <f t="shared" si="6"/>
        <v>4.7789361868363134E-2</v>
      </c>
      <c r="V150" s="8">
        <f t="shared" si="6"/>
        <v>0.54801864144110013</v>
      </c>
    </row>
    <row r="151" spans="1:22" x14ac:dyDescent="0.3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0.45003418262594902</v>
      </c>
      <c r="O151" s="9">
        <v>1.0000019957871649E-2</v>
      </c>
      <c r="P151" s="9">
        <v>5.4609630301958978</v>
      </c>
      <c r="Q151" s="9">
        <v>2.9557319305742391</v>
      </c>
      <c r="R151" s="10">
        <v>9.2684771805992636E-3</v>
      </c>
      <c r="S151" s="8">
        <f t="shared" si="6"/>
        <v>5.0034182625948997E-2</v>
      </c>
      <c r="T151" s="8">
        <f t="shared" si="6"/>
        <v>0.14999998004212836</v>
      </c>
      <c r="U151" s="8">
        <f t="shared" si="6"/>
        <v>1.7959630301958978</v>
      </c>
      <c r="V151" s="8">
        <f t="shared" si="6"/>
        <v>1.3847319305742392</v>
      </c>
    </row>
    <row r="152" spans="1:22" x14ac:dyDescent="0.3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0.26804187426044274</v>
      </c>
      <c r="O152" s="9">
        <v>0.1582381405623394</v>
      </c>
      <c r="P152" s="9">
        <v>3.8582061493733164</v>
      </c>
      <c r="Q152" s="9">
        <v>1.18410913745093</v>
      </c>
      <c r="R152" s="10">
        <v>1.1713758589015494E-4</v>
      </c>
      <c r="S152" s="8">
        <f t="shared" si="6"/>
        <v>3.1958125739557253E-2</v>
      </c>
      <c r="T152" s="8">
        <f t="shared" si="6"/>
        <v>2.1761859437660597E-2</v>
      </c>
      <c r="U152" s="8">
        <f t="shared" si="6"/>
        <v>0.19320614937331637</v>
      </c>
      <c r="V152" s="8">
        <f t="shared" si="6"/>
        <v>0.3868908625490699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3293-DA71-4012-9049-749D5DDC24A3}">
  <dimension ref="A1:I15"/>
  <sheetViews>
    <sheetView workbookViewId="0">
      <selection activeCell="K7" sqref="K7"/>
    </sheetView>
  </sheetViews>
  <sheetFormatPr defaultRowHeight="14.5" x14ac:dyDescent="0.35"/>
  <cols>
    <col min="1" max="6" width="11" bestFit="1" customWidth="1"/>
    <col min="7" max="9" width="10.36328125" bestFit="1" customWidth="1"/>
  </cols>
  <sheetData>
    <row r="1" spans="1:9" x14ac:dyDescent="0.35">
      <c r="A1" s="12">
        <v>-1.5595351578667801E-4</v>
      </c>
      <c r="B1" s="12">
        <v>-3.4215424209833097E-2</v>
      </c>
      <c r="C1" s="12">
        <v>-1.4112447388470199E-7</v>
      </c>
      <c r="D1" s="12">
        <v>0.19788618385791801</v>
      </c>
      <c r="E1" s="12">
        <v>-3.1988471746444702E-3</v>
      </c>
      <c r="F1" s="12">
        <v>0.198836579918861</v>
      </c>
      <c r="G1" s="12">
        <v>1.4</v>
      </c>
      <c r="H1" s="12">
        <v>0</v>
      </c>
      <c r="I1" s="12">
        <v>0</v>
      </c>
    </row>
    <row r="2" spans="1:9" x14ac:dyDescent="0.35">
      <c r="A2" s="12">
        <v>-2.4353998014703401E-4</v>
      </c>
      <c r="B2" s="12">
        <v>-5.8889582753181499E-2</v>
      </c>
      <c r="C2" s="12">
        <v>-5.9254060033708797E-5</v>
      </c>
      <c r="D2" s="12">
        <v>0.25050288438797003</v>
      </c>
      <c r="E2" s="12">
        <v>9.8302215337753296E-4</v>
      </c>
      <c r="F2" s="12">
        <v>0.25498384237289401</v>
      </c>
      <c r="G2" s="12">
        <v>0</v>
      </c>
      <c r="H2" s="12">
        <v>0</v>
      </c>
      <c r="I2" s="12">
        <v>0</v>
      </c>
    </row>
    <row r="3" spans="1:9" x14ac:dyDescent="0.35">
      <c r="A3" s="12">
        <v>2.2863354533910799E-3</v>
      </c>
      <c r="B3" s="12">
        <v>-0.11987078934907899</v>
      </c>
      <c r="C3" s="12">
        <v>-6.9630080834031096E-3</v>
      </c>
      <c r="D3" s="12">
        <v>0.31022596359252902</v>
      </c>
      <c r="E3" s="12">
        <v>-2.3233078420162201E-2</v>
      </c>
      <c r="F3" s="12">
        <v>0.50102174282073997</v>
      </c>
      <c r="G3" s="12">
        <v>1.4</v>
      </c>
      <c r="H3" s="12">
        <v>0</v>
      </c>
      <c r="I3" s="12">
        <v>0</v>
      </c>
    </row>
    <row r="4" spans="1:9" x14ac:dyDescent="0.35">
      <c r="A4" s="12">
        <v>6.5225898288190397E-4</v>
      </c>
      <c r="B4" s="12">
        <v>-6.1197262257337598E-2</v>
      </c>
      <c r="C4" s="12">
        <v>-8.9818926062434901E-4</v>
      </c>
      <c r="D4" s="12">
        <v>-1.97219010442495E-3</v>
      </c>
      <c r="E4" s="12">
        <v>-5.79428672790527E-3</v>
      </c>
      <c r="F4" s="12">
        <v>0.38675421476364102</v>
      </c>
      <c r="G4" s="12">
        <v>1.4</v>
      </c>
      <c r="H4" s="12">
        <v>0</v>
      </c>
      <c r="I4" s="12">
        <v>0</v>
      </c>
    </row>
    <row r="5" spans="1:9" x14ac:dyDescent="0.35">
      <c r="A5" s="12">
        <v>-4.06092498451471E-4</v>
      </c>
      <c r="B5" s="12">
        <v>-0.15244589745998399</v>
      </c>
      <c r="C5" s="12">
        <v>-1.21209200005978E-3</v>
      </c>
      <c r="D5" s="12">
        <v>-0.117412149906158</v>
      </c>
      <c r="E5" s="12">
        <v>-2.6462823152542101E-3</v>
      </c>
      <c r="F5" s="12">
        <v>0.85134243965148904</v>
      </c>
      <c r="G5" s="12">
        <v>0</v>
      </c>
      <c r="H5" s="12">
        <v>0</v>
      </c>
      <c r="I5" s="12">
        <v>0</v>
      </c>
    </row>
    <row r="6" spans="1:9" x14ac:dyDescent="0.35">
      <c r="A6" s="12">
        <v>5.05214463919401E-3</v>
      </c>
      <c r="B6" s="12">
        <v>-0.157537400722504</v>
      </c>
      <c r="C6" s="12">
        <v>-6.2086973339319203E-3</v>
      </c>
      <c r="D6" s="12">
        <v>-0.29486876726150502</v>
      </c>
      <c r="E6" s="12">
        <v>-2.80796959996223E-2</v>
      </c>
      <c r="F6" s="12">
        <v>0.56537818908691395</v>
      </c>
      <c r="G6" s="12">
        <v>1.4</v>
      </c>
      <c r="H6" s="12">
        <v>0</v>
      </c>
      <c r="I6" s="12">
        <v>0</v>
      </c>
    </row>
    <row r="7" spans="1:9" x14ac:dyDescent="0.35">
      <c r="A7" s="12">
        <v>3.71134956367314E-5</v>
      </c>
      <c r="B7" s="12">
        <v>-0.19372102618217499</v>
      </c>
      <c r="C7" s="12">
        <v>-2.1289892029017201E-3</v>
      </c>
      <c r="D7" s="12">
        <v>-0.41201990842819203</v>
      </c>
      <c r="E7" s="12">
        <v>-1.1864490807056401E-3</v>
      </c>
      <c r="F7" s="12">
        <v>0.55889892578125</v>
      </c>
      <c r="G7" s="12">
        <v>0</v>
      </c>
      <c r="H7" s="12">
        <v>0</v>
      </c>
      <c r="I7" s="12">
        <v>0</v>
      </c>
    </row>
    <row r="8" spans="1:9" x14ac:dyDescent="0.35">
      <c r="A8" s="12">
        <v>-8.9350854977965398E-4</v>
      </c>
      <c r="B8" s="12">
        <v>4.2732272297143901E-2</v>
      </c>
      <c r="C8" s="12">
        <v>-7.74873793125153E-2</v>
      </c>
      <c r="D8" s="12">
        <v>0.62493914365768399</v>
      </c>
      <c r="E8" s="12">
        <v>-0.52349442243576105</v>
      </c>
      <c r="F8" s="12">
        <v>-0.28826642036437999</v>
      </c>
      <c r="G8" s="12">
        <v>0</v>
      </c>
      <c r="H8" s="12">
        <v>0</v>
      </c>
      <c r="I8" s="12">
        <v>0</v>
      </c>
    </row>
    <row r="9" spans="1:9" x14ac:dyDescent="0.35">
      <c r="A9" s="12">
        <v>-8.9688366279006004E-4</v>
      </c>
      <c r="B9" s="12">
        <v>4.1764143854379703E-2</v>
      </c>
      <c r="C9" s="12">
        <v>-7.7566295862197904E-2</v>
      </c>
      <c r="D9" s="12">
        <v>0.45929118990898099</v>
      </c>
      <c r="E9" s="12">
        <v>-0.41274711489677401</v>
      </c>
      <c r="F9" s="12">
        <v>-0.223745286464691</v>
      </c>
      <c r="G9" s="12">
        <v>0</v>
      </c>
      <c r="H9" s="12">
        <v>0</v>
      </c>
      <c r="I9" s="12">
        <v>0</v>
      </c>
    </row>
    <row r="10" spans="1:9" x14ac:dyDescent="0.35">
      <c r="A10" s="12">
        <v>-5.51847275346518E-4</v>
      </c>
      <c r="B10" s="12">
        <v>6.6554106771945995E-2</v>
      </c>
      <c r="C10" s="12">
        <v>-0.119616024196148</v>
      </c>
      <c r="D10" s="12">
        <v>0.49095398187637301</v>
      </c>
      <c r="E10" s="12">
        <v>-0.47584062814712502</v>
      </c>
      <c r="F10" s="12">
        <v>-0.25870200991630599</v>
      </c>
      <c r="G10" s="12">
        <v>1.4</v>
      </c>
      <c r="H10" s="12">
        <v>0</v>
      </c>
      <c r="I10" s="12">
        <v>0</v>
      </c>
    </row>
    <row r="11" spans="1:9" x14ac:dyDescent="0.35">
      <c r="A11" s="12">
        <v>-3.2309396192431499E-4</v>
      </c>
      <c r="B11" s="12">
        <v>3.5572569817304597E-2</v>
      </c>
      <c r="C11" s="12">
        <v>-6.1782382428646102E-2</v>
      </c>
      <c r="D11" s="12">
        <v>0.27096122503280601</v>
      </c>
      <c r="E11" s="12">
        <v>-0.21531303226947801</v>
      </c>
      <c r="F11" s="12">
        <v>-0.122712507843971</v>
      </c>
      <c r="G11" s="12">
        <v>1.4</v>
      </c>
      <c r="H11" s="12">
        <v>0</v>
      </c>
      <c r="I11" s="12">
        <v>0</v>
      </c>
    </row>
    <row r="12" spans="1:9" x14ac:dyDescent="0.35">
      <c r="A12" s="12">
        <v>-7.1692815981805303E-4</v>
      </c>
      <c r="B12" s="12">
        <v>3.56008112430573E-2</v>
      </c>
      <c r="C12" s="12">
        <v>-6.2020469456911101E-2</v>
      </c>
      <c r="D12" s="12">
        <v>-6.5964758396148699E-3</v>
      </c>
      <c r="E12" s="12">
        <v>-0.30639430880546598</v>
      </c>
      <c r="F12" s="12">
        <v>-0.17468151450157199</v>
      </c>
      <c r="G12" s="12">
        <v>1.4</v>
      </c>
      <c r="H12" s="12">
        <v>0</v>
      </c>
      <c r="I12" s="12">
        <v>0</v>
      </c>
    </row>
    <row r="13" spans="1:9" x14ac:dyDescent="0.35">
      <c r="A13" s="12">
        <v>-1.24058220535517E-3</v>
      </c>
      <c r="B13" s="12">
        <v>6.9012217223644298E-2</v>
      </c>
      <c r="C13" s="12">
        <v>-0.119697146117687</v>
      </c>
      <c r="D13" s="12">
        <v>-5.5351331830024698E-2</v>
      </c>
      <c r="E13" s="12">
        <v>-0.59383064508438099</v>
      </c>
      <c r="F13" s="12">
        <v>-0.33820247650146501</v>
      </c>
      <c r="G13" s="12">
        <v>1.4</v>
      </c>
      <c r="H13" s="12">
        <v>0</v>
      </c>
      <c r="I13" s="12">
        <v>0</v>
      </c>
    </row>
    <row r="14" spans="1:9" x14ac:dyDescent="0.35">
      <c r="A14" s="12">
        <v>-7.1821291930973497E-4</v>
      </c>
      <c r="B14" s="12">
        <v>4.6037148684263202E-2</v>
      </c>
      <c r="C14" s="12">
        <v>-7.8464329242706299E-2</v>
      </c>
      <c r="D14" s="12">
        <v>-7.8753150999546107E-2</v>
      </c>
      <c r="E14" s="12">
        <v>-0.286407381296158</v>
      </c>
      <c r="F14" s="12">
        <v>-0.16520524024963401</v>
      </c>
      <c r="G14" s="12">
        <v>0</v>
      </c>
      <c r="H14" s="12">
        <v>0</v>
      </c>
      <c r="I14" s="12">
        <v>0</v>
      </c>
    </row>
    <row r="15" spans="1:9" x14ac:dyDescent="0.35">
      <c r="A15" s="12">
        <v>-6.2177400104701497E-4</v>
      </c>
      <c r="B15" s="12">
        <v>3.2626789063215297E-2</v>
      </c>
      <c r="C15" s="12">
        <v>-5.72014674544334E-2</v>
      </c>
      <c r="D15" s="12">
        <v>-2.7179472148418399E-2</v>
      </c>
      <c r="E15" s="12">
        <v>-0.194883912801743</v>
      </c>
      <c r="F15" s="12">
        <v>-0.10984055697917899</v>
      </c>
      <c r="G15" s="12">
        <v>0</v>
      </c>
      <c r="H15" s="12">
        <v>0</v>
      </c>
      <c r="I15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H13" sqref="H13:M17"/>
    </sheetView>
  </sheetViews>
  <sheetFormatPr defaultRowHeight="14.5" x14ac:dyDescent="0.35"/>
  <sheetData>
    <row r="1" spans="1:13" ht="16" x14ac:dyDescent="0.4">
      <c r="A1" s="27" t="s">
        <v>23</v>
      </c>
      <c r="B1" s="28"/>
      <c r="C1" s="28"/>
      <c r="D1" s="28"/>
      <c r="E1" s="28"/>
      <c r="F1" s="29"/>
      <c r="H1" s="27" t="s">
        <v>24</v>
      </c>
      <c r="I1" s="28"/>
      <c r="J1" s="28"/>
      <c r="K1" s="28"/>
      <c r="L1" s="28"/>
      <c r="M1" s="29"/>
    </row>
    <row r="2" spans="1:13" ht="16" x14ac:dyDescent="0.4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35">
      <c r="A3">
        <v>0.198836579918861</v>
      </c>
      <c r="B3">
        <v>3.1988471746444702E-3</v>
      </c>
      <c r="C3">
        <v>0.19788618385791801</v>
      </c>
      <c r="D3">
        <v>-1.4112447388470199E-7</v>
      </c>
      <c r="E3">
        <v>3.4215424209833097E-2</v>
      </c>
      <c r="F3" s="5">
        <v>-1.5595351578667801E-4</v>
      </c>
      <c r="H3">
        <f>$F3</f>
        <v>-1.5595351578667801E-4</v>
      </c>
      <c r="I3">
        <f>-1*$E3</f>
        <v>-3.4215424209833097E-2</v>
      </c>
      <c r="J3">
        <f>$D3</f>
        <v>-1.4112447388470199E-7</v>
      </c>
      <c r="K3">
        <f>$C3</f>
        <v>0.19788618385791801</v>
      </c>
      <c r="L3">
        <f>-1*$B3</f>
        <v>-3.1988471746444702E-3</v>
      </c>
      <c r="M3">
        <f>$A3</f>
        <v>0.198836579918861</v>
      </c>
    </row>
    <row r="4" spans="1:13" x14ac:dyDescent="0.35">
      <c r="A4">
        <v>0.25498384237289401</v>
      </c>
      <c r="B4">
        <v>-9.8302215337753296E-4</v>
      </c>
      <c r="C4">
        <v>0.25050288438797003</v>
      </c>
      <c r="D4">
        <v>-5.9254060033708797E-5</v>
      </c>
      <c r="E4">
        <v>5.8889582753181499E-2</v>
      </c>
      <c r="F4">
        <v>-2.4353998014703401E-4</v>
      </c>
      <c r="H4">
        <f t="shared" ref="H4:H28" si="0">$F4</f>
        <v>-2.4353998014703401E-4</v>
      </c>
      <c r="I4">
        <f t="shared" ref="I4:I28" si="1">-1*$E4</f>
        <v>-5.8889582753181499E-2</v>
      </c>
      <c r="J4">
        <f t="shared" ref="J4:J28" si="2">$D4</f>
        <v>-5.9254060033708797E-5</v>
      </c>
      <c r="K4">
        <f t="shared" ref="K4:K28" si="3">$C4</f>
        <v>0.25050288438797003</v>
      </c>
      <c r="L4">
        <f t="shared" ref="L4:L28" si="4">-1*$B4</f>
        <v>9.8302215337753296E-4</v>
      </c>
      <c r="M4">
        <f t="shared" ref="M4:M28" si="5">$A4</f>
        <v>0.25498384237289401</v>
      </c>
    </row>
    <row r="5" spans="1:13" x14ac:dyDescent="0.35">
      <c r="A5">
        <v>0.50102174282073997</v>
      </c>
      <c r="B5">
        <v>2.3233078420162201E-2</v>
      </c>
      <c r="C5">
        <v>0.31022596359252902</v>
      </c>
      <c r="D5">
        <v>-6.9630080834031096E-3</v>
      </c>
      <c r="E5">
        <v>0.11987078934907899</v>
      </c>
      <c r="F5">
        <v>2.2863354533910799E-3</v>
      </c>
      <c r="H5">
        <f t="shared" si="0"/>
        <v>2.2863354533910799E-3</v>
      </c>
      <c r="I5">
        <f t="shared" si="1"/>
        <v>-0.11987078934907899</v>
      </c>
      <c r="J5">
        <f t="shared" si="2"/>
        <v>-6.9630080834031096E-3</v>
      </c>
      <c r="K5">
        <f t="shared" si="3"/>
        <v>0.31022596359252902</v>
      </c>
      <c r="L5">
        <f t="shared" si="4"/>
        <v>-2.3233078420162201E-2</v>
      </c>
      <c r="M5">
        <f t="shared" si="5"/>
        <v>0.50102174282073997</v>
      </c>
    </row>
    <row r="6" spans="1:13" x14ac:dyDescent="0.35">
      <c r="A6">
        <v>0.38675421476364102</v>
      </c>
      <c r="B6">
        <v>5.79428672790527E-3</v>
      </c>
      <c r="C6">
        <v>-1.97219010442495E-3</v>
      </c>
      <c r="D6">
        <v>-8.9818926062434901E-4</v>
      </c>
      <c r="E6">
        <v>6.1197262257337598E-2</v>
      </c>
      <c r="F6">
        <v>6.5225898288190397E-4</v>
      </c>
      <c r="H6">
        <f t="shared" si="0"/>
        <v>6.5225898288190397E-4</v>
      </c>
      <c r="I6">
        <f t="shared" si="1"/>
        <v>-6.1197262257337598E-2</v>
      </c>
      <c r="J6">
        <f t="shared" si="2"/>
        <v>-8.9818926062434901E-4</v>
      </c>
      <c r="K6">
        <f t="shared" si="3"/>
        <v>-1.97219010442495E-3</v>
      </c>
      <c r="L6">
        <f t="shared" si="4"/>
        <v>-5.79428672790527E-3</v>
      </c>
      <c r="M6">
        <f t="shared" si="5"/>
        <v>0.38675421476364102</v>
      </c>
    </row>
    <row r="7" spans="1:13" x14ac:dyDescent="0.35">
      <c r="A7">
        <v>0.85134243965148904</v>
      </c>
      <c r="B7">
        <v>2.6462823152542101E-3</v>
      </c>
      <c r="C7">
        <v>-0.117412149906158</v>
      </c>
      <c r="D7">
        <v>-1.21209200005978E-3</v>
      </c>
      <c r="E7">
        <v>0.15244589745998399</v>
      </c>
      <c r="F7">
        <v>-4.06092498451471E-4</v>
      </c>
      <c r="H7">
        <f t="shared" si="0"/>
        <v>-4.06092498451471E-4</v>
      </c>
      <c r="I7">
        <f t="shared" si="1"/>
        <v>-0.15244589745998399</v>
      </c>
      <c r="J7">
        <f t="shared" si="2"/>
        <v>-1.21209200005978E-3</v>
      </c>
      <c r="K7">
        <f t="shared" si="3"/>
        <v>-0.117412149906158</v>
      </c>
      <c r="L7">
        <f t="shared" si="4"/>
        <v>-2.6462823152542101E-3</v>
      </c>
      <c r="M7">
        <f t="shared" si="5"/>
        <v>0.85134243965148904</v>
      </c>
    </row>
    <row r="8" spans="1:13" x14ac:dyDescent="0.35">
      <c r="A8">
        <v>0.56537818908691395</v>
      </c>
      <c r="B8">
        <v>2.80796959996223E-2</v>
      </c>
      <c r="C8">
        <v>-0.29486876726150502</v>
      </c>
      <c r="D8">
        <v>-6.2086973339319203E-3</v>
      </c>
      <c r="E8">
        <v>0.157537400722504</v>
      </c>
      <c r="F8">
        <v>5.05214463919401E-3</v>
      </c>
      <c r="H8">
        <f t="shared" si="0"/>
        <v>5.05214463919401E-3</v>
      </c>
      <c r="I8">
        <f t="shared" si="1"/>
        <v>-0.157537400722504</v>
      </c>
      <c r="J8">
        <f t="shared" si="2"/>
        <v>-6.2086973339319203E-3</v>
      </c>
      <c r="K8">
        <f t="shared" si="3"/>
        <v>-0.29486876726150502</v>
      </c>
      <c r="L8">
        <f t="shared" si="4"/>
        <v>-2.80796959996223E-2</v>
      </c>
      <c r="M8">
        <f t="shared" si="5"/>
        <v>0.56537818908691395</v>
      </c>
    </row>
    <row r="9" spans="1:13" x14ac:dyDescent="0.35">
      <c r="A9">
        <v>0.55889892578125</v>
      </c>
      <c r="B9">
        <v>1.1864490807056401E-3</v>
      </c>
      <c r="C9">
        <v>-0.41201990842819203</v>
      </c>
      <c r="D9">
        <v>-2.1289892029017201E-3</v>
      </c>
      <c r="E9">
        <v>0.19372102618217499</v>
      </c>
      <c r="F9">
        <v>3.71134956367314E-5</v>
      </c>
      <c r="H9">
        <f t="shared" si="0"/>
        <v>3.71134956367314E-5</v>
      </c>
      <c r="I9">
        <f t="shared" si="1"/>
        <v>-0.19372102618217499</v>
      </c>
      <c r="J9">
        <f t="shared" si="2"/>
        <v>-2.1289892029017201E-3</v>
      </c>
      <c r="K9">
        <f t="shared" si="3"/>
        <v>-0.41201990842819203</v>
      </c>
      <c r="L9">
        <f t="shared" si="4"/>
        <v>-1.1864490807056401E-3</v>
      </c>
      <c r="M9">
        <f t="shared" si="5"/>
        <v>0.55889892578125</v>
      </c>
    </row>
    <row r="10" spans="1:13" x14ac:dyDescent="0.35">
      <c r="A10">
        <v>-0.28826642036437999</v>
      </c>
      <c r="B10">
        <v>0.52349442243576105</v>
      </c>
      <c r="C10">
        <v>0.62493914365768399</v>
      </c>
      <c r="D10">
        <v>-7.74873793125153E-2</v>
      </c>
      <c r="E10">
        <v>-4.2732272297143901E-2</v>
      </c>
      <c r="F10">
        <v>-8.9350854977965398E-4</v>
      </c>
      <c r="H10">
        <f t="shared" si="0"/>
        <v>-8.9350854977965398E-4</v>
      </c>
      <c r="I10">
        <f t="shared" si="1"/>
        <v>4.2732272297143901E-2</v>
      </c>
      <c r="J10">
        <f t="shared" si="2"/>
        <v>-7.74873793125153E-2</v>
      </c>
      <c r="K10">
        <f t="shared" si="3"/>
        <v>0.62493914365768399</v>
      </c>
      <c r="L10">
        <f t="shared" si="4"/>
        <v>-0.52349442243576105</v>
      </c>
      <c r="M10">
        <f t="shared" si="5"/>
        <v>-0.28826642036437999</v>
      </c>
    </row>
    <row r="11" spans="1:13" x14ac:dyDescent="0.35">
      <c r="A11">
        <v>-0.223745286464691</v>
      </c>
      <c r="B11">
        <v>0.41274711489677401</v>
      </c>
      <c r="C11">
        <v>0.45929118990898099</v>
      </c>
      <c r="D11">
        <v>-7.7566295862197904E-2</v>
      </c>
      <c r="E11">
        <v>-4.1764143854379703E-2</v>
      </c>
      <c r="F11">
        <v>-8.9688366279006004E-4</v>
      </c>
      <c r="H11">
        <f t="shared" si="0"/>
        <v>-8.9688366279006004E-4</v>
      </c>
      <c r="I11">
        <f t="shared" si="1"/>
        <v>4.1764143854379703E-2</v>
      </c>
      <c r="J11">
        <f t="shared" si="2"/>
        <v>-7.7566295862197904E-2</v>
      </c>
      <c r="K11">
        <f t="shared" si="3"/>
        <v>0.45929118990898099</v>
      </c>
      <c r="L11">
        <f t="shared" si="4"/>
        <v>-0.41274711489677401</v>
      </c>
      <c r="M11">
        <f t="shared" si="5"/>
        <v>-0.223745286464691</v>
      </c>
    </row>
    <row r="12" spans="1:13" x14ac:dyDescent="0.35">
      <c r="A12">
        <v>-0.25870200991630599</v>
      </c>
      <c r="B12">
        <v>0.47584062814712502</v>
      </c>
      <c r="C12">
        <v>0.49095398187637301</v>
      </c>
      <c r="D12">
        <v>-0.119616024196148</v>
      </c>
      <c r="E12">
        <v>-6.6554106771945995E-2</v>
      </c>
      <c r="F12">
        <v>-5.51847275346518E-4</v>
      </c>
      <c r="H12">
        <f t="shared" si="0"/>
        <v>-5.51847275346518E-4</v>
      </c>
      <c r="I12">
        <f t="shared" si="1"/>
        <v>6.6554106771945995E-2</v>
      </c>
      <c r="J12">
        <f t="shared" si="2"/>
        <v>-0.119616024196148</v>
      </c>
      <c r="K12">
        <f t="shared" si="3"/>
        <v>0.49095398187637301</v>
      </c>
      <c r="L12">
        <f t="shared" si="4"/>
        <v>-0.47584062814712502</v>
      </c>
      <c r="M12">
        <f t="shared" si="5"/>
        <v>-0.25870200991630599</v>
      </c>
    </row>
    <row r="13" spans="1:13" x14ac:dyDescent="0.35">
      <c r="A13">
        <v>-0.122712507843971</v>
      </c>
      <c r="B13">
        <v>0.21531303226947801</v>
      </c>
      <c r="C13">
        <v>0.27096122503280601</v>
      </c>
      <c r="D13">
        <v>-6.1782382428646102E-2</v>
      </c>
      <c r="E13">
        <v>-3.5572569817304597E-2</v>
      </c>
      <c r="F13">
        <v>-3.2309396192431499E-4</v>
      </c>
      <c r="H13">
        <f t="shared" si="0"/>
        <v>-3.2309396192431499E-4</v>
      </c>
      <c r="I13">
        <f t="shared" si="1"/>
        <v>3.5572569817304597E-2</v>
      </c>
      <c r="J13">
        <f t="shared" si="2"/>
        <v>-6.1782382428646102E-2</v>
      </c>
      <c r="K13">
        <f t="shared" si="3"/>
        <v>0.27096122503280601</v>
      </c>
      <c r="L13">
        <f t="shared" si="4"/>
        <v>-0.21531303226947801</v>
      </c>
      <c r="M13">
        <f t="shared" si="5"/>
        <v>-0.122712507843971</v>
      </c>
    </row>
    <row r="14" spans="1:13" x14ac:dyDescent="0.35">
      <c r="A14">
        <v>-0.17468151450157199</v>
      </c>
      <c r="B14">
        <v>0.30639430880546598</v>
      </c>
      <c r="C14">
        <v>-6.5964758396148699E-3</v>
      </c>
      <c r="D14">
        <v>-6.2020469456911101E-2</v>
      </c>
      <c r="E14">
        <v>-3.56008112430573E-2</v>
      </c>
      <c r="F14">
        <v>-7.1692815981805303E-4</v>
      </c>
      <c r="H14">
        <f t="shared" si="0"/>
        <v>-7.1692815981805303E-4</v>
      </c>
      <c r="I14">
        <f t="shared" si="1"/>
        <v>3.56008112430573E-2</v>
      </c>
      <c r="J14">
        <f t="shared" si="2"/>
        <v>-6.2020469456911101E-2</v>
      </c>
      <c r="K14">
        <f t="shared" si="3"/>
        <v>-6.5964758396148699E-3</v>
      </c>
      <c r="L14">
        <f t="shared" si="4"/>
        <v>-0.30639430880546598</v>
      </c>
      <c r="M14">
        <f t="shared" si="5"/>
        <v>-0.17468151450157199</v>
      </c>
    </row>
    <row r="15" spans="1:13" x14ac:dyDescent="0.35">
      <c r="A15">
        <v>-0.33820247650146501</v>
      </c>
      <c r="B15">
        <v>0.59383064508438099</v>
      </c>
      <c r="C15">
        <v>-5.5351331830024698E-2</v>
      </c>
      <c r="D15">
        <v>-0.119697146117687</v>
      </c>
      <c r="E15">
        <v>-6.9012217223644298E-2</v>
      </c>
      <c r="F15">
        <v>-1.24058220535517E-3</v>
      </c>
      <c r="H15">
        <f t="shared" si="0"/>
        <v>-1.24058220535517E-3</v>
      </c>
      <c r="I15">
        <f t="shared" si="1"/>
        <v>6.9012217223644298E-2</v>
      </c>
      <c r="J15">
        <f t="shared" si="2"/>
        <v>-0.119697146117687</v>
      </c>
      <c r="K15">
        <f t="shared" si="3"/>
        <v>-5.5351331830024698E-2</v>
      </c>
      <c r="L15">
        <f t="shared" si="4"/>
        <v>-0.59383064508438099</v>
      </c>
      <c r="M15">
        <f t="shared" si="5"/>
        <v>-0.33820247650146501</v>
      </c>
    </row>
    <row r="16" spans="1:13" x14ac:dyDescent="0.35">
      <c r="A16">
        <v>-0.16520524024963401</v>
      </c>
      <c r="B16">
        <v>0.286407381296158</v>
      </c>
      <c r="C16">
        <v>-7.8753150999546107E-2</v>
      </c>
      <c r="D16">
        <v>-7.8464329242706299E-2</v>
      </c>
      <c r="E16">
        <v>-4.6037148684263202E-2</v>
      </c>
      <c r="F16">
        <v>-7.1821291930973497E-4</v>
      </c>
      <c r="H16">
        <f t="shared" si="0"/>
        <v>-7.1821291930973497E-4</v>
      </c>
      <c r="I16">
        <f t="shared" si="1"/>
        <v>4.6037148684263202E-2</v>
      </c>
      <c r="J16">
        <f t="shared" si="2"/>
        <v>-7.8464329242706299E-2</v>
      </c>
      <c r="K16">
        <f t="shared" si="3"/>
        <v>-7.8753150999546107E-2</v>
      </c>
      <c r="L16">
        <f t="shared" si="4"/>
        <v>-0.286407381296158</v>
      </c>
      <c r="M16">
        <f t="shared" si="5"/>
        <v>-0.16520524024963401</v>
      </c>
    </row>
    <row r="17" spans="1:13" x14ac:dyDescent="0.35">
      <c r="A17">
        <v>-0.10984055697917899</v>
      </c>
      <c r="B17">
        <v>0.194883912801743</v>
      </c>
      <c r="C17">
        <v>-2.7179472148418399E-2</v>
      </c>
      <c r="D17">
        <v>-5.72014674544334E-2</v>
      </c>
      <c r="E17">
        <v>-3.2626789063215297E-2</v>
      </c>
      <c r="F17">
        <v>-6.2177400104701497E-4</v>
      </c>
      <c r="H17">
        <f t="shared" si="0"/>
        <v>-6.2177400104701497E-4</v>
      </c>
      <c r="I17">
        <f t="shared" si="1"/>
        <v>3.2626789063215297E-2</v>
      </c>
      <c r="J17">
        <f t="shared" si="2"/>
        <v>-5.72014674544334E-2</v>
      </c>
      <c r="K17">
        <f t="shared" si="3"/>
        <v>-2.7179472148418399E-2</v>
      </c>
      <c r="L17">
        <f t="shared" si="4"/>
        <v>-0.194883912801743</v>
      </c>
      <c r="M17">
        <f t="shared" si="5"/>
        <v>-0.10984055697917899</v>
      </c>
    </row>
    <row r="18" spans="1:13" x14ac:dyDescent="0.3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3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3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3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3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3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3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3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3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3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3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(single)</vt:lpstr>
      <vt:lpstr>Distal Validation (single)</vt:lpstr>
      <vt:lpstr>Distal Vali (noise 0.5x spec)</vt:lpstr>
      <vt:lpstr>Distal Vali (noise 1.0x spec)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2025-10-14T14:07:26Z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