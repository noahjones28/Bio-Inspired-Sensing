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2.00to1.25)(3tendon)/10-09-2025/"/>
    </mc:Choice>
  </mc:AlternateContent>
  <xr:revisionPtr revIDLastSave="2107" documentId="8_{DFFD6B0C-681F-42C8-B2E4-5D4B90AAE966}" xr6:coauthVersionLast="47" xr6:coauthVersionMax="47" xr10:uidLastSave="{053FA6DB-1895-443A-B0F5-AEB024611640}"/>
  <bookViews>
    <workbookView xWindow="-120" yWindow="-120" windowWidth="29040" windowHeight="15720" firstSheet="3" activeTab="6" xr2:uid="{3D16C37F-3C74-4527-A308-796C339DFE9F}"/>
  </bookViews>
  <sheets>
    <sheet name="Proximal Validation (single)" sheetId="8" r:id="rId1"/>
    <sheet name="Distal Validation (single)" sheetId="9" r:id="rId2"/>
    <sheet name="Distal Vali (noise 0.5x spec)" sheetId="14" r:id="rId3"/>
    <sheet name="Distal Vali (noise 1.0x spec)" sheetId="17" r:id="rId4"/>
    <sheet name="Distal Vali (noise 0.5x spec 2)" sheetId="18" r:id="rId5"/>
    <sheet name="Distal Vali (noise 1.0x spec 2)" sheetId="19" r:id="rId6"/>
    <sheet name="Distal Vali (noise 2.0x spec 2)" sheetId="20" r:id="rId7"/>
    <sheet name="Conversion" sheetId="4" r:id="rId8"/>
    <sheet name="Sheet1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3" i="18" l="1"/>
  <c r="V78" i="20"/>
  <c r="U78" i="20"/>
  <c r="T78" i="20"/>
  <c r="S78" i="20"/>
  <c r="V77" i="20"/>
  <c r="U77" i="20"/>
  <c r="T77" i="20"/>
  <c r="S77" i="20"/>
  <c r="V76" i="20"/>
  <c r="U76" i="20"/>
  <c r="T76" i="20"/>
  <c r="S76" i="20"/>
  <c r="V75" i="20"/>
  <c r="U75" i="20"/>
  <c r="T75" i="20"/>
  <c r="S75" i="20"/>
  <c r="V74" i="20"/>
  <c r="U74" i="20"/>
  <c r="T74" i="20"/>
  <c r="S74" i="20"/>
  <c r="V73" i="20"/>
  <c r="U73" i="20"/>
  <c r="T73" i="20"/>
  <c r="S73" i="20"/>
  <c r="V72" i="20"/>
  <c r="U72" i="20"/>
  <c r="T72" i="20"/>
  <c r="S72" i="20"/>
  <c r="V71" i="20"/>
  <c r="U71" i="20"/>
  <c r="T71" i="20"/>
  <c r="S71" i="20"/>
  <c r="V70" i="20"/>
  <c r="U70" i="20"/>
  <c r="T70" i="20"/>
  <c r="S70" i="20"/>
  <c r="V69" i="20"/>
  <c r="U69" i="20"/>
  <c r="T69" i="20"/>
  <c r="S69" i="20"/>
  <c r="V68" i="20"/>
  <c r="U68" i="20"/>
  <c r="T68" i="20"/>
  <c r="S68" i="20"/>
  <c r="V67" i="20"/>
  <c r="U67" i="20"/>
  <c r="T67" i="20"/>
  <c r="S67" i="20"/>
  <c r="V66" i="20"/>
  <c r="U66" i="20"/>
  <c r="T66" i="20"/>
  <c r="S66" i="20"/>
  <c r="V65" i="20"/>
  <c r="U65" i="20"/>
  <c r="T65" i="20"/>
  <c r="S65" i="20"/>
  <c r="V64" i="20"/>
  <c r="U64" i="20"/>
  <c r="T64" i="20"/>
  <c r="S64" i="20"/>
  <c r="V63" i="20"/>
  <c r="U63" i="20"/>
  <c r="T63" i="20"/>
  <c r="S63" i="20"/>
  <c r="V62" i="20"/>
  <c r="U62" i="20"/>
  <c r="T62" i="20"/>
  <c r="S62" i="20"/>
  <c r="V61" i="20"/>
  <c r="U61" i="20"/>
  <c r="T61" i="20"/>
  <c r="S61" i="20"/>
  <c r="V60" i="20"/>
  <c r="U60" i="20"/>
  <c r="T60" i="20"/>
  <c r="S60" i="20"/>
  <c r="V59" i="20"/>
  <c r="U59" i="20"/>
  <c r="T59" i="20"/>
  <c r="S59" i="20"/>
  <c r="V58" i="20"/>
  <c r="U58" i="20"/>
  <c r="T58" i="20"/>
  <c r="S58" i="20"/>
  <c r="V57" i="20"/>
  <c r="U57" i="20"/>
  <c r="T57" i="20"/>
  <c r="S57" i="20"/>
  <c r="V56" i="20"/>
  <c r="U56" i="20"/>
  <c r="T56" i="20"/>
  <c r="S56" i="20"/>
  <c r="V55" i="20"/>
  <c r="U55" i="20"/>
  <c r="T55" i="20"/>
  <c r="S55" i="20"/>
  <c r="V54" i="20"/>
  <c r="U54" i="20"/>
  <c r="T54" i="20"/>
  <c r="S54" i="20"/>
  <c r="V53" i="20"/>
  <c r="U53" i="20"/>
  <c r="T53" i="20"/>
  <c r="S53" i="20"/>
  <c r="V52" i="20"/>
  <c r="U52" i="20"/>
  <c r="T52" i="20"/>
  <c r="S52" i="20"/>
  <c r="V51" i="20"/>
  <c r="U51" i="20"/>
  <c r="T51" i="20"/>
  <c r="S51" i="20"/>
  <c r="V50" i="20"/>
  <c r="U50" i="20"/>
  <c r="T50" i="20"/>
  <c r="S50" i="20"/>
  <c r="V49" i="20"/>
  <c r="U49" i="20"/>
  <c r="T49" i="20"/>
  <c r="S49" i="20"/>
  <c r="V48" i="20"/>
  <c r="U48" i="20"/>
  <c r="T48" i="20"/>
  <c r="S48" i="20"/>
  <c r="V47" i="20"/>
  <c r="U47" i="20"/>
  <c r="T47" i="20"/>
  <c r="S47" i="20"/>
  <c r="V46" i="20"/>
  <c r="U46" i="20"/>
  <c r="T46" i="20"/>
  <c r="S46" i="20"/>
  <c r="V45" i="20"/>
  <c r="U45" i="20"/>
  <c r="T45" i="20"/>
  <c r="S45" i="20"/>
  <c r="V44" i="20"/>
  <c r="U44" i="20"/>
  <c r="T44" i="20"/>
  <c r="S44" i="20"/>
  <c r="V43" i="20"/>
  <c r="U43" i="20"/>
  <c r="T43" i="20"/>
  <c r="S43" i="20"/>
  <c r="V42" i="20"/>
  <c r="U42" i="20"/>
  <c r="T42" i="20"/>
  <c r="S42" i="20"/>
  <c r="V41" i="20"/>
  <c r="U41" i="20"/>
  <c r="T41" i="20"/>
  <c r="S41" i="20"/>
  <c r="V40" i="20"/>
  <c r="U40" i="20"/>
  <c r="T40" i="20"/>
  <c r="S40" i="20"/>
  <c r="V39" i="20"/>
  <c r="U39" i="20"/>
  <c r="T39" i="20"/>
  <c r="S39" i="20"/>
  <c r="V38" i="20"/>
  <c r="U38" i="20"/>
  <c r="T38" i="20"/>
  <c r="S38" i="20"/>
  <c r="V37" i="20"/>
  <c r="U37" i="20"/>
  <c r="T37" i="20"/>
  <c r="S37" i="20"/>
  <c r="V36" i="20"/>
  <c r="U36" i="20"/>
  <c r="T36" i="20"/>
  <c r="S36" i="20"/>
  <c r="V35" i="20"/>
  <c r="U35" i="20"/>
  <c r="T35" i="20"/>
  <c r="S35" i="20"/>
  <c r="V34" i="20"/>
  <c r="U34" i="20"/>
  <c r="T34" i="20"/>
  <c r="S34" i="20"/>
  <c r="V33" i="20"/>
  <c r="U33" i="20"/>
  <c r="T33" i="20"/>
  <c r="S33" i="20"/>
  <c r="V32" i="20"/>
  <c r="U32" i="20"/>
  <c r="T32" i="20"/>
  <c r="S32" i="20"/>
  <c r="V31" i="20"/>
  <c r="U31" i="20"/>
  <c r="T31" i="20"/>
  <c r="S31" i="20"/>
  <c r="V30" i="20"/>
  <c r="U30" i="20"/>
  <c r="T30" i="20"/>
  <c r="S30" i="20"/>
  <c r="V29" i="20"/>
  <c r="U29" i="20"/>
  <c r="T29" i="20"/>
  <c r="S29" i="20"/>
  <c r="V28" i="20"/>
  <c r="U28" i="20"/>
  <c r="T28" i="20"/>
  <c r="S28" i="20"/>
  <c r="V27" i="20"/>
  <c r="U27" i="20"/>
  <c r="T27" i="20"/>
  <c r="S27" i="20"/>
  <c r="V26" i="20"/>
  <c r="U26" i="20"/>
  <c r="T26" i="20"/>
  <c r="S26" i="20"/>
  <c r="V25" i="20"/>
  <c r="U25" i="20"/>
  <c r="T25" i="20"/>
  <c r="S25" i="20"/>
  <c r="V24" i="20"/>
  <c r="U24" i="20"/>
  <c r="T24" i="20"/>
  <c r="S24" i="20"/>
  <c r="V23" i="20"/>
  <c r="U23" i="20"/>
  <c r="T23" i="20"/>
  <c r="S23" i="20"/>
  <c r="V22" i="20"/>
  <c r="U22" i="20"/>
  <c r="T22" i="20"/>
  <c r="S22" i="20"/>
  <c r="V21" i="20"/>
  <c r="U21" i="20"/>
  <c r="T21" i="20"/>
  <c r="S21" i="20"/>
  <c r="V20" i="20"/>
  <c r="U20" i="20"/>
  <c r="T20" i="20"/>
  <c r="S20" i="20"/>
  <c r="V19" i="20"/>
  <c r="U19" i="20"/>
  <c r="T19" i="20"/>
  <c r="S19" i="20"/>
  <c r="V18" i="20"/>
  <c r="U18" i="20"/>
  <c r="T18" i="20"/>
  <c r="S18" i="20"/>
  <c r="M18" i="20"/>
  <c r="L18" i="20"/>
  <c r="K18" i="20"/>
  <c r="J18" i="20"/>
  <c r="I18" i="20"/>
  <c r="H18" i="20"/>
  <c r="V17" i="20"/>
  <c r="U17" i="20"/>
  <c r="T17" i="20"/>
  <c r="S17" i="20"/>
  <c r="M17" i="20"/>
  <c r="L17" i="20"/>
  <c r="K17" i="20"/>
  <c r="J17" i="20"/>
  <c r="I17" i="20"/>
  <c r="H17" i="20"/>
  <c r="V16" i="20"/>
  <c r="U16" i="20"/>
  <c r="T16" i="20"/>
  <c r="S16" i="20"/>
  <c r="M16" i="20"/>
  <c r="L16" i="20"/>
  <c r="K16" i="20"/>
  <c r="J16" i="20"/>
  <c r="I16" i="20"/>
  <c r="H16" i="20"/>
  <c r="V15" i="20"/>
  <c r="U15" i="20"/>
  <c r="T15" i="20"/>
  <c r="S15" i="20"/>
  <c r="M15" i="20"/>
  <c r="L15" i="20"/>
  <c r="K15" i="20"/>
  <c r="J15" i="20"/>
  <c r="I15" i="20"/>
  <c r="H15" i="20"/>
  <c r="V14" i="20"/>
  <c r="U14" i="20"/>
  <c r="T14" i="20"/>
  <c r="S14" i="20"/>
  <c r="M14" i="20"/>
  <c r="L14" i="20"/>
  <c r="K14" i="20"/>
  <c r="J14" i="20"/>
  <c r="I14" i="20"/>
  <c r="H14" i="20"/>
  <c r="V13" i="20"/>
  <c r="U13" i="20"/>
  <c r="T13" i="20"/>
  <c r="S13" i="20"/>
  <c r="M13" i="20"/>
  <c r="L13" i="20"/>
  <c r="K13" i="20"/>
  <c r="J13" i="20"/>
  <c r="I13" i="20"/>
  <c r="H13" i="20"/>
  <c r="V12" i="20"/>
  <c r="U12" i="20"/>
  <c r="T12" i="20"/>
  <c r="S12" i="20"/>
  <c r="M12" i="20"/>
  <c r="L12" i="20"/>
  <c r="K12" i="20"/>
  <c r="J12" i="20"/>
  <c r="I12" i="20"/>
  <c r="H12" i="20"/>
  <c r="V11" i="20"/>
  <c r="U11" i="20"/>
  <c r="T11" i="20"/>
  <c r="S11" i="20"/>
  <c r="M11" i="20"/>
  <c r="L11" i="20"/>
  <c r="K11" i="20"/>
  <c r="J11" i="20"/>
  <c r="I11" i="20"/>
  <c r="H11" i="20"/>
  <c r="V10" i="20"/>
  <c r="U10" i="20"/>
  <c r="T10" i="20"/>
  <c r="S10" i="20"/>
  <c r="M10" i="20"/>
  <c r="L10" i="20"/>
  <c r="K10" i="20"/>
  <c r="J10" i="20"/>
  <c r="I10" i="20"/>
  <c r="H10" i="20"/>
  <c r="V9" i="20"/>
  <c r="U9" i="20"/>
  <c r="T9" i="20"/>
  <c r="S9" i="20"/>
  <c r="M9" i="20"/>
  <c r="L9" i="20"/>
  <c r="K9" i="20"/>
  <c r="J9" i="20"/>
  <c r="I9" i="20"/>
  <c r="H9" i="20"/>
  <c r="V8" i="20"/>
  <c r="U8" i="20"/>
  <c r="T8" i="20"/>
  <c r="S8" i="20"/>
  <c r="M8" i="20"/>
  <c r="L8" i="20"/>
  <c r="K8" i="20"/>
  <c r="J8" i="20"/>
  <c r="I8" i="20"/>
  <c r="H8" i="20"/>
  <c r="V7" i="20"/>
  <c r="U7" i="20"/>
  <c r="T7" i="20"/>
  <c r="S7" i="20"/>
  <c r="M7" i="20"/>
  <c r="L7" i="20"/>
  <c r="K7" i="20"/>
  <c r="J7" i="20"/>
  <c r="I7" i="20"/>
  <c r="H7" i="20"/>
  <c r="V6" i="20"/>
  <c r="U6" i="20"/>
  <c r="T6" i="20"/>
  <c r="S6" i="20"/>
  <c r="M6" i="20"/>
  <c r="L6" i="20"/>
  <c r="K6" i="20"/>
  <c r="J6" i="20"/>
  <c r="I6" i="20"/>
  <c r="H6" i="20"/>
  <c r="V5" i="20"/>
  <c r="U5" i="20"/>
  <c r="T5" i="20"/>
  <c r="S5" i="20"/>
  <c r="M5" i="20"/>
  <c r="L5" i="20"/>
  <c r="K5" i="20"/>
  <c r="J5" i="20"/>
  <c r="I5" i="20"/>
  <c r="H5" i="20"/>
  <c r="V4" i="20"/>
  <c r="U4" i="20"/>
  <c r="T4" i="20"/>
  <c r="S4" i="20"/>
  <c r="M4" i="20"/>
  <c r="L4" i="20"/>
  <c r="K4" i="20"/>
  <c r="J4" i="20"/>
  <c r="I4" i="20"/>
  <c r="H4" i="20"/>
  <c r="V78" i="19"/>
  <c r="U78" i="19"/>
  <c r="T78" i="19"/>
  <c r="S78" i="19"/>
  <c r="V77" i="19"/>
  <c r="U77" i="19"/>
  <c r="T77" i="19"/>
  <c r="S77" i="19"/>
  <c r="V76" i="19"/>
  <c r="U76" i="19"/>
  <c r="T76" i="19"/>
  <c r="S76" i="19"/>
  <c r="V75" i="19"/>
  <c r="U75" i="19"/>
  <c r="T75" i="19"/>
  <c r="S75" i="19"/>
  <c r="V74" i="19"/>
  <c r="U74" i="19"/>
  <c r="T74" i="19"/>
  <c r="S74" i="19"/>
  <c r="V73" i="19"/>
  <c r="U73" i="19"/>
  <c r="T73" i="19"/>
  <c r="S73" i="19"/>
  <c r="V72" i="19"/>
  <c r="U72" i="19"/>
  <c r="T72" i="19"/>
  <c r="S72" i="19"/>
  <c r="V71" i="19"/>
  <c r="U71" i="19"/>
  <c r="T71" i="19"/>
  <c r="S71" i="19"/>
  <c r="V70" i="19"/>
  <c r="U70" i="19"/>
  <c r="T70" i="19"/>
  <c r="S70" i="19"/>
  <c r="V69" i="19"/>
  <c r="U69" i="19"/>
  <c r="T69" i="19"/>
  <c r="S69" i="19"/>
  <c r="V68" i="19"/>
  <c r="U68" i="19"/>
  <c r="T68" i="19"/>
  <c r="S68" i="19"/>
  <c r="V67" i="19"/>
  <c r="U67" i="19"/>
  <c r="T67" i="19"/>
  <c r="S67" i="19"/>
  <c r="V66" i="19"/>
  <c r="U66" i="19"/>
  <c r="T66" i="19"/>
  <c r="S66" i="19"/>
  <c r="V65" i="19"/>
  <c r="U65" i="19"/>
  <c r="T65" i="19"/>
  <c r="S65" i="19"/>
  <c r="V64" i="19"/>
  <c r="U64" i="19"/>
  <c r="T64" i="19"/>
  <c r="S64" i="19"/>
  <c r="V63" i="19"/>
  <c r="U63" i="19"/>
  <c r="T63" i="19"/>
  <c r="S63" i="19"/>
  <c r="V62" i="19"/>
  <c r="U62" i="19"/>
  <c r="T62" i="19"/>
  <c r="S62" i="19"/>
  <c r="V61" i="19"/>
  <c r="U61" i="19"/>
  <c r="T61" i="19"/>
  <c r="S61" i="19"/>
  <c r="V60" i="19"/>
  <c r="U60" i="19"/>
  <c r="T60" i="19"/>
  <c r="S60" i="19"/>
  <c r="V59" i="19"/>
  <c r="U59" i="19"/>
  <c r="T59" i="19"/>
  <c r="S59" i="19"/>
  <c r="V58" i="19"/>
  <c r="U58" i="19"/>
  <c r="T58" i="19"/>
  <c r="S58" i="19"/>
  <c r="V57" i="19"/>
  <c r="U57" i="19"/>
  <c r="T57" i="19"/>
  <c r="S57" i="19"/>
  <c r="V56" i="19"/>
  <c r="U56" i="19"/>
  <c r="T56" i="19"/>
  <c r="S56" i="19"/>
  <c r="V55" i="19"/>
  <c r="U55" i="19"/>
  <c r="T55" i="19"/>
  <c r="S55" i="19"/>
  <c r="V54" i="19"/>
  <c r="U54" i="19"/>
  <c r="T54" i="19"/>
  <c r="S54" i="19"/>
  <c r="V53" i="19"/>
  <c r="U53" i="19"/>
  <c r="T53" i="19"/>
  <c r="S53" i="19"/>
  <c r="V52" i="19"/>
  <c r="U52" i="19"/>
  <c r="T52" i="19"/>
  <c r="S52" i="19"/>
  <c r="V51" i="19"/>
  <c r="U51" i="19"/>
  <c r="T51" i="19"/>
  <c r="S51" i="19"/>
  <c r="V50" i="19"/>
  <c r="U50" i="19"/>
  <c r="T50" i="19"/>
  <c r="S50" i="19"/>
  <c r="V49" i="19"/>
  <c r="U49" i="19"/>
  <c r="T49" i="19"/>
  <c r="S49" i="19"/>
  <c r="V48" i="19"/>
  <c r="U48" i="19"/>
  <c r="T48" i="19"/>
  <c r="S48" i="19"/>
  <c r="V47" i="19"/>
  <c r="U47" i="19"/>
  <c r="T47" i="19"/>
  <c r="S47" i="19"/>
  <c r="V46" i="19"/>
  <c r="U46" i="19"/>
  <c r="T46" i="19"/>
  <c r="S46" i="19"/>
  <c r="V45" i="19"/>
  <c r="U45" i="19"/>
  <c r="T45" i="19"/>
  <c r="S45" i="19"/>
  <c r="V44" i="19"/>
  <c r="U44" i="19"/>
  <c r="T44" i="19"/>
  <c r="S44" i="19"/>
  <c r="V43" i="19"/>
  <c r="U43" i="19"/>
  <c r="T43" i="19"/>
  <c r="S43" i="19"/>
  <c r="V42" i="19"/>
  <c r="U42" i="19"/>
  <c r="T42" i="19"/>
  <c r="S42" i="19"/>
  <c r="V41" i="19"/>
  <c r="U41" i="19"/>
  <c r="T41" i="19"/>
  <c r="S41" i="19"/>
  <c r="V40" i="19"/>
  <c r="U40" i="19"/>
  <c r="T40" i="19"/>
  <c r="S40" i="19"/>
  <c r="V39" i="19"/>
  <c r="U39" i="19"/>
  <c r="T39" i="19"/>
  <c r="S39" i="19"/>
  <c r="V38" i="19"/>
  <c r="U38" i="19"/>
  <c r="T38" i="19"/>
  <c r="S38" i="19"/>
  <c r="V37" i="19"/>
  <c r="U37" i="19"/>
  <c r="T37" i="19"/>
  <c r="S37" i="19"/>
  <c r="V36" i="19"/>
  <c r="U36" i="19"/>
  <c r="T36" i="19"/>
  <c r="S36" i="19"/>
  <c r="V35" i="19"/>
  <c r="U35" i="19"/>
  <c r="T35" i="19"/>
  <c r="S35" i="19"/>
  <c r="V34" i="19"/>
  <c r="U34" i="19"/>
  <c r="T34" i="19"/>
  <c r="S34" i="19"/>
  <c r="V33" i="19"/>
  <c r="U33" i="19"/>
  <c r="T33" i="19"/>
  <c r="S33" i="19"/>
  <c r="V32" i="19"/>
  <c r="U32" i="19"/>
  <c r="T32" i="19"/>
  <c r="S32" i="19"/>
  <c r="V31" i="19"/>
  <c r="U31" i="19"/>
  <c r="T31" i="19"/>
  <c r="S31" i="19"/>
  <c r="V30" i="19"/>
  <c r="U30" i="19"/>
  <c r="T30" i="19"/>
  <c r="S30" i="19"/>
  <c r="V29" i="19"/>
  <c r="U29" i="19"/>
  <c r="T29" i="19"/>
  <c r="S29" i="19"/>
  <c r="V28" i="19"/>
  <c r="U28" i="19"/>
  <c r="T28" i="19"/>
  <c r="S28" i="19"/>
  <c r="V27" i="19"/>
  <c r="U27" i="19"/>
  <c r="T27" i="19"/>
  <c r="S27" i="19"/>
  <c r="V26" i="19"/>
  <c r="U26" i="19"/>
  <c r="T26" i="19"/>
  <c r="S26" i="19"/>
  <c r="V25" i="19"/>
  <c r="U25" i="19"/>
  <c r="T25" i="19"/>
  <c r="S25" i="19"/>
  <c r="V24" i="19"/>
  <c r="U24" i="19"/>
  <c r="T24" i="19"/>
  <c r="S24" i="19"/>
  <c r="V23" i="19"/>
  <c r="U23" i="19"/>
  <c r="T23" i="19"/>
  <c r="S23" i="19"/>
  <c r="V22" i="19"/>
  <c r="U22" i="19"/>
  <c r="T22" i="19"/>
  <c r="S22" i="19"/>
  <c r="V21" i="19"/>
  <c r="U21" i="19"/>
  <c r="T21" i="19"/>
  <c r="S21" i="19"/>
  <c r="V20" i="19"/>
  <c r="U20" i="19"/>
  <c r="T20" i="19"/>
  <c r="S20" i="19"/>
  <c r="V19" i="19"/>
  <c r="U19" i="19"/>
  <c r="T19" i="19"/>
  <c r="S19" i="19"/>
  <c r="V18" i="19"/>
  <c r="U18" i="19"/>
  <c r="T18" i="19"/>
  <c r="S18" i="19"/>
  <c r="M18" i="19"/>
  <c r="L18" i="19"/>
  <c r="K18" i="19"/>
  <c r="J18" i="19"/>
  <c r="I18" i="19"/>
  <c r="H18" i="19"/>
  <c r="V17" i="19"/>
  <c r="U17" i="19"/>
  <c r="T17" i="19"/>
  <c r="S17" i="19"/>
  <c r="M17" i="19"/>
  <c r="L17" i="19"/>
  <c r="K17" i="19"/>
  <c r="J17" i="19"/>
  <c r="I17" i="19"/>
  <c r="H17" i="19"/>
  <c r="V16" i="19"/>
  <c r="U16" i="19"/>
  <c r="T16" i="19"/>
  <c r="S16" i="19"/>
  <c r="M16" i="19"/>
  <c r="L16" i="19"/>
  <c r="K16" i="19"/>
  <c r="J16" i="19"/>
  <c r="I16" i="19"/>
  <c r="H16" i="19"/>
  <c r="V15" i="19"/>
  <c r="U15" i="19"/>
  <c r="T15" i="19"/>
  <c r="S15" i="19"/>
  <c r="M15" i="19"/>
  <c r="L15" i="19"/>
  <c r="K15" i="19"/>
  <c r="J15" i="19"/>
  <c r="I15" i="19"/>
  <c r="H15" i="19"/>
  <c r="V14" i="19"/>
  <c r="U14" i="19"/>
  <c r="T14" i="19"/>
  <c r="S14" i="19"/>
  <c r="M14" i="19"/>
  <c r="L14" i="19"/>
  <c r="K14" i="19"/>
  <c r="J14" i="19"/>
  <c r="I14" i="19"/>
  <c r="H14" i="19"/>
  <c r="V13" i="19"/>
  <c r="U13" i="19"/>
  <c r="T13" i="19"/>
  <c r="S13" i="19"/>
  <c r="M13" i="19"/>
  <c r="L13" i="19"/>
  <c r="K13" i="19"/>
  <c r="J13" i="19"/>
  <c r="I13" i="19"/>
  <c r="H13" i="19"/>
  <c r="V12" i="19"/>
  <c r="U12" i="19"/>
  <c r="T12" i="19"/>
  <c r="S12" i="19"/>
  <c r="M12" i="19"/>
  <c r="L12" i="19"/>
  <c r="K12" i="19"/>
  <c r="J12" i="19"/>
  <c r="I12" i="19"/>
  <c r="H12" i="19"/>
  <c r="V11" i="19"/>
  <c r="U11" i="19"/>
  <c r="T11" i="19"/>
  <c r="S11" i="19"/>
  <c r="M11" i="19"/>
  <c r="L11" i="19"/>
  <c r="K11" i="19"/>
  <c r="J11" i="19"/>
  <c r="I11" i="19"/>
  <c r="H11" i="19"/>
  <c r="V10" i="19"/>
  <c r="U10" i="19"/>
  <c r="T10" i="19"/>
  <c r="S10" i="19"/>
  <c r="M10" i="19"/>
  <c r="L10" i="19"/>
  <c r="K10" i="19"/>
  <c r="J10" i="19"/>
  <c r="I10" i="19"/>
  <c r="H10" i="19"/>
  <c r="V9" i="19"/>
  <c r="U9" i="19"/>
  <c r="T9" i="19"/>
  <c r="S9" i="19"/>
  <c r="M9" i="19"/>
  <c r="L9" i="19"/>
  <c r="K9" i="19"/>
  <c r="J9" i="19"/>
  <c r="I9" i="19"/>
  <c r="H9" i="19"/>
  <c r="V8" i="19"/>
  <c r="U8" i="19"/>
  <c r="T8" i="19"/>
  <c r="S8" i="19"/>
  <c r="M8" i="19"/>
  <c r="L8" i="19"/>
  <c r="K8" i="19"/>
  <c r="J8" i="19"/>
  <c r="I8" i="19"/>
  <c r="H8" i="19"/>
  <c r="V7" i="19"/>
  <c r="U7" i="19"/>
  <c r="T7" i="19"/>
  <c r="S7" i="19"/>
  <c r="M7" i="19"/>
  <c r="L7" i="19"/>
  <c r="K7" i="19"/>
  <c r="J7" i="19"/>
  <c r="I7" i="19"/>
  <c r="H7" i="19"/>
  <c r="V6" i="19"/>
  <c r="U6" i="19"/>
  <c r="T6" i="19"/>
  <c r="S6" i="19"/>
  <c r="M6" i="19"/>
  <c r="L6" i="19"/>
  <c r="K6" i="19"/>
  <c r="J6" i="19"/>
  <c r="I6" i="19"/>
  <c r="H6" i="19"/>
  <c r="V5" i="19"/>
  <c r="Z4" i="19" s="1"/>
  <c r="U5" i="19"/>
  <c r="T5" i="19"/>
  <c r="S5" i="19"/>
  <c r="M5" i="19"/>
  <c r="L5" i="19"/>
  <c r="K5" i="19"/>
  <c r="J5" i="19"/>
  <c r="I5" i="19"/>
  <c r="H5" i="19"/>
  <c r="V4" i="19"/>
  <c r="U4" i="19"/>
  <c r="T4" i="19"/>
  <c r="X4" i="19" s="1"/>
  <c r="S4" i="19"/>
  <c r="W4" i="19" s="1"/>
  <c r="M4" i="19"/>
  <c r="L4" i="19"/>
  <c r="K4" i="19"/>
  <c r="J4" i="19"/>
  <c r="I4" i="19"/>
  <c r="H4" i="19"/>
  <c r="V78" i="18"/>
  <c r="U78" i="18"/>
  <c r="T78" i="18"/>
  <c r="S78" i="18"/>
  <c r="V77" i="18"/>
  <c r="U77" i="18"/>
  <c r="T77" i="18"/>
  <c r="S77" i="18"/>
  <c r="V76" i="18"/>
  <c r="U76" i="18"/>
  <c r="T76" i="18"/>
  <c r="S76" i="18"/>
  <c r="V75" i="18"/>
  <c r="U75" i="18"/>
  <c r="T75" i="18"/>
  <c r="S75" i="18"/>
  <c r="V74" i="18"/>
  <c r="U74" i="18"/>
  <c r="T74" i="18"/>
  <c r="S74" i="18"/>
  <c r="V73" i="18"/>
  <c r="U73" i="18"/>
  <c r="S73" i="18"/>
  <c r="V72" i="18"/>
  <c r="U72" i="18"/>
  <c r="T72" i="18"/>
  <c r="S72" i="18"/>
  <c r="V71" i="18"/>
  <c r="U71" i="18"/>
  <c r="T71" i="18"/>
  <c r="S71" i="18"/>
  <c r="V70" i="18"/>
  <c r="U70" i="18"/>
  <c r="T70" i="18"/>
  <c r="S70" i="18"/>
  <c r="V69" i="18"/>
  <c r="U69" i="18"/>
  <c r="T69" i="18"/>
  <c r="S69" i="18"/>
  <c r="V68" i="18"/>
  <c r="U68" i="18"/>
  <c r="T68" i="18"/>
  <c r="S68" i="18"/>
  <c r="V67" i="18"/>
  <c r="U67" i="18"/>
  <c r="T67" i="18"/>
  <c r="S67" i="18"/>
  <c r="V66" i="18"/>
  <c r="U66" i="18"/>
  <c r="T66" i="18"/>
  <c r="S66" i="18"/>
  <c r="V65" i="18"/>
  <c r="U65" i="18"/>
  <c r="T65" i="18"/>
  <c r="S65" i="18"/>
  <c r="V64" i="18"/>
  <c r="U64" i="18"/>
  <c r="T64" i="18"/>
  <c r="S64" i="18"/>
  <c r="V63" i="18"/>
  <c r="U63" i="18"/>
  <c r="T63" i="18"/>
  <c r="S63" i="18"/>
  <c r="V62" i="18"/>
  <c r="U62" i="18"/>
  <c r="T62" i="18"/>
  <c r="S62" i="18"/>
  <c r="V61" i="18"/>
  <c r="U61" i="18"/>
  <c r="T61" i="18"/>
  <c r="S61" i="18"/>
  <c r="V60" i="18"/>
  <c r="U60" i="18"/>
  <c r="T60" i="18"/>
  <c r="S60" i="18"/>
  <c r="V59" i="18"/>
  <c r="U59" i="18"/>
  <c r="T59" i="18"/>
  <c r="S59" i="18"/>
  <c r="V58" i="18"/>
  <c r="U58" i="18"/>
  <c r="T58" i="18"/>
  <c r="S58" i="18"/>
  <c r="V57" i="18"/>
  <c r="U57" i="18"/>
  <c r="T57" i="18"/>
  <c r="S57" i="18"/>
  <c r="V56" i="18"/>
  <c r="U56" i="18"/>
  <c r="T56" i="18"/>
  <c r="S56" i="18"/>
  <c r="V55" i="18"/>
  <c r="U55" i="18"/>
  <c r="T55" i="18"/>
  <c r="S55" i="18"/>
  <c r="V54" i="18"/>
  <c r="U54" i="18"/>
  <c r="T54" i="18"/>
  <c r="S54" i="18"/>
  <c r="V53" i="18"/>
  <c r="U53" i="18"/>
  <c r="T53" i="18"/>
  <c r="S53" i="18"/>
  <c r="V52" i="18"/>
  <c r="U52" i="18"/>
  <c r="T52" i="18"/>
  <c r="S52" i="18"/>
  <c r="V51" i="18"/>
  <c r="U51" i="18"/>
  <c r="T51" i="18"/>
  <c r="S51" i="18"/>
  <c r="V50" i="18"/>
  <c r="U50" i="18"/>
  <c r="T50" i="18"/>
  <c r="S50" i="18"/>
  <c r="V49" i="18"/>
  <c r="U49" i="18"/>
  <c r="T49" i="18"/>
  <c r="S49" i="18"/>
  <c r="V48" i="18"/>
  <c r="U48" i="18"/>
  <c r="T48" i="18"/>
  <c r="S48" i="18"/>
  <c r="V47" i="18"/>
  <c r="U47" i="18"/>
  <c r="T47" i="18"/>
  <c r="S47" i="18"/>
  <c r="V46" i="18"/>
  <c r="U46" i="18"/>
  <c r="T46" i="18"/>
  <c r="S46" i="18"/>
  <c r="V45" i="18"/>
  <c r="U45" i="18"/>
  <c r="T45" i="18"/>
  <c r="S45" i="18"/>
  <c r="V44" i="18"/>
  <c r="U44" i="18"/>
  <c r="T44" i="18"/>
  <c r="S44" i="18"/>
  <c r="V43" i="18"/>
  <c r="U43" i="18"/>
  <c r="T43" i="18"/>
  <c r="S43" i="18"/>
  <c r="V42" i="18"/>
  <c r="U42" i="18"/>
  <c r="T42" i="18"/>
  <c r="S42" i="18"/>
  <c r="V41" i="18"/>
  <c r="U41" i="18"/>
  <c r="T41" i="18"/>
  <c r="S41" i="18"/>
  <c r="V40" i="18"/>
  <c r="U40" i="18"/>
  <c r="T40" i="18"/>
  <c r="S40" i="18"/>
  <c r="V39" i="18"/>
  <c r="U39" i="18"/>
  <c r="T39" i="18"/>
  <c r="S39" i="18"/>
  <c r="V38" i="18"/>
  <c r="U38" i="18"/>
  <c r="T38" i="18"/>
  <c r="S38" i="18"/>
  <c r="V37" i="18"/>
  <c r="U37" i="18"/>
  <c r="T37" i="18"/>
  <c r="S37" i="18"/>
  <c r="V36" i="18"/>
  <c r="U36" i="18"/>
  <c r="T36" i="18"/>
  <c r="S36" i="18"/>
  <c r="V35" i="18"/>
  <c r="U35" i="18"/>
  <c r="T35" i="18"/>
  <c r="S35" i="18"/>
  <c r="V34" i="18"/>
  <c r="U34" i="18"/>
  <c r="T34" i="18"/>
  <c r="S34" i="18"/>
  <c r="V33" i="18"/>
  <c r="U33" i="18"/>
  <c r="T33" i="18"/>
  <c r="S33" i="18"/>
  <c r="V32" i="18"/>
  <c r="U32" i="18"/>
  <c r="T32" i="18"/>
  <c r="S32" i="18"/>
  <c r="V31" i="18"/>
  <c r="U31" i="18"/>
  <c r="T31" i="18"/>
  <c r="S31" i="18"/>
  <c r="V30" i="18"/>
  <c r="U30" i="18"/>
  <c r="T30" i="18"/>
  <c r="S30" i="18"/>
  <c r="V29" i="18"/>
  <c r="U29" i="18"/>
  <c r="T29" i="18"/>
  <c r="S29" i="18"/>
  <c r="V28" i="18"/>
  <c r="U28" i="18"/>
  <c r="T28" i="18"/>
  <c r="S28" i="18"/>
  <c r="V27" i="18"/>
  <c r="U27" i="18"/>
  <c r="T27" i="18"/>
  <c r="S27" i="18"/>
  <c r="V26" i="18"/>
  <c r="U26" i="18"/>
  <c r="T26" i="18"/>
  <c r="S26" i="18"/>
  <c r="V25" i="18"/>
  <c r="U25" i="18"/>
  <c r="T25" i="18"/>
  <c r="S25" i="18"/>
  <c r="V24" i="18"/>
  <c r="U24" i="18"/>
  <c r="T24" i="18"/>
  <c r="S24" i="18"/>
  <c r="V23" i="18"/>
  <c r="U23" i="18"/>
  <c r="T23" i="18"/>
  <c r="S23" i="18"/>
  <c r="V22" i="18"/>
  <c r="U22" i="18"/>
  <c r="T22" i="18"/>
  <c r="S22" i="18"/>
  <c r="V21" i="18"/>
  <c r="U21" i="18"/>
  <c r="T21" i="18"/>
  <c r="S21" i="18"/>
  <c r="V20" i="18"/>
  <c r="U20" i="18"/>
  <c r="T20" i="18"/>
  <c r="S20" i="18"/>
  <c r="V19" i="18"/>
  <c r="U19" i="18"/>
  <c r="T19" i="18"/>
  <c r="S19" i="18"/>
  <c r="V18" i="18"/>
  <c r="U18" i="18"/>
  <c r="T18" i="18"/>
  <c r="S18" i="18"/>
  <c r="M18" i="18"/>
  <c r="L18" i="18"/>
  <c r="K18" i="18"/>
  <c r="J18" i="18"/>
  <c r="I18" i="18"/>
  <c r="H18" i="18"/>
  <c r="V17" i="18"/>
  <c r="U17" i="18"/>
  <c r="T17" i="18"/>
  <c r="S17" i="18"/>
  <c r="M17" i="18"/>
  <c r="L17" i="18"/>
  <c r="K17" i="18"/>
  <c r="J17" i="18"/>
  <c r="I17" i="18"/>
  <c r="H17" i="18"/>
  <c r="V16" i="18"/>
  <c r="U16" i="18"/>
  <c r="T16" i="18"/>
  <c r="S16" i="18"/>
  <c r="M16" i="18"/>
  <c r="L16" i="18"/>
  <c r="K16" i="18"/>
  <c r="J16" i="18"/>
  <c r="I16" i="18"/>
  <c r="H16" i="18"/>
  <c r="V15" i="18"/>
  <c r="U15" i="18"/>
  <c r="T15" i="18"/>
  <c r="S15" i="18"/>
  <c r="M15" i="18"/>
  <c r="L15" i="18"/>
  <c r="K15" i="18"/>
  <c r="J15" i="18"/>
  <c r="I15" i="18"/>
  <c r="H15" i="18"/>
  <c r="V14" i="18"/>
  <c r="U14" i="18"/>
  <c r="T14" i="18"/>
  <c r="S14" i="18"/>
  <c r="M14" i="18"/>
  <c r="L14" i="18"/>
  <c r="K14" i="18"/>
  <c r="J14" i="18"/>
  <c r="I14" i="18"/>
  <c r="H14" i="18"/>
  <c r="V13" i="18"/>
  <c r="U13" i="18"/>
  <c r="T13" i="18"/>
  <c r="S13" i="18"/>
  <c r="M13" i="18"/>
  <c r="L13" i="18"/>
  <c r="K13" i="18"/>
  <c r="J13" i="18"/>
  <c r="I13" i="18"/>
  <c r="H13" i="18"/>
  <c r="V12" i="18"/>
  <c r="U12" i="18"/>
  <c r="T12" i="18"/>
  <c r="S12" i="18"/>
  <c r="M12" i="18"/>
  <c r="L12" i="18"/>
  <c r="K12" i="18"/>
  <c r="J12" i="18"/>
  <c r="I12" i="18"/>
  <c r="H12" i="18"/>
  <c r="V11" i="18"/>
  <c r="U11" i="18"/>
  <c r="T11" i="18"/>
  <c r="S11" i="18"/>
  <c r="M11" i="18"/>
  <c r="L11" i="18"/>
  <c r="K11" i="18"/>
  <c r="J11" i="18"/>
  <c r="I11" i="18"/>
  <c r="H11" i="18"/>
  <c r="V10" i="18"/>
  <c r="U10" i="18"/>
  <c r="T10" i="18"/>
  <c r="S10" i="18"/>
  <c r="M10" i="18"/>
  <c r="L10" i="18"/>
  <c r="K10" i="18"/>
  <c r="J10" i="18"/>
  <c r="I10" i="18"/>
  <c r="H10" i="18"/>
  <c r="V9" i="18"/>
  <c r="U9" i="18"/>
  <c r="T9" i="18"/>
  <c r="S9" i="18"/>
  <c r="M9" i="18"/>
  <c r="L9" i="18"/>
  <c r="K9" i="18"/>
  <c r="J9" i="18"/>
  <c r="I9" i="18"/>
  <c r="H9" i="18"/>
  <c r="V8" i="18"/>
  <c r="U8" i="18"/>
  <c r="T8" i="18"/>
  <c r="S8" i="18"/>
  <c r="M8" i="18"/>
  <c r="L8" i="18"/>
  <c r="K8" i="18"/>
  <c r="J8" i="18"/>
  <c r="I8" i="18"/>
  <c r="H8" i="18"/>
  <c r="V7" i="18"/>
  <c r="U7" i="18"/>
  <c r="T7" i="18"/>
  <c r="S7" i="18"/>
  <c r="M7" i="18"/>
  <c r="L7" i="18"/>
  <c r="K7" i="18"/>
  <c r="J7" i="18"/>
  <c r="I7" i="18"/>
  <c r="H7" i="18"/>
  <c r="V6" i="18"/>
  <c r="U6" i="18"/>
  <c r="T6" i="18"/>
  <c r="S6" i="18"/>
  <c r="M6" i="18"/>
  <c r="L6" i="18"/>
  <c r="K6" i="18"/>
  <c r="J6" i="18"/>
  <c r="I6" i="18"/>
  <c r="H6" i="18"/>
  <c r="V5" i="18"/>
  <c r="U5" i="18"/>
  <c r="T5" i="18"/>
  <c r="S5" i="18"/>
  <c r="M5" i="18"/>
  <c r="L5" i="18"/>
  <c r="K5" i="18"/>
  <c r="J5" i="18"/>
  <c r="I5" i="18"/>
  <c r="H5" i="18"/>
  <c r="V4" i="18"/>
  <c r="Z4" i="18" s="1"/>
  <c r="U4" i="18"/>
  <c r="Y4" i="18" s="1"/>
  <c r="T4" i="18"/>
  <c r="S4" i="18"/>
  <c r="W4" i="18" s="1"/>
  <c r="M4" i="18"/>
  <c r="L4" i="18"/>
  <c r="K4" i="18"/>
  <c r="J4" i="18"/>
  <c r="I4" i="18"/>
  <c r="H4" i="18"/>
  <c r="AF4" i="17"/>
  <c r="AG4" i="17"/>
  <c r="AF5" i="17"/>
  <c r="AG5" i="17"/>
  <c r="AF6" i="17"/>
  <c r="AG6" i="17"/>
  <c r="AF7" i="17"/>
  <c r="AG7" i="17"/>
  <c r="AF8" i="17"/>
  <c r="AG8" i="17"/>
  <c r="AF9" i="17"/>
  <c r="AG9" i="17"/>
  <c r="AF10" i="17"/>
  <c r="AG10" i="17"/>
  <c r="AF11" i="17"/>
  <c r="AG11" i="17"/>
  <c r="AF12" i="17"/>
  <c r="AG12" i="17"/>
  <c r="AF13" i="17"/>
  <c r="AG13" i="17"/>
  <c r="AF14" i="17"/>
  <c r="AG14" i="17"/>
  <c r="AF15" i="17"/>
  <c r="AG15" i="17"/>
  <c r="AF16" i="17"/>
  <c r="AG16" i="17"/>
  <c r="AF17" i="17"/>
  <c r="AG17" i="17"/>
  <c r="AF18" i="17"/>
  <c r="AG18" i="17"/>
  <c r="AF19" i="17"/>
  <c r="AG19" i="17"/>
  <c r="AF20" i="17"/>
  <c r="AG20" i="17"/>
  <c r="AF21" i="17"/>
  <c r="AG21" i="17"/>
  <c r="AF22" i="17"/>
  <c r="AG22" i="17"/>
  <c r="AF23" i="17"/>
  <c r="AG23" i="17"/>
  <c r="AF24" i="17"/>
  <c r="AG24" i="17"/>
  <c r="AF25" i="17"/>
  <c r="AG25" i="17"/>
  <c r="AF26" i="17"/>
  <c r="AG26" i="17"/>
  <c r="AF27" i="17"/>
  <c r="AG27" i="17"/>
  <c r="AF28" i="17"/>
  <c r="AG28" i="17"/>
  <c r="AF29" i="17"/>
  <c r="AG29" i="17"/>
  <c r="AF30" i="17"/>
  <c r="AG30" i="17"/>
  <c r="AF31" i="17"/>
  <c r="AG31" i="17"/>
  <c r="AF32" i="17"/>
  <c r="AG32" i="17"/>
  <c r="AF33" i="17"/>
  <c r="AG33" i="17"/>
  <c r="AF34" i="17"/>
  <c r="AG34" i="17"/>
  <c r="AF35" i="17"/>
  <c r="AG35" i="17"/>
  <c r="AF36" i="17"/>
  <c r="AG36" i="17"/>
  <c r="AF37" i="17"/>
  <c r="AG37" i="17"/>
  <c r="AF38" i="17"/>
  <c r="AG38" i="17"/>
  <c r="AF39" i="17"/>
  <c r="AG39" i="17"/>
  <c r="AF40" i="17"/>
  <c r="AG40" i="17"/>
  <c r="AF41" i="17"/>
  <c r="AG41" i="17"/>
  <c r="AF42" i="17"/>
  <c r="AG42" i="17"/>
  <c r="AF43" i="17"/>
  <c r="AG43" i="17"/>
  <c r="AF44" i="17"/>
  <c r="AG44" i="17"/>
  <c r="AF45" i="17"/>
  <c r="AG45" i="17"/>
  <c r="AF46" i="17"/>
  <c r="AG46" i="17"/>
  <c r="AF47" i="17"/>
  <c r="AG47" i="17"/>
  <c r="AF48" i="17"/>
  <c r="AG48" i="17"/>
  <c r="AF49" i="17"/>
  <c r="AG49" i="17"/>
  <c r="AF50" i="17"/>
  <c r="AG50" i="17"/>
  <c r="AF51" i="17"/>
  <c r="AG51" i="17"/>
  <c r="AF52" i="17"/>
  <c r="AG52" i="17"/>
  <c r="AF53" i="17"/>
  <c r="AG53" i="17"/>
  <c r="AF54" i="17"/>
  <c r="AG54" i="17"/>
  <c r="AF55" i="17"/>
  <c r="AG55" i="17"/>
  <c r="AF56" i="17"/>
  <c r="AG56" i="17"/>
  <c r="AF57" i="17"/>
  <c r="AG57" i="17"/>
  <c r="AF58" i="17"/>
  <c r="AG58" i="17"/>
  <c r="AF59" i="17"/>
  <c r="AG59" i="17"/>
  <c r="AF60" i="17"/>
  <c r="AG60" i="17"/>
  <c r="AF61" i="17"/>
  <c r="AG61" i="17"/>
  <c r="AF62" i="17"/>
  <c r="AG62" i="17"/>
  <c r="AF63" i="17"/>
  <c r="AG63" i="17"/>
  <c r="AF64" i="17"/>
  <c r="AG64" i="17"/>
  <c r="AF65" i="17"/>
  <c r="AG65" i="17"/>
  <c r="AF66" i="17"/>
  <c r="AG66" i="17"/>
  <c r="AF67" i="17"/>
  <c r="AG67" i="17"/>
  <c r="AF68" i="17"/>
  <c r="AG68" i="17"/>
  <c r="AF69" i="17"/>
  <c r="AG69" i="17"/>
  <c r="AF70" i="17"/>
  <c r="AG70" i="17"/>
  <c r="AF71" i="17"/>
  <c r="AG71" i="17"/>
  <c r="AF72" i="17"/>
  <c r="AG72" i="17"/>
  <c r="AF73" i="17"/>
  <c r="AG73" i="17"/>
  <c r="AF74" i="17"/>
  <c r="AG74" i="17"/>
  <c r="AF75" i="17"/>
  <c r="AG75" i="17"/>
  <c r="AF76" i="17"/>
  <c r="AG76" i="17"/>
  <c r="AF77" i="17"/>
  <c r="AG77" i="17"/>
  <c r="AF78" i="17"/>
  <c r="AG78" i="17"/>
  <c r="AF79" i="17"/>
  <c r="AG79" i="17"/>
  <c r="AF80" i="17"/>
  <c r="AG80" i="17"/>
  <c r="AF81" i="17"/>
  <c r="AG81" i="17"/>
  <c r="AF82" i="17"/>
  <c r="AG82" i="17"/>
  <c r="AF83" i="17"/>
  <c r="AG83" i="17"/>
  <c r="AF84" i="17"/>
  <c r="AG84" i="17"/>
  <c r="AF85" i="17"/>
  <c r="AG85" i="17"/>
  <c r="AF86" i="17"/>
  <c r="AG86" i="17"/>
  <c r="AF87" i="17"/>
  <c r="AG87" i="17"/>
  <c r="AF88" i="17"/>
  <c r="AG88" i="17"/>
  <c r="AF89" i="17"/>
  <c r="AG89" i="17"/>
  <c r="AF90" i="17"/>
  <c r="AG90" i="17"/>
  <c r="AF91" i="17"/>
  <c r="AG91" i="17"/>
  <c r="AF92" i="17"/>
  <c r="AG92" i="17"/>
  <c r="AF93" i="17"/>
  <c r="AG93" i="17"/>
  <c r="AF94" i="17"/>
  <c r="AG94" i="17"/>
  <c r="AF95" i="17"/>
  <c r="AG95" i="17"/>
  <c r="AF96" i="17"/>
  <c r="AG96" i="17"/>
  <c r="AF97" i="17"/>
  <c r="AG97" i="17"/>
  <c r="AF98" i="17"/>
  <c r="AG98" i="17"/>
  <c r="AF99" i="17"/>
  <c r="AG99" i="17"/>
  <c r="AF100" i="17"/>
  <c r="AG100" i="17"/>
  <c r="AF101" i="17"/>
  <c r="AG101" i="17"/>
  <c r="AF102" i="17"/>
  <c r="AG102" i="17"/>
  <c r="AF103" i="17"/>
  <c r="AG103" i="17"/>
  <c r="AF104" i="17"/>
  <c r="AG104" i="17"/>
  <c r="AF105" i="17"/>
  <c r="AG105" i="17"/>
  <c r="AF106" i="17"/>
  <c r="AG106" i="17"/>
  <c r="AF107" i="17"/>
  <c r="AG107" i="17"/>
  <c r="AF108" i="17"/>
  <c r="AG108" i="17"/>
  <c r="AF109" i="17"/>
  <c r="AG109" i="17"/>
  <c r="AF110" i="17"/>
  <c r="AG110" i="17"/>
  <c r="AF111" i="17"/>
  <c r="AG111" i="17"/>
  <c r="AF112" i="17"/>
  <c r="AG112" i="17"/>
  <c r="AF113" i="17"/>
  <c r="AG113" i="17"/>
  <c r="AF114" i="17"/>
  <c r="AG114" i="17"/>
  <c r="AF115" i="17"/>
  <c r="AG115" i="17"/>
  <c r="AF116" i="17"/>
  <c r="AG116" i="17"/>
  <c r="AF117" i="17"/>
  <c r="AG117" i="17"/>
  <c r="AF118" i="17"/>
  <c r="AG118" i="17"/>
  <c r="AF119" i="17"/>
  <c r="AG119" i="17"/>
  <c r="AF120" i="17"/>
  <c r="AG120" i="17"/>
  <c r="AF121" i="17"/>
  <c r="AG121" i="17"/>
  <c r="AF122" i="17"/>
  <c r="AG122" i="17"/>
  <c r="AF123" i="17"/>
  <c r="AG123" i="17"/>
  <c r="AF124" i="17"/>
  <c r="AG124" i="17"/>
  <c r="AF125" i="17"/>
  <c r="AG125" i="17"/>
  <c r="AF126" i="17"/>
  <c r="AG126" i="17"/>
  <c r="AF127" i="17"/>
  <c r="AG127" i="17"/>
  <c r="AF128" i="17"/>
  <c r="AG128" i="17"/>
  <c r="AF129" i="17"/>
  <c r="AG129" i="17"/>
  <c r="AF130" i="17"/>
  <c r="AG130" i="17"/>
  <c r="AF131" i="17"/>
  <c r="AG131" i="17"/>
  <c r="AF132" i="17"/>
  <c r="AG132" i="17"/>
  <c r="AF133" i="17"/>
  <c r="AG133" i="17"/>
  <c r="AF134" i="17"/>
  <c r="AG134" i="17"/>
  <c r="AF135" i="17"/>
  <c r="AG135" i="17"/>
  <c r="AF136" i="17"/>
  <c r="AG136" i="17"/>
  <c r="AF137" i="17"/>
  <c r="AG137" i="17"/>
  <c r="AF138" i="17"/>
  <c r="AG138" i="17"/>
  <c r="AF139" i="17"/>
  <c r="AG139" i="17"/>
  <c r="AF140" i="17"/>
  <c r="AG140" i="17"/>
  <c r="AF141" i="17"/>
  <c r="AG141" i="17"/>
  <c r="AF142" i="17"/>
  <c r="AG142" i="17"/>
  <c r="AF143" i="17"/>
  <c r="AG143" i="17"/>
  <c r="AF144" i="17"/>
  <c r="AG144" i="17"/>
  <c r="AF145" i="17"/>
  <c r="AG145" i="17"/>
  <c r="AF146" i="17"/>
  <c r="AG146" i="17"/>
  <c r="AF147" i="17"/>
  <c r="AG147" i="17"/>
  <c r="AF148" i="17"/>
  <c r="AG148" i="17"/>
  <c r="AF149" i="17"/>
  <c r="AG149" i="17"/>
  <c r="AF150" i="17"/>
  <c r="AG150" i="17"/>
  <c r="AF151" i="17"/>
  <c r="AG151" i="17"/>
  <c r="AF152" i="17"/>
  <c r="AG152" i="17"/>
  <c r="AG3" i="17"/>
  <c r="AF3" i="17"/>
  <c r="X7" i="17"/>
  <c r="Y7" i="17"/>
  <c r="Z7" i="17"/>
  <c r="W7" i="17"/>
  <c r="X6" i="17"/>
  <c r="Y6" i="17"/>
  <c r="Z6" i="17"/>
  <c r="W6" i="17"/>
  <c r="X4" i="20" l="1"/>
  <c r="W4" i="20"/>
  <c r="Y4" i="19"/>
  <c r="Y5" i="19" s="1"/>
  <c r="X4" i="18"/>
  <c r="Z4" i="20"/>
  <c r="Z5" i="20" s="1"/>
  <c r="Y4" i="20"/>
  <c r="Y5" i="20" s="1"/>
  <c r="Z5" i="19"/>
  <c r="Y5" i="18"/>
  <c r="Z5" i="18"/>
  <c r="X3" i="17"/>
  <c r="Y3" i="17"/>
  <c r="Z3" i="17"/>
  <c r="W3" i="17"/>
  <c r="S4" i="17"/>
  <c r="T4" i="17"/>
  <c r="U4" i="17"/>
  <c r="V4" i="17"/>
  <c r="S5" i="17"/>
  <c r="T5" i="17"/>
  <c r="U5" i="17"/>
  <c r="V5" i="17"/>
  <c r="S6" i="17"/>
  <c r="T6" i="17"/>
  <c r="U6" i="17"/>
  <c r="V6" i="17"/>
  <c r="S7" i="17"/>
  <c r="T7" i="17"/>
  <c r="U7" i="17"/>
  <c r="V7" i="17"/>
  <c r="S8" i="17"/>
  <c r="T8" i="17"/>
  <c r="U8" i="17"/>
  <c r="V8" i="17"/>
  <c r="S9" i="17"/>
  <c r="T9" i="17"/>
  <c r="U9" i="17"/>
  <c r="V9" i="17"/>
  <c r="S10" i="17"/>
  <c r="T10" i="17"/>
  <c r="U10" i="17"/>
  <c r="V10" i="17"/>
  <c r="S11" i="17"/>
  <c r="T11" i="17"/>
  <c r="U11" i="17"/>
  <c r="V11" i="17"/>
  <c r="S12" i="17"/>
  <c r="T12" i="17"/>
  <c r="U12" i="17"/>
  <c r="V12" i="17"/>
  <c r="S13" i="17"/>
  <c r="T13" i="17"/>
  <c r="U13" i="17"/>
  <c r="V13" i="17"/>
  <c r="S14" i="17"/>
  <c r="T14" i="17"/>
  <c r="U14" i="17"/>
  <c r="V14" i="17"/>
  <c r="S15" i="17"/>
  <c r="T15" i="17"/>
  <c r="U15" i="17"/>
  <c r="V15" i="17"/>
  <c r="S16" i="17"/>
  <c r="T16" i="17"/>
  <c r="U16" i="17"/>
  <c r="V16" i="17"/>
  <c r="S17" i="17"/>
  <c r="T17" i="17"/>
  <c r="U17" i="17"/>
  <c r="V17" i="17"/>
  <c r="S18" i="17"/>
  <c r="T18" i="17"/>
  <c r="U18" i="17"/>
  <c r="V18" i="17"/>
  <c r="S19" i="17"/>
  <c r="T19" i="17"/>
  <c r="U19" i="17"/>
  <c r="V19" i="17"/>
  <c r="S20" i="17"/>
  <c r="T20" i="17"/>
  <c r="U20" i="17"/>
  <c r="V20" i="17"/>
  <c r="S21" i="17"/>
  <c r="T21" i="17"/>
  <c r="U21" i="17"/>
  <c r="V21" i="17"/>
  <c r="S22" i="17"/>
  <c r="T22" i="17"/>
  <c r="U22" i="17"/>
  <c r="V22" i="17"/>
  <c r="S23" i="17"/>
  <c r="T23" i="17"/>
  <c r="U23" i="17"/>
  <c r="V23" i="17"/>
  <c r="S24" i="17"/>
  <c r="T24" i="17"/>
  <c r="U24" i="17"/>
  <c r="V24" i="17"/>
  <c r="S25" i="17"/>
  <c r="T25" i="17"/>
  <c r="U25" i="17"/>
  <c r="V25" i="17"/>
  <c r="S26" i="17"/>
  <c r="T26" i="17"/>
  <c r="U26" i="17"/>
  <c r="V26" i="17"/>
  <c r="S27" i="17"/>
  <c r="T27" i="17"/>
  <c r="U27" i="17"/>
  <c r="V27" i="17"/>
  <c r="S28" i="17"/>
  <c r="T28" i="17"/>
  <c r="U28" i="17"/>
  <c r="V28" i="17"/>
  <c r="S29" i="17"/>
  <c r="T29" i="17"/>
  <c r="U29" i="17"/>
  <c r="V29" i="17"/>
  <c r="S30" i="17"/>
  <c r="T30" i="17"/>
  <c r="U30" i="17"/>
  <c r="V30" i="17"/>
  <c r="S31" i="17"/>
  <c r="T31" i="17"/>
  <c r="U31" i="17"/>
  <c r="V31" i="17"/>
  <c r="S32" i="17"/>
  <c r="T32" i="17"/>
  <c r="U32" i="17"/>
  <c r="V32" i="17"/>
  <c r="S33" i="17"/>
  <c r="T33" i="17"/>
  <c r="U33" i="17"/>
  <c r="V33" i="17"/>
  <c r="S34" i="17"/>
  <c r="T34" i="17"/>
  <c r="U34" i="17"/>
  <c r="V34" i="17"/>
  <c r="S35" i="17"/>
  <c r="T35" i="17"/>
  <c r="U35" i="17"/>
  <c r="V35" i="17"/>
  <c r="S36" i="17"/>
  <c r="T36" i="17"/>
  <c r="U36" i="17"/>
  <c r="V36" i="17"/>
  <c r="S37" i="17"/>
  <c r="T37" i="17"/>
  <c r="U37" i="17"/>
  <c r="V37" i="17"/>
  <c r="S38" i="17"/>
  <c r="T38" i="17"/>
  <c r="U38" i="17"/>
  <c r="V38" i="17"/>
  <c r="S39" i="17"/>
  <c r="T39" i="17"/>
  <c r="U39" i="17"/>
  <c r="V39" i="17"/>
  <c r="S40" i="17"/>
  <c r="T40" i="17"/>
  <c r="U40" i="17"/>
  <c r="V40" i="17"/>
  <c r="S41" i="17"/>
  <c r="T41" i="17"/>
  <c r="U41" i="17"/>
  <c r="V41" i="17"/>
  <c r="S42" i="17"/>
  <c r="T42" i="17"/>
  <c r="U42" i="17"/>
  <c r="V42" i="17"/>
  <c r="S43" i="17"/>
  <c r="T43" i="17"/>
  <c r="U43" i="17"/>
  <c r="V43" i="17"/>
  <c r="S44" i="17"/>
  <c r="T44" i="17"/>
  <c r="U44" i="17"/>
  <c r="V44" i="17"/>
  <c r="S45" i="17"/>
  <c r="T45" i="17"/>
  <c r="U45" i="17"/>
  <c r="V45" i="17"/>
  <c r="S46" i="17"/>
  <c r="T46" i="17"/>
  <c r="U46" i="17"/>
  <c r="V46" i="17"/>
  <c r="S47" i="17"/>
  <c r="T47" i="17"/>
  <c r="U47" i="17"/>
  <c r="V47" i="17"/>
  <c r="S48" i="17"/>
  <c r="T48" i="17"/>
  <c r="U48" i="17"/>
  <c r="V48" i="17"/>
  <c r="S49" i="17"/>
  <c r="T49" i="17"/>
  <c r="U49" i="17"/>
  <c r="V49" i="17"/>
  <c r="S50" i="17"/>
  <c r="T50" i="17"/>
  <c r="U50" i="17"/>
  <c r="V50" i="17"/>
  <c r="S51" i="17"/>
  <c r="T51" i="17"/>
  <c r="U51" i="17"/>
  <c r="V51" i="17"/>
  <c r="S52" i="17"/>
  <c r="T52" i="17"/>
  <c r="U52" i="17"/>
  <c r="V52" i="17"/>
  <c r="S53" i="17"/>
  <c r="T53" i="17"/>
  <c r="U53" i="17"/>
  <c r="V53" i="17"/>
  <c r="S54" i="17"/>
  <c r="T54" i="17"/>
  <c r="U54" i="17"/>
  <c r="V54" i="17"/>
  <c r="S55" i="17"/>
  <c r="T55" i="17"/>
  <c r="U55" i="17"/>
  <c r="V55" i="17"/>
  <c r="S56" i="17"/>
  <c r="T56" i="17"/>
  <c r="U56" i="17"/>
  <c r="V56" i="17"/>
  <c r="S57" i="17"/>
  <c r="T57" i="17"/>
  <c r="U57" i="17"/>
  <c r="V57" i="17"/>
  <c r="S58" i="17"/>
  <c r="T58" i="17"/>
  <c r="U58" i="17"/>
  <c r="V58" i="17"/>
  <c r="S59" i="17"/>
  <c r="T59" i="17"/>
  <c r="U59" i="17"/>
  <c r="V59" i="17"/>
  <c r="S60" i="17"/>
  <c r="T60" i="17"/>
  <c r="U60" i="17"/>
  <c r="V60" i="17"/>
  <c r="S61" i="17"/>
  <c r="T61" i="17"/>
  <c r="U61" i="17"/>
  <c r="V61" i="17"/>
  <c r="S62" i="17"/>
  <c r="T62" i="17"/>
  <c r="U62" i="17"/>
  <c r="V62" i="17"/>
  <c r="S63" i="17"/>
  <c r="T63" i="17"/>
  <c r="U63" i="17"/>
  <c r="V63" i="17"/>
  <c r="S64" i="17"/>
  <c r="T64" i="17"/>
  <c r="U64" i="17"/>
  <c r="V64" i="17"/>
  <c r="S65" i="17"/>
  <c r="T65" i="17"/>
  <c r="U65" i="17"/>
  <c r="V65" i="17"/>
  <c r="S66" i="17"/>
  <c r="T66" i="17"/>
  <c r="U66" i="17"/>
  <c r="V66" i="17"/>
  <c r="S67" i="17"/>
  <c r="T67" i="17"/>
  <c r="U67" i="17"/>
  <c r="V67" i="17"/>
  <c r="S68" i="17"/>
  <c r="T68" i="17"/>
  <c r="U68" i="17"/>
  <c r="V68" i="17"/>
  <c r="S69" i="17"/>
  <c r="T69" i="17"/>
  <c r="U69" i="17"/>
  <c r="V69" i="17"/>
  <c r="S70" i="17"/>
  <c r="T70" i="17"/>
  <c r="U70" i="17"/>
  <c r="V70" i="17"/>
  <c r="S71" i="17"/>
  <c r="T71" i="17"/>
  <c r="U71" i="17"/>
  <c r="V71" i="17"/>
  <c r="S72" i="17"/>
  <c r="T72" i="17"/>
  <c r="U72" i="17"/>
  <c r="V72" i="17"/>
  <c r="S73" i="17"/>
  <c r="T73" i="17"/>
  <c r="U73" i="17"/>
  <c r="V73" i="17"/>
  <c r="S74" i="17"/>
  <c r="T74" i="17"/>
  <c r="U74" i="17"/>
  <c r="V74" i="17"/>
  <c r="S75" i="17"/>
  <c r="T75" i="17"/>
  <c r="U75" i="17"/>
  <c r="V75" i="17"/>
  <c r="S76" i="17"/>
  <c r="T76" i="17"/>
  <c r="U76" i="17"/>
  <c r="V76" i="17"/>
  <c r="S77" i="17"/>
  <c r="T77" i="17"/>
  <c r="U77" i="17"/>
  <c r="V77" i="17"/>
  <c r="S78" i="17"/>
  <c r="T78" i="17"/>
  <c r="U78" i="17"/>
  <c r="V78" i="17"/>
  <c r="S79" i="17"/>
  <c r="T79" i="17"/>
  <c r="U79" i="17"/>
  <c r="V79" i="17"/>
  <c r="S80" i="17"/>
  <c r="T80" i="17"/>
  <c r="U80" i="17"/>
  <c r="V80" i="17"/>
  <c r="S81" i="17"/>
  <c r="T81" i="17"/>
  <c r="U81" i="17"/>
  <c r="V81" i="17"/>
  <c r="S82" i="17"/>
  <c r="T82" i="17"/>
  <c r="U82" i="17"/>
  <c r="V82" i="17"/>
  <c r="S83" i="17"/>
  <c r="T83" i="17"/>
  <c r="U83" i="17"/>
  <c r="V83" i="17"/>
  <c r="S84" i="17"/>
  <c r="T84" i="17"/>
  <c r="U84" i="17"/>
  <c r="V84" i="17"/>
  <c r="S85" i="17"/>
  <c r="T85" i="17"/>
  <c r="U85" i="17"/>
  <c r="V85" i="17"/>
  <c r="S86" i="17"/>
  <c r="T86" i="17"/>
  <c r="U86" i="17"/>
  <c r="V86" i="17"/>
  <c r="S87" i="17"/>
  <c r="T87" i="17"/>
  <c r="U87" i="17"/>
  <c r="V87" i="17"/>
  <c r="S88" i="17"/>
  <c r="T88" i="17"/>
  <c r="U88" i="17"/>
  <c r="V88" i="17"/>
  <c r="S89" i="17"/>
  <c r="T89" i="17"/>
  <c r="U89" i="17"/>
  <c r="V89" i="17"/>
  <c r="S90" i="17"/>
  <c r="T90" i="17"/>
  <c r="U90" i="17"/>
  <c r="V90" i="17"/>
  <c r="S91" i="17"/>
  <c r="T91" i="17"/>
  <c r="U91" i="17"/>
  <c r="V91" i="17"/>
  <c r="S92" i="17"/>
  <c r="T92" i="17"/>
  <c r="U92" i="17"/>
  <c r="V92" i="17"/>
  <c r="S93" i="17"/>
  <c r="T93" i="17"/>
  <c r="U93" i="17"/>
  <c r="V93" i="17"/>
  <c r="S94" i="17"/>
  <c r="T94" i="17"/>
  <c r="U94" i="17"/>
  <c r="V94" i="17"/>
  <c r="S95" i="17"/>
  <c r="T95" i="17"/>
  <c r="U95" i="17"/>
  <c r="V95" i="17"/>
  <c r="S96" i="17"/>
  <c r="T96" i="17"/>
  <c r="U96" i="17"/>
  <c r="V96" i="17"/>
  <c r="S97" i="17"/>
  <c r="T97" i="17"/>
  <c r="U97" i="17"/>
  <c r="V97" i="17"/>
  <c r="S98" i="17"/>
  <c r="T98" i="17"/>
  <c r="U98" i="17"/>
  <c r="V98" i="17"/>
  <c r="S99" i="17"/>
  <c r="T99" i="17"/>
  <c r="U99" i="17"/>
  <c r="V99" i="17"/>
  <c r="S100" i="17"/>
  <c r="T100" i="17"/>
  <c r="U100" i="17"/>
  <c r="V100" i="17"/>
  <c r="S101" i="17"/>
  <c r="T101" i="17"/>
  <c r="U101" i="17"/>
  <c r="V101" i="17"/>
  <c r="S102" i="17"/>
  <c r="T102" i="17"/>
  <c r="U102" i="17"/>
  <c r="V102" i="17"/>
  <c r="S103" i="17"/>
  <c r="T103" i="17"/>
  <c r="U103" i="17"/>
  <c r="V103" i="17"/>
  <c r="S104" i="17"/>
  <c r="T104" i="17"/>
  <c r="U104" i="17"/>
  <c r="V104" i="17"/>
  <c r="S105" i="17"/>
  <c r="T105" i="17"/>
  <c r="U105" i="17"/>
  <c r="V105" i="17"/>
  <c r="S106" i="17"/>
  <c r="T106" i="17"/>
  <c r="U106" i="17"/>
  <c r="V106" i="17"/>
  <c r="S107" i="17"/>
  <c r="T107" i="17"/>
  <c r="U107" i="17"/>
  <c r="V107" i="17"/>
  <c r="S108" i="17"/>
  <c r="T108" i="17"/>
  <c r="U108" i="17"/>
  <c r="V108" i="17"/>
  <c r="S109" i="17"/>
  <c r="T109" i="17"/>
  <c r="U109" i="17"/>
  <c r="V109" i="17"/>
  <c r="S110" i="17"/>
  <c r="T110" i="17"/>
  <c r="U110" i="17"/>
  <c r="V110" i="17"/>
  <c r="S111" i="17"/>
  <c r="T111" i="17"/>
  <c r="U111" i="17"/>
  <c r="V111" i="17"/>
  <c r="S112" i="17"/>
  <c r="T112" i="17"/>
  <c r="U112" i="17"/>
  <c r="V112" i="17"/>
  <c r="S113" i="17"/>
  <c r="T113" i="17"/>
  <c r="U113" i="17"/>
  <c r="V113" i="17"/>
  <c r="S114" i="17"/>
  <c r="T114" i="17"/>
  <c r="U114" i="17"/>
  <c r="V114" i="17"/>
  <c r="S115" i="17"/>
  <c r="T115" i="17"/>
  <c r="U115" i="17"/>
  <c r="V115" i="17"/>
  <c r="S116" i="17"/>
  <c r="T116" i="17"/>
  <c r="U116" i="17"/>
  <c r="V116" i="17"/>
  <c r="S117" i="17"/>
  <c r="T117" i="17"/>
  <c r="U117" i="17"/>
  <c r="V117" i="17"/>
  <c r="S118" i="17"/>
  <c r="T118" i="17"/>
  <c r="U118" i="17"/>
  <c r="V118" i="17"/>
  <c r="S119" i="17"/>
  <c r="T119" i="17"/>
  <c r="U119" i="17"/>
  <c r="V119" i="17"/>
  <c r="S120" i="17"/>
  <c r="T120" i="17"/>
  <c r="U120" i="17"/>
  <c r="V120" i="17"/>
  <c r="S121" i="17"/>
  <c r="T121" i="17"/>
  <c r="U121" i="17"/>
  <c r="V121" i="17"/>
  <c r="S122" i="17"/>
  <c r="T122" i="17"/>
  <c r="U122" i="17"/>
  <c r="V122" i="17"/>
  <c r="S123" i="17"/>
  <c r="T123" i="17"/>
  <c r="U123" i="17"/>
  <c r="V123" i="17"/>
  <c r="S124" i="17"/>
  <c r="T124" i="17"/>
  <c r="U124" i="17"/>
  <c r="V124" i="17"/>
  <c r="S125" i="17"/>
  <c r="T125" i="17"/>
  <c r="U125" i="17"/>
  <c r="V125" i="17"/>
  <c r="S126" i="17"/>
  <c r="T126" i="17"/>
  <c r="U126" i="17"/>
  <c r="V126" i="17"/>
  <c r="S127" i="17"/>
  <c r="T127" i="17"/>
  <c r="U127" i="17"/>
  <c r="V127" i="17"/>
  <c r="S128" i="17"/>
  <c r="T128" i="17"/>
  <c r="U128" i="17"/>
  <c r="V128" i="17"/>
  <c r="S129" i="17"/>
  <c r="T129" i="17"/>
  <c r="U129" i="17"/>
  <c r="V129" i="17"/>
  <c r="S130" i="17"/>
  <c r="T130" i="17"/>
  <c r="U130" i="17"/>
  <c r="V130" i="17"/>
  <c r="S131" i="17"/>
  <c r="T131" i="17"/>
  <c r="U131" i="17"/>
  <c r="V131" i="17"/>
  <c r="S132" i="17"/>
  <c r="T132" i="17"/>
  <c r="U132" i="17"/>
  <c r="V132" i="17"/>
  <c r="S133" i="17"/>
  <c r="T133" i="17"/>
  <c r="U133" i="17"/>
  <c r="V133" i="17"/>
  <c r="S134" i="17"/>
  <c r="T134" i="17"/>
  <c r="U134" i="17"/>
  <c r="V134" i="17"/>
  <c r="S135" i="17"/>
  <c r="T135" i="17"/>
  <c r="U135" i="17"/>
  <c r="V135" i="17"/>
  <c r="S136" i="17"/>
  <c r="T136" i="17"/>
  <c r="U136" i="17"/>
  <c r="V136" i="17"/>
  <c r="S137" i="17"/>
  <c r="T137" i="17"/>
  <c r="U137" i="17"/>
  <c r="V137" i="17"/>
  <c r="S138" i="17"/>
  <c r="T138" i="17"/>
  <c r="U138" i="17"/>
  <c r="V138" i="17"/>
  <c r="S139" i="17"/>
  <c r="T139" i="17"/>
  <c r="U139" i="17"/>
  <c r="V139" i="17"/>
  <c r="S140" i="17"/>
  <c r="T140" i="17"/>
  <c r="U140" i="17"/>
  <c r="V140" i="17"/>
  <c r="S141" i="17"/>
  <c r="T141" i="17"/>
  <c r="U141" i="17"/>
  <c r="V141" i="17"/>
  <c r="S142" i="17"/>
  <c r="T142" i="17"/>
  <c r="U142" i="17"/>
  <c r="V142" i="17"/>
  <c r="S143" i="17"/>
  <c r="T143" i="17"/>
  <c r="U143" i="17"/>
  <c r="V143" i="17"/>
  <c r="S144" i="17"/>
  <c r="T144" i="17"/>
  <c r="U144" i="17"/>
  <c r="V144" i="17"/>
  <c r="S145" i="17"/>
  <c r="T145" i="17"/>
  <c r="U145" i="17"/>
  <c r="V145" i="17"/>
  <c r="S146" i="17"/>
  <c r="T146" i="17"/>
  <c r="U146" i="17"/>
  <c r="V146" i="17"/>
  <c r="S147" i="17"/>
  <c r="T147" i="17"/>
  <c r="U147" i="17"/>
  <c r="V147" i="17"/>
  <c r="S148" i="17"/>
  <c r="T148" i="17"/>
  <c r="U148" i="17"/>
  <c r="V148" i="17"/>
  <c r="S149" i="17"/>
  <c r="T149" i="17"/>
  <c r="U149" i="17"/>
  <c r="V149" i="17"/>
  <c r="S150" i="17"/>
  <c r="T150" i="17"/>
  <c r="U150" i="17"/>
  <c r="V150" i="17"/>
  <c r="S151" i="17"/>
  <c r="T151" i="17"/>
  <c r="U151" i="17"/>
  <c r="V151" i="17"/>
  <c r="S152" i="17"/>
  <c r="T152" i="17"/>
  <c r="U152" i="17"/>
  <c r="V152" i="17"/>
  <c r="X3" i="14"/>
  <c r="Y3" i="14"/>
  <c r="Z3" i="14"/>
  <c r="W3" i="14"/>
  <c r="S4" i="14"/>
  <c r="T4" i="14"/>
  <c r="U4" i="14"/>
  <c r="V4" i="14"/>
  <c r="S5" i="14"/>
  <c r="T5" i="14"/>
  <c r="U5" i="14"/>
  <c r="V5" i="14"/>
  <c r="S6" i="14"/>
  <c r="T6" i="14"/>
  <c r="U6" i="14"/>
  <c r="V6" i="14"/>
  <c r="S7" i="14"/>
  <c r="T7" i="14"/>
  <c r="U7" i="14"/>
  <c r="V7" i="14"/>
  <c r="S8" i="14"/>
  <c r="T8" i="14"/>
  <c r="U8" i="14"/>
  <c r="V8" i="14"/>
  <c r="S9" i="14"/>
  <c r="T9" i="14"/>
  <c r="U9" i="14"/>
  <c r="V9" i="14"/>
  <c r="S10" i="14"/>
  <c r="T10" i="14"/>
  <c r="U10" i="14"/>
  <c r="V10" i="14"/>
  <c r="S11" i="14"/>
  <c r="T11" i="14"/>
  <c r="U11" i="14"/>
  <c r="V11" i="14"/>
  <c r="S12" i="14"/>
  <c r="T12" i="14"/>
  <c r="U12" i="14"/>
  <c r="V12" i="14"/>
  <c r="S13" i="14"/>
  <c r="T13" i="14"/>
  <c r="U13" i="14"/>
  <c r="V13" i="14"/>
  <c r="S14" i="14"/>
  <c r="T14" i="14"/>
  <c r="U14" i="14"/>
  <c r="V14" i="14"/>
  <c r="S15" i="14"/>
  <c r="T15" i="14"/>
  <c r="U15" i="14"/>
  <c r="V15" i="14"/>
  <c r="S16" i="14"/>
  <c r="T16" i="14"/>
  <c r="U16" i="14"/>
  <c r="V16" i="14"/>
  <c r="S17" i="14"/>
  <c r="T17" i="14"/>
  <c r="U17" i="14"/>
  <c r="V17" i="14"/>
  <c r="S18" i="14"/>
  <c r="T18" i="14"/>
  <c r="U18" i="14"/>
  <c r="V18" i="14"/>
  <c r="S19" i="14"/>
  <c r="T19" i="14"/>
  <c r="U19" i="14"/>
  <c r="V19" i="14"/>
  <c r="S20" i="14"/>
  <c r="T20" i="14"/>
  <c r="U20" i="14"/>
  <c r="V20" i="14"/>
  <c r="S21" i="14"/>
  <c r="T21" i="14"/>
  <c r="U21" i="14"/>
  <c r="V21" i="14"/>
  <c r="S22" i="14"/>
  <c r="T22" i="14"/>
  <c r="U22" i="14"/>
  <c r="V22" i="14"/>
  <c r="S23" i="14"/>
  <c r="T23" i="14"/>
  <c r="U23" i="14"/>
  <c r="V23" i="14"/>
  <c r="S24" i="14"/>
  <c r="T24" i="14"/>
  <c r="U24" i="14"/>
  <c r="V24" i="14"/>
  <c r="S25" i="14"/>
  <c r="T25" i="14"/>
  <c r="U25" i="14"/>
  <c r="V25" i="14"/>
  <c r="S26" i="14"/>
  <c r="T26" i="14"/>
  <c r="U26" i="14"/>
  <c r="V26" i="14"/>
  <c r="S27" i="14"/>
  <c r="T27" i="14"/>
  <c r="U27" i="14"/>
  <c r="V27" i="14"/>
  <c r="S28" i="14"/>
  <c r="T28" i="14"/>
  <c r="U28" i="14"/>
  <c r="V28" i="14"/>
  <c r="S29" i="14"/>
  <c r="T29" i="14"/>
  <c r="U29" i="14"/>
  <c r="V29" i="14"/>
  <c r="S30" i="14"/>
  <c r="T30" i="14"/>
  <c r="U30" i="14"/>
  <c r="V30" i="14"/>
  <c r="S31" i="14"/>
  <c r="T31" i="14"/>
  <c r="U31" i="14"/>
  <c r="V31" i="14"/>
  <c r="S32" i="14"/>
  <c r="T32" i="14"/>
  <c r="U32" i="14"/>
  <c r="V32" i="14"/>
  <c r="S33" i="14"/>
  <c r="T33" i="14"/>
  <c r="U33" i="14"/>
  <c r="V33" i="14"/>
  <c r="S34" i="14"/>
  <c r="T34" i="14"/>
  <c r="U34" i="14"/>
  <c r="V34" i="14"/>
  <c r="S35" i="14"/>
  <c r="T35" i="14"/>
  <c r="U35" i="14"/>
  <c r="V35" i="14"/>
  <c r="S36" i="14"/>
  <c r="T36" i="14"/>
  <c r="U36" i="14"/>
  <c r="V36" i="14"/>
  <c r="S37" i="14"/>
  <c r="T37" i="14"/>
  <c r="U37" i="14"/>
  <c r="V37" i="14"/>
  <c r="S38" i="14"/>
  <c r="T38" i="14"/>
  <c r="U38" i="14"/>
  <c r="V38" i="14"/>
  <c r="S39" i="14"/>
  <c r="T39" i="14"/>
  <c r="U39" i="14"/>
  <c r="V39" i="14"/>
  <c r="S40" i="14"/>
  <c r="T40" i="14"/>
  <c r="U40" i="14"/>
  <c r="V40" i="14"/>
  <c r="S41" i="14"/>
  <c r="T41" i="14"/>
  <c r="U41" i="14"/>
  <c r="V41" i="14"/>
  <c r="S42" i="14"/>
  <c r="T42" i="14"/>
  <c r="U42" i="14"/>
  <c r="V42" i="14"/>
  <c r="S43" i="14"/>
  <c r="T43" i="14"/>
  <c r="U43" i="14"/>
  <c r="V43" i="14"/>
  <c r="S44" i="14"/>
  <c r="T44" i="14"/>
  <c r="U44" i="14"/>
  <c r="V44" i="14"/>
  <c r="S45" i="14"/>
  <c r="T45" i="14"/>
  <c r="U45" i="14"/>
  <c r="V45" i="14"/>
  <c r="S46" i="14"/>
  <c r="T46" i="14"/>
  <c r="U46" i="14"/>
  <c r="V46" i="14"/>
  <c r="S47" i="14"/>
  <c r="T47" i="14"/>
  <c r="U47" i="14"/>
  <c r="V47" i="14"/>
  <c r="S48" i="14"/>
  <c r="T48" i="14"/>
  <c r="U48" i="14"/>
  <c r="V48" i="14"/>
  <c r="S49" i="14"/>
  <c r="T49" i="14"/>
  <c r="U49" i="14"/>
  <c r="V49" i="14"/>
  <c r="S50" i="14"/>
  <c r="T50" i="14"/>
  <c r="U50" i="14"/>
  <c r="V50" i="14"/>
  <c r="S51" i="14"/>
  <c r="T51" i="14"/>
  <c r="U51" i="14"/>
  <c r="V51" i="14"/>
  <c r="S52" i="14"/>
  <c r="T52" i="14"/>
  <c r="U52" i="14"/>
  <c r="V52" i="14"/>
  <c r="S53" i="14"/>
  <c r="T53" i="14"/>
  <c r="U53" i="14"/>
  <c r="V53" i="14"/>
  <c r="S54" i="14"/>
  <c r="T54" i="14"/>
  <c r="U54" i="14"/>
  <c r="V54" i="14"/>
  <c r="S55" i="14"/>
  <c r="T55" i="14"/>
  <c r="U55" i="14"/>
  <c r="V55" i="14"/>
  <c r="S56" i="14"/>
  <c r="T56" i="14"/>
  <c r="U56" i="14"/>
  <c r="V56" i="14"/>
  <c r="S57" i="14"/>
  <c r="T57" i="14"/>
  <c r="U57" i="14"/>
  <c r="V57" i="14"/>
  <c r="S58" i="14"/>
  <c r="T58" i="14"/>
  <c r="U58" i="14"/>
  <c r="V58" i="14"/>
  <c r="S59" i="14"/>
  <c r="T59" i="14"/>
  <c r="U59" i="14"/>
  <c r="V59" i="14"/>
  <c r="S60" i="14"/>
  <c r="T60" i="14"/>
  <c r="U60" i="14"/>
  <c r="V60" i="14"/>
  <c r="S61" i="14"/>
  <c r="T61" i="14"/>
  <c r="U61" i="14"/>
  <c r="V61" i="14"/>
  <c r="S62" i="14"/>
  <c r="T62" i="14"/>
  <c r="U62" i="14"/>
  <c r="V62" i="14"/>
  <c r="S63" i="14"/>
  <c r="T63" i="14"/>
  <c r="U63" i="14"/>
  <c r="V63" i="14"/>
  <c r="S64" i="14"/>
  <c r="T64" i="14"/>
  <c r="U64" i="14"/>
  <c r="V64" i="14"/>
  <c r="S65" i="14"/>
  <c r="T65" i="14"/>
  <c r="U65" i="14"/>
  <c r="V65" i="14"/>
  <c r="S66" i="14"/>
  <c r="T66" i="14"/>
  <c r="U66" i="14"/>
  <c r="V66" i="14"/>
  <c r="S67" i="14"/>
  <c r="T67" i="14"/>
  <c r="U67" i="14"/>
  <c r="V67" i="14"/>
  <c r="S68" i="14"/>
  <c r="T68" i="14"/>
  <c r="U68" i="14"/>
  <c r="V68" i="14"/>
  <c r="S69" i="14"/>
  <c r="T69" i="14"/>
  <c r="U69" i="14"/>
  <c r="V69" i="14"/>
  <c r="S70" i="14"/>
  <c r="T70" i="14"/>
  <c r="U70" i="14"/>
  <c r="V70" i="14"/>
  <c r="S71" i="14"/>
  <c r="T71" i="14"/>
  <c r="U71" i="14"/>
  <c r="V71" i="14"/>
  <c r="S72" i="14"/>
  <c r="T72" i="14"/>
  <c r="U72" i="14"/>
  <c r="V72" i="14"/>
  <c r="S73" i="14"/>
  <c r="T73" i="14"/>
  <c r="U73" i="14"/>
  <c r="V73" i="14"/>
  <c r="S74" i="14"/>
  <c r="T74" i="14"/>
  <c r="U74" i="14"/>
  <c r="V74" i="14"/>
  <c r="S75" i="14"/>
  <c r="T75" i="14"/>
  <c r="U75" i="14"/>
  <c r="V75" i="14"/>
  <c r="S76" i="14"/>
  <c r="T76" i="14"/>
  <c r="U76" i="14"/>
  <c r="V76" i="14"/>
  <c r="S77" i="14"/>
  <c r="T77" i="14"/>
  <c r="U77" i="14"/>
  <c r="V77" i="14"/>
  <c r="S78" i="14"/>
  <c r="T78" i="14"/>
  <c r="U78" i="14"/>
  <c r="V78" i="14"/>
  <c r="S79" i="14"/>
  <c r="T79" i="14"/>
  <c r="U79" i="14"/>
  <c r="V79" i="14"/>
  <c r="S80" i="14"/>
  <c r="T80" i="14"/>
  <c r="U80" i="14"/>
  <c r="V80" i="14"/>
  <c r="S81" i="14"/>
  <c r="T81" i="14"/>
  <c r="U81" i="14"/>
  <c r="V81" i="14"/>
  <c r="S82" i="14"/>
  <c r="T82" i="14"/>
  <c r="U82" i="14"/>
  <c r="V82" i="14"/>
  <c r="S83" i="14"/>
  <c r="T83" i="14"/>
  <c r="U83" i="14"/>
  <c r="V83" i="14"/>
  <c r="S84" i="14"/>
  <c r="T84" i="14"/>
  <c r="U84" i="14"/>
  <c r="V84" i="14"/>
  <c r="S85" i="14"/>
  <c r="T85" i="14"/>
  <c r="U85" i="14"/>
  <c r="V85" i="14"/>
  <c r="S86" i="14"/>
  <c r="T86" i="14"/>
  <c r="U86" i="14"/>
  <c r="V86" i="14"/>
  <c r="S87" i="14"/>
  <c r="T87" i="14"/>
  <c r="U87" i="14"/>
  <c r="V87" i="14"/>
  <c r="S88" i="14"/>
  <c r="T88" i="14"/>
  <c r="U88" i="14"/>
  <c r="V88" i="14"/>
  <c r="S89" i="14"/>
  <c r="T89" i="14"/>
  <c r="U89" i="14"/>
  <c r="V89" i="14"/>
  <c r="S90" i="14"/>
  <c r="T90" i="14"/>
  <c r="U90" i="14"/>
  <c r="V90" i="14"/>
  <c r="S91" i="14"/>
  <c r="T91" i="14"/>
  <c r="U91" i="14"/>
  <c r="V91" i="14"/>
  <c r="S92" i="14"/>
  <c r="T92" i="14"/>
  <c r="U92" i="14"/>
  <c r="V92" i="14"/>
  <c r="S93" i="14"/>
  <c r="T93" i="14"/>
  <c r="U93" i="14"/>
  <c r="V93" i="14"/>
  <c r="S94" i="14"/>
  <c r="T94" i="14"/>
  <c r="U94" i="14"/>
  <c r="V94" i="14"/>
  <c r="S95" i="14"/>
  <c r="T95" i="14"/>
  <c r="U95" i="14"/>
  <c r="V95" i="14"/>
  <c r="S96" i="14"/>
  <c r="T96" i="14"/>
  <c r="U96" i="14"/>
  <c r="V96" i="14"/>
  <c r="S97" i="14"/>
  <c r="T97" i="14"/>
  <c r="U97" i="14"/>
  <c r="V97" i="14"/>
  <c r="S98" i="14"/>
  <c r="T98" i="14"/>
  <c r="U98" i="14"/>
  <c r="V98" i="14"/>
  <c r="S99" i="14"/>
  <c r="T99" i="14"/>
  <c r="U99" i="14"/>
  <c r="V99" i="14"/>
  <c r="S100" i="14"/>
  <c r="T100" i="14"/>
  <c r="U100" i="14"/>
  <c r="V100" i="14"/>
  <c r="S101" i="14"/>
  <c r="T101" i="14"/>
  <c r="U101" i="14"/>
  <c r="V101" i="14"/>
  <c r="S102" i="14"/>
  <c r="T102" i="14"/>
  <c r="U102" i="14"/>
  <c r="V102" i="14"/>
  <c r="S103" i="14"/>
  <c r="T103" i="14"/>
  <c r="U103" i="14"/>
  <c r="V103" i="14"/>
  <c r="S104" i="14"/>
  <c r="T104" i="14"/>
  <c r="U104" i="14"/>
  <c r="V104" i="14"/>
  <c r="S105" i="14"/>
  <c r="T105" i="14"/>
  <c r="U105" i="14"/>
  <c r="V105" i="14"/>
  <c r="S106" i="14"/>
  <c r="T106" i="14"/>
  <c r="U106" i="14"/>
  <c r="V106" i="14"/>
  <c r="S107" i="14"/>
  <c r="T107" i="14"/>
  <c r="U107" i="14"/>
  <c r="V107" i="14"/>
  <c r="S108" i="14"/>
  <c r="T108" i="14"/>
  <c r="U108" i="14"/>
  <c r="V108" i="14"/>
  <c r="S109" i="14"/>
  <c r="T109" i="14"/>
  <c r="U109" i="14"/>
  <c r="V109" i="14"/>
  <c r="S110" i="14"/>
  <c r="T110" i="14"/>
  <c r="U110" i="14"/>
  <c r="V110" i="14"/>
  <c r="S111" i="14"/>
  <c r="T111" i="14"/>
  <c r="U111" i="14"/>
  <c r="V111" i="14"/>
  <c r="S112" i="14"/>
  <c r="T112" i="14"/>
  <c r="U112" i="14"/>
  <c r="V112" i="14"/>
  <c r="S113" i="14"/>
  <c r="T113" i="14"/>
  <c r="U113" i="14"/>
  <c r="V113" i="14"/>
  <c r="S114" i="14"/>
  <c r="T114" i="14"/>
  <c r="U114" i="14"/>
  <c r="V114" i="14"/>
  <c r="S115" i="14"/>
  <c r="T115" i="14"/>
  <c r="U115" i="14"/>
  <c r="V115" i="14"/>
  <c r="S116" i="14"/>
  <c r="T116" i="14"/>
  <c r="U116" i="14"/>
  <c r="V116" i="14"/>
  <c r="S117" i="14"/>
  <c r="T117" i="14"/>
  <c r="U117" i="14"/>
  <c r="V117" i="14"/>
  <c r="S118" i="14"/>
  <c r="T118" i="14"/>
  <c r="U118" i="14"/>
  <c r="V118" i="14"/>
  <c r="S119" i="14"/>
  <c r="T119" i="14"/>
  <c r="U119" i="14"/>
  <c r="V119" i="14"/>
  <c r="S120" i="14"/>
  <c r="T120" i="14"/>
  <c r="U120" i="14"/>
  <c r="V120" i="14"/>
  <c r="S121" i="14"/>
  <c r="T121" i="14"/>
  <c r="U121" i="14"/>
  <c r="V121" i="14"/>
  <c r="S122" i="14"/>
  <c r="T122" i="14"/>
  <c r="U122" i="14"/>
  <c r="V122" i="14"/>
  <c r="S123" i="14"/>
  <c r="T123" i="14"/>
  <c r="U123" i="14"/>
  <c r="V123" i="14"/>
  <c r="S124" i="14"/>
  <c r="T124" i="14"/>
  <c r="U124" i="14"/>
  <c r="V124" i="14"/>
  <c r="S125" i="14"/>
  <c r="T125" i="14"/>
  <c r="U125" i="14"/>
  <c r="V125" i="14"/>
  <c r="S126" i="14"/>
  <c r="T126" i="14"/>
  <c r="U126" i="14"/>
  <c r="V126" i="14"/>
  <c r="S127" i="14"/>
  <c r="T127" i="14"/>
  <c r="U127" i="14"/>
  <c r="V127" i="14"/>
  <c r="S128" i="14"/>
  <c r="T128" i="14"/>
  <c r="U128" i="14"/>
  <c r="V128" i="14"/>
  <c r="S129" i="14"/>
  <c r="T129" i="14"/>
  <c r="U129" i="14"/>
  <c r="V129" i="14"/>
  <c r="S130" i="14"/>
  <c r="T130" i="14"/>
  <c r="U130" i="14"/>
  <c r="V130" i="14"/>
  <c r="S131" i="14"/>
  <c r="T131" i="14"/>
  <c r="U131" i="14"/>
  <c r="V131" i="14"/>
  <c r="S132" i="14"/>
  <c r="T132" i="14"/>
  <c r="U132" i="14"/>
  <c r="V132" i="14"/>
  <c r="S133" i="14"/>
  <c r="T133" i="14"/>
  <c r="U133" i="14"/>
  <c r="V133" i="14"/>
  <c r="S134" i="14"/>
  <c r="T134" i="14"/>
  <c r="U134" i="14"/>
  <c r="V134" i="14"/>
  <c r="S135" i="14"/>
  <c r="T135" i="14"/>
  <c r="U135" i="14"/>
  <c r="V135" i="14"/>
  <c r="S136" i="14"/>
  <c r="T136" i="14"/>
  <c r="U136" i="14"/>
  <c r="V136" i="14"/>
  <c r="S137" i="14"/>
  <c r="T137" i="14"/>
  <c r="U137" i="14"/>
  <c r="V137" i="14"/>
  <c r="S138" i="14"/>
  <c r="T138" i="14"/>
  <c r="U138" i="14"/>
  <c r="V138" i="14"/>
  <c r="S139" i="14"/>
  <c r="T139" i="14"/>
  <c r="U139" i="14"/>
  <c r="V139" i="14"/>
  <c r="S140" i="14"/>
  <c r="T140" i="14"/>
  <c r="U140" i="14"/>
  <c r="V140" i="14"/>
  <c r="S141" i="14"/>
  <c r="T141" i="14"/>
  <c r="U141" i="14"/>
  <c r="V141" i="14"/>
  <c r="S142" i="14"/>
  <c r="T142" i="14"/>
  <c r="U142" i="14"/>
  <c r="V142" i="14"/>
  <c r="S143" i="14"/>
  <c r="T143" i="14"/>
  <c r="U143" i="14"/>
  <c r="V143" i="14"/>
  <c r="S144" i="14"/>
  <c r="T144" i="14"/>
  <c r="U144" i="14"/>
  <c r="V144" i="14"/>
  <c r="S145" i="14"/>
  <c r="T145" i="14"/>
  <c r="U145" i="14"/>
  <c r="V145" i="14"/>
  <c r="S146" i="14"/>
  <c r="T146" i="14"/>
  <c r="U146" i="14"/>
  <c r="V146" i="14"/>
  <c r="S147" i="14"/>
  <c r="T147" i="14"/>
  <c r="U147" i="14"/>
  <c r="V147" i="14"/>
  <c r="S148" i="14"/>
  <c r="T148" i="14"/>
  <c r="U148" i="14"/>
  <c r="V148" i="14"/>
  <c r="S149" i="14"/>
  <c r="T149" i="14"/>
  <c r="U149" i="14"/>
  <c r="V149" i="14"/>
  <c r="S150" i="14"/>
  <c r="T150" i="14"/>
  <c r="U150" i="14"/>
  <c r="V150" i="14"/>
  <c r="S151" i="14"/>
  <c r="T151" i="14"/>
  <c r="U151" i="14"/>
  <c r="V151" i="14"/>
  <c r="S152" i="14"/>
  <c r="T152" i="14"/>
  <c r="U152" i="14"/>
  <c r="V152" i="14"/>
  <c r="M17" i="17"/>
  <c r="L17" i="17"/>
  <c r="K17" i="17"/>
  <c r="J17" i="17"/>
  <c r="I17" i="17"/>
  <c r="H17" i="17"/>
  <c r="M16" i="17"/>
  <c r="L16" i="17"/>
  <c r="K16" i="17"/>
  <c r="J16" i="17"/>
  <c r="I16" i="17"/>
  <c r="H16" i="17"/>
  <c r="M15" i="17"/>
  <c r="L15" i="17"/>
  <c r="K15" i="17"/>
  <c r="J15" i="17"/>
  <c r="I15" i="17"/>
  <c r="H15" i="17"/>
  <c r="M14" i="17"/>
  <c r="L14" i="17"/>
  <c r="K14" i="17"/>
  <c r="J14" i="17"/>
  <c r="I14" i="17"/>
  <c r="H14" i="17"/>
  <c r="M13" i="17"/>
  <c r="L13" i="17"/>
  <c r="K13" i="17"/>
  <c r="J13" i="17"/>
  <c r="I13" i="17"/>
  <c r="H13" i="17"/>
  <c r="M12" i="17"/>
  <c r="L12" i="17"/>
  <c r="K12" i="17"/>
  <c r="J12" i="17"/>
  <c r="I12" i="17"/>
  <c r="H12" i="17"/>
  <c r="M11" i="17"/>
  <c r="L11" i="17"/>
  <c r="K11" i="17"/>
  <c r="J11" i="17"/>
  <c r="I11" i="17"/>
  <c r="H11" i="17"/>
  <c r="M10" i="17"/>
  <c r="L10" i="17"/>
  <c r="K10" i="17"/>
  <c r="J10" i="17"/>
  <c r="I10" i="17"/>
  <c r="H10" i="17"/>
  <c r="M9" i="17"/>
  <c r="L9" i="17"/>
  <c r="K9" i="17"/>
  <c r="J9" i="17"/>
  <c r="I9" i="17"/>
  <c r="H9" i="17"/>
  <c r="M8" i="17"/>
  <c r="L8" i="17"/>
  <c r="K8" i="17"/>
  <c r="J8" i="17"/>
  <c r="I8" i="17"/>
  <c r="H8" i="17"/>
  <c r="M7" i="17"/>
  <c r="L7" i="17"/>
  <c r="K7" i="17"/>
  <c r="J7" i="17"/>
  <c r="I7" i="17"/>
  <c r="H7" i="17"/>
  <c r="M6" i="17"/>
  <c r="L6" i="17"/>
  <c r="K6" i="17"/>
  <c r="J6" i="17"/>
  <c r="I6" i="17"/>
  <c r="H6" i="17"/>
  <c r="M5" i="17"/>
  <c r="L5" i="17"/>
  <c r="K5" i="17"/>
  <c r="J5" i="17"/>
  <c r="I5" i="17"/>
  <c r="H5" i="17"/>
  <c r="M4" i="17"/>
  <c r="L4" i="17"/>
  <c r="K4" i="17"/>
  <c r="J4" i="17"/>
  <c r="I4" i="17"/>
  <c r="H4" i="17"/>
  <c r="V3" i="17"/>
  <c r="U3" i="17"/>
  <c r="T3" i="17"/>
  <c r="S3" i="17"/>
  <c r="M3" i="17"/>
  <c r="L3" i="17"/>
  <c r="K3" i="17"/>
  <c r="J3" i="17"/>
  <c r="I3" i="17"/>
  <c r="H3" i="17"/>
  <c r="Y4" i="17" l="1"/>
  <c r="Z4" i="17"/>
  <c r="M17" i="14"/>
  <c r="L17" i="14"/>
  <c r="K17" i="14"/>
  <c r="J17" i="14"/>
  <c r="I17" i="14"/>
  <c r="H17" i="14"/>
  <c r="M16" i="14"/>
  <c r="L16" i="14"/>
  <c r="K16" i="14"/>
  <c r="J16" i="14"/>
  <c r="I16" i="14"/>
  <c r="H16" i="14"/>
  <c r="M15" i="14"/>
  <c r="L15" i="14"/>
  <c r="K15" i="14"/>
  <c r="J15" i="14"/>
  <c r="I15" i="14"/>
  <c r="H15" i="14"/>
  <c r="M14" i="14"/>
  <c r="L14" i="14"/>
  <c r="K14" i="14"/>
  <c r="J14" i="14"/>
  <c r="I14" i="14"/>
  <c r="H14" i="14"/>
  <c r="M13" i="14"/>
  <c r="L13" i="14"/>
  <c r="K13" i="14"/>
  <c r="J13" i="14"/>
  <c r="I13" i="14"/>
  <c r="H13" i="14"/>
  <c r="M12" i="14"/>
  <c r="L12" i="14"/>
  <c r="K12" i="14"/>
  <c r="J12" i="14"/>
  <c r="I12" i="14"/>
  <c r="H12" i="14"/>
  <c r="M11" i="14"/>
  <c r="L11" i="14"/>
  <c r="K11" i="14"/>
  <c r="J11" i="14"/>
  <c r="I11" i="14"/>
  <c r="H11" i="14"/>
  <c r="M10" i="14"/>
  <c r="L10" i="14"/>
  <c r="K10" i="14"/>
  <c r="J10" i="14"/>
  <c r="I10" i="14"/>
  <c r="H10" i="14"/>
  <c r="M9" i="14"/>
  <c r="L9" i="14"/>
  <c r="K9" i="14"/>
  <c r="J9" i="14"/>
  <c r="I9" i="14"/>
  <c r="H9" i="14"/>
  <c r="M8" i="14"/>
  <c r="L8" i="14"/>
  <c r="K8" i="14"/>
  <c r="J8" i="14"/>
  <c r="I8" i="14"/>
  <c r="H8" i="14"/>
  <c r="M7" i="14"/>
  <c r="L7" i="14"/>
  <c r="K7" i="14"/>
  <c r="J7" i="14"/>
  <c r="I7" i="14"/>
  <c r="H7" i="14"/>
  <c r="M6" i="14"/>
  <c r="L6" i="14"/>
  <c r="K6" i="14"/>
  <c r="J6" i="14"/>
  <c r="I6" i="14"/>
  <c r="H6" i="14"/>
  <c r="M5" i="14"/>
  <c r="L5" i="14"/>
  <c r="K5" i="14"/>
  <c r="J5" i="14"/>
  <c r="I5" i="14"/>
  <c r="H5" i="14"/>
  <c r="M4" i="14"/>
  <c r="L4" i="14"/>
  <c r="K4" i="14"/>
  <c r="J4" i="14"/>
  <c r="I4" i="14"/>
  <c r="H4" i="14"/>
  <c r="M3" i="14"/>
  <c r="L3" i="14"/>
  <c r="K3" i="14"/>
  <c r="J3" i="14"/>
  <c r="I3" i="14"/>
  <c r="H3" i="14"/>
  <c r="V3" i="14"/>
  <c r="U3" i="14"/>
  <c r="T3" i="14"/>
  <c r="S3" i="14"/>
  <c r="Y4" i="14" l="1"/>
  <c r="Z4" i="14"/>
  <c r="Z4" i="9" l="1"/>
  <c r="Y4" i="9"/>
  <c r="Y3" i="9"/>
  <c r="A3" i="9" l="1"/>
  <c r="S3" i="9" s="1"/>
  <c r="B3" i="9"/>
  <c r="T3" i="9" s="1"/>
  <c r="C3" i="9"/>
  <c r="U3" i="9" s="1"/>
  <c r="D3" i="9"/>
  <c r="V3" i="9" s="1"/>
  <c r="E3" i="9"/>
  <c r="F3" i="9"/>
  <c r="G3" i="9"/>
  <c r="H3" i="9"/>
  <c r="I3" i="9"/>
  <c r="J3" i="9"/>
  <c r="K3" i="9"/>
  <c r="L3" i="9"/>
  <c r="M3" i="9"/>
  <c r="A4" i="9"/>
  <c r="S4" i="9" s="1"/>
  <c r="B4" i="9"/>
  <c r="T4" i="9" s="1"/>
  <c r="C4" i="9"/>
  <c r="U4" i="9" s="1"/>
  <c r="D4" i="9"/>
  <c r="V4" i="9" s="1"/>
  <c r="E4" i="9"/>
  <c r="F4" i="9"/>
  <c r="G4" i="9"/>
  <c r="H4" i="9"/>
  <c r="I4" i="9"/>
  <c r="J4" i="9"/>
  <c r="K4" i="9"/>
  <c r="L4" i="9"/>
  <c r="M4" i="9"/>
  <c r="A5" i="9"/>
  <c r="S5" i="9" s="1"/>
  <c r="B5" i="9"/>
  <c r="T5" i="9" s="1"/>
  <c r="C5" i="9"/>
  <c r="U5" i="9" s="1"/>
  <c r="D5" i="9"/>
  <c r="V5" i="9" s="1"/>
  <c r="E5" i="9"/>
  <c r="F5" i="9"/>
  <c r="G5" i="9"/>
  <c r="H5" i="9"/>
  <c r="I5" i="9"/>
  <c r="J5" i="9"/>
  <c r="K5" i="9"/>
  <c r="L5" i="9"/>
  <c r="M5" i="9"/>
  <c r="A6" i="9"/>
  <c r="S6" i="9" s="1"/>
  <c r="B6" i="9"/>
  <c r="T6" i="9" s="1"/>
  <c r="C6" i="9"/>
  <c r="U6" i="9" s="1"/>
  <c r="D6" i="9"/>
  <c r="V6" i="9" s="1"/>
  <c r="E6" i="9"/>
  <c r="F6" i="9"/>
  <c r="G6" i="9"/>
  <c r="H6" i="9"/>
  <c r="I6" i="9"/>
  <c r="J6" i="9"/>
  <c r="K6" i="9"/>
  <c r="L6" i="9"/>
  <c r="M6" i="9"/>
  <c r="A7" i="9"/>
  <c r="S7" i="9" s="1"/>
  <c r="B7" i="9"/>
  <c r="T7" i="9" s="1"/>
  <c r="C7" i="9"/>
  <c r="U7" i="9" s="1"/>
  <c r="D7" i="9"/>
  <c r="V7" i="9" s="1"/>
  <c r="E7" i="9"/>
  <c r="F7" i="9"/>
  <c r="G7" i="9"/>
  <c r="H7" i="9"/>
  <c r="I7" i="9"/>
  <c r="J7" i="9"/>
  <c r="K7" i="9"/>
  <c r="L7" i="9"/>
  <c r="M7" i="9"/>
  <c r="A8" i="9"/>
  <c r="S8" i="9" s="1"/>
  <c r="B8" i="9"/>
  <c r="T8" i="9" s="1"/>
  <c r="C8" i="9"/>
  <c r="U8" i="9" s="1"/>
  <c r="D8" i="9"/>
  <c r="V8" i="9" s="1"/>
  <c r="E8" i="9"/>
  <c r="F8" i="9"/>
  <c r="G8" i="9"/>
  <c r="H8" i="9"/>
  <c r="I8" i="9"/>
  <c r="J8" i="9"/>
  <c r="K8" i="9"/>
  <c r="L8" i="9"/>
  <c r="M8" i="9"/>
  <c r="A9" i="9"/>
  <c r="S9" i="9" s="1"/>
  <c r="B9" i="9"/>
  <c r="T9" i="9" s="1"/>
  <c r="C9" i="9"/>
  <c r="U9" i="9" s="1"/>
  <c r="D9" i="9"/>
  <c r="V9" i="9" s="1"/>
  <c r="E9" i="9"/>
  <c r="F9" i="9"/>
  <c r="G9" i="9"/>
  <c r="H9" i="9"/>
  <c r="I9" i="9"/>
  <c r="J9" i="9"/>
  <c r="K9" i="9"/>
  <c r="L9" i="9"/>
  <c r="M9" i="9"/>
  <c r="A10" i="9"/>
  <c r="S10" i="9" s="1"/>
  <c r="B10" i="9"/>
  <c r="T10" i="9" s="1"/>
  <c r="C10" i="9"/>
  <c r="U10" i="9" s="1"/>
  <c r="D10" i="9"/>
  <c r="V10" i="9" s="1"/>
  <c r="E10" i="9"/>
  <c r="F10" i="9"/>
  <c r="G10" i="9"/>
  <c r="H10" i="9"/>
  <c r="I10" i="9"/>
  <c r="J10" i="9"/>
  <c r="K10" i="9"/>
  <c r="L10" i="9"/>
  <c r="M10" i="9"/>
  <c r="A11" i="9"/>
  <c r="S11" i="9" s="1"/>
  <c r="B11" i="9"/>
  <c r="T11" i="9" s="1"/>
  <c r="C11" i="9"/>
  <c r="U11" i="9" s="1"/>
  <c r="D11" i="9"/>
  <c r="V11" i="9" s="1"/>
  <c r="E11" i="9"/>
  <c r="F11" i="9"/>
  <c r="G11" i="9"/>
  <c r="H11" i="9"/>
  <c r="I11" i="9"/>
  <c r="J11" i="9"/>
  <c r="K11" i="9"/>
  <c r="L11" i="9"/>
  <c r="M11" i="9"/>
  <c r="A12" i="9"/>
  <c r="S12" i="9" s="1"/>
  <c r="B12" i="9"/>
  <c r="T12" i="9" s="1"/>
  <c r="C12" i="9"/>
  <c r="U12" i="9" s="1"/>
  <c r="D12" i="9"/>
  <c r="V12" i="9" s="1"/>
  <c r="E12" i="9"/>
  <c r="F12" i="9"/>
  <c r="G12" i="9"/>
  <c r="H12" i="9"/>
  <c r="I12" i="9"/>
  <c r="J12" i="9"/>
  <c r="K12" i="9"/>
  <c r="L12" i="9"/>
  <c r="M12" i="9"/>
  <c r="A13" i="9"/>
  <c r="S13" i="9" s="1"/>
  <c r="B13" i="9"/>
  <c r="T13" i="9" s="1"/>
  <c r="C13" i="9"/>
  <c r="U13" i="9" s="1"/>
  <c r="D13" i="9"/>
  <c r="V13" i="9" s="1"/>
  <c r="E13" i="9"/>
  <c r="F13" i="9"/>
  <c r="G13" i="9"/>
  <c r="H13" i="9"/>
  <c r="I13" i="9"/>
  <c r="J13" i="9"/>
  <c r="K13" i="9"/>
  <c r="L13" i="9"/>
  <c r="M13" i="9"/>
  <c r="A14" i="9"/>
  <c r="S14" i="9" s="1"/>
  <c r="B14" i="9"/>
  <c r="T14" i="9" s="1"/>
  <c r="C14" i="9"/>
  <c r="U14" i="9" s="1"/>
  <c r="D14" i="9"/>
  <c r="V14" i="9" s="1"/>
  <c r="E14" i="9"/>
  <c r="F14" i="9"/>
  <c r="G14" i="9"/>
  <c r="H14" i="9"/>
  <c r="I14" i="9"/>
  <c r="J14" i="9"/>
  <c r="K14" i="9"/>
  <c r="L14" i="9"/>
  <c r="M14" i="9"/>
  <c r="A15" i="9"/>
  <c r="S15" i="9" s="1"/>
  <c r="B15" i="9"/>
  <c r="T15" i="9" s="1"/>
  <c r="C15" i="9"/>
  <c r="U15" i="9" s="1"/>
  <c r="D15" i="9"/>
  <c r="V15" i="9" s="1"/>
  <c r="E15" i="9"/>
  <c r="F15" i="9"/>
  <c r="G15" i="9"/>
  <c r="H15" i="9"/>
  <c r="I15" i="9"/>
  <c r="J15" i="9"/>
  <c r="K15" i="9"/>
  <c r="L15" i="9"/>
  <c r="M15" i="9"/>
  <c r="A16" i="9"/>
  <c r="S16" i="9" s="1"/>
  <c r="B16" i="9"/>
  <c r="T16" i="9" s="1"/>
  <c r="C16" i="9"/>
  <c r="U16" i="9" s="1"/>
  <c r="D16" i="9"/>
  <c r="V16" i="9" s="1"/>
  <c r="E16" i="9"/>
  <c r="F16" i="9"/>
  <c r="G16" i="9"/>
  <c r="H16" i="9"/>
  <c r="I16" i="9"/>
  <c r="J16" i="9"/>
  <c r="K16" i="9"/>
  <c r="L16" i="9"/>
  <c r="M16" i="9"/>
  <c r="A17" i="9"/>
  <c r="S17" i="9" s="1"/>
  <c r="B17" i="9"/>
  <c r="T17" i="9" s="1"/>
  <c r="C17" i="9"/>
  <c r="U17" i="9" s="1"/>
  <c r="D17" i="9"/>
  <c r="V17" i="9" s="1"/>
  <c r="E17" i="9"/>
  <c r="F17" i="9"/>
  <c r="G17" i="9"/>
  <c r="H17" i="9"/>
  <c r="I17" i="9"/>
  <c r="J17" i="9"/>
  <c r="K17" i="9"/>
  <c r="L17" i="9"/>
  <c r="M17" i="9"/>
  <c r="Z3" i="9" l="1"/>
  <c r="X3" i="9"/>
  <c r="W3" i="9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W17" i="8"/>
  <c r="X16" i="8"/>
  <c r="W16" i="8"/>
  <c r="V16" i="8"/>
  <c r="U16" i="8"/>
  <c r="T16" i="8"/>
  <c r="W15" i="8"/>
  <c r="V15" i="8"/>
  <c r="Y17" i="8"/>
  <c r="X17" i="8"/>
  <c r="V17" i="8"/>
  <c r="U17" i="8"/>
  <c r="T17" i="8"/>
  <c r="Y16" i="8"/>
  <c r="Y15" i="8"/>
  <c r="X15" i="8"/>
  <c r="U15" i="8"/>
  <c r="T15" i="8"/>
  <c r="Y14" i="8"/>
  <c r="X14" i="8"/>
  <c r="W14" i="8"/>
  <c r="V14" i="8"/>
  <c r="U14" i="8"/>
  <c r="T14" i="8"/>
  <c r="Y13" i="8"/>
  <c r="X13" i="8"/>
  <c r="W13" i="8"/>
  <c r="V13" i="8"/>
  <c r="U13" i="8"/>
  <c r="T13" i="8"/>
  <c r="Y12" i="8"/>
  <c r="X12" i="8"/>
  <c r="W12" i="8"/>
  <c r="V12" i="8"/>
  <c r="U12" i="8"/>
  <c r="T12" i="8"/>
  <c r="Y11" i="8"/>
  <c r="X11" i="8"/>
  <c r="W11" i="8"/>
  <c r="V11" i="8"/>
  <c r="U11" i="8"/>
  <c r="T11" i="8"/>
  <c r="Y10" i="8"/>
  <c r="X10" i="8"/>
  <c r="W10" i="8"/>
  <c r="V10" i="8"/>
  <c r="U10" i="8"/>
  <c r="T10" i="8"/>
  <c r="Y9" i="8"/>
  <c r="X9" i="8"/>
  <c r="W9" i="8"/>
  <c r="V9" i="8"/>
  <c r="U9" i="8"/>
  <c r="T9" i="8"/>
  <c r="Y8" i="8"/>
  <c r="X8" i="8"/>
  <c r="W8" i="8"/>
  <c r="V8" i="8"/>
  <c r="U8" i="8"/>
  <c r="T8" i="8"/>
  <c r="Y7" i="8"/>
  <c r="X7" i="8"/>
  <c r="W7" i="8"/>
  <c r="V7" i="8"/>
  <c r="U7" i="8"/>
  <c r="T7" i="8"/>
  <c r="Y6" i="8"/>
  <c r="X6" i="8"/>
  <c r="W6" i="8"/>
  <c r="V6" i="8"/>
  <c r="U6" i="8"/>
  <c r="T6" i="8"/>
  <c r="Y5" i="8"/>
  <c r="X5" i="8"/>
  <c r="W5" i="8"/>
  <c r="V5" i="8"/>
  <c r="U5" i="8"/>
  <c r="T5" i="8"/>
  <c r="Y4" i="8"/>
  <c r="X4" i="8"/>
  <c r="W4" i="8"/>
  <c r="V4" i="8"/>
  <c r="U4" i="8"/>
  <c r="T4" i="8"/>
  <c r="Y3" i="8"/>
  <c r="X3" i="8"/>
  <c r="W3" i="8"/>
  <c r="V3" i="8"/>
  <c r="U3" i="8"/>
  <c r="T3" i="8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</calcChain>
</file>

<file path=xl/sharedStrings.xml><?xml version="1.0" encoding="utf-8"?>
<sst xmlns="http://schemas.openxmlformats.org/spreadsheetml/2006/main" count="248" uniqueCount="39">
  <si>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</si>
  <si>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</si>
  <si>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</si>
  <si>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</si>
  <si>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</si>
  <si>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</si>
  <si>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</si>
  <si>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</si>
  <si>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</si>
  <si>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</si>
  <si>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</si>
  <si>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</si>
  <si>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</si>
  <si>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</si>
  <si>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</si>
  <si>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</si>
  <si>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</si>
  <si>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</si>
  <si>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</si>
  <si>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</si>
  <si>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</si>
  <si>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</si>
  <si>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</si>
  <si>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</si>
  <si>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</si>
  <si>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roll (rad)</t>
  </si>
  <si>
    <t>pitch (deg)</t>
  </si>
  <si>
    <t>f_final</t>
  </si>
  <si>
    <t>Force Error</t>
  </si>
  <si>
    <t>Position Error</t>
  </si>
  <si>
    <t>Mean Average Error</t>
  </si>
  <si>
    <t>Roll Error</t>
  </si>
  <si>
    <t>Pitch Error</t>
  </si>
  <si>
    <t>σ = [0, 0.006250, 0.006250, 0.300, 0, 0]</t>
  </si>
  <si>
    <t>σ = [0, 0.003125, 0, 0.150, 0, 0]</t>
  </si>
  <si>
    <t>σ = [0, 0, 0, 0, 0.1250, 0.1250]</t>
  </si>
  <si>
    <t>[</t>
  </si>
  <si>
    <t>;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</si>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</sst>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31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1" fillId="6" borderId="1" xfId="0" applyFont="1" applyFill="1" applyBorder="1" applyAlignment="1">
      <alignment wrapText="1"/>
    </xf>
    <xf numFmtId="11" fontId="0" fillId="0" borderId="0" xfId="0" applyNumberFormat="1"/>
    <xf numFmtId="0" fontId="1" fillId="4" borderId="1" xfId="0" applyFont="1" applyFill="1" applyBorder="1" applyAlignment="1">
      <alignment horizontal="center"/>
    </xf>
    <xf numFmtId="166" fontId="2" fillId="8" borderId="1" xfId="0" applyNumberFormat="1" applyFont="1" applyFill="1" applyBorder="1"/>
    <xf numFmtId="165" fontId="2" fillId="8" borderId="1" xfId="0" applyNumberFormat="1" applyFont="1" applyFill="1" applyBorder="1"/>
    <xf numFmtId="164" fontId="2" fillId="8" borderId="1" xfId="0" applyNumberFormat="1" applyFont="1" applyFill="1" applyBorder="1"/>
    <xf numFmtId="11" fontId="2" fillId="8" borderId="1" xfId="0" applyNumberFormat="1" applyFont="1" applyFill="1" applyBorder="1"/>
    <xf numFmtId="164" fontId="3" fillId="9" borderId="1" xfId="1" applyNumberFormat="1" applyBorder="1"/>
    <xf numFmtId="165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Y17"/>
  <sheetViews>
    <sheetView workbookViewId="0">
      <selection activeCell="I15" sqref="I15"/>
    </sheetView>
  </sheetViews>
  <sheetFormatPr defaultRowHeight="15" x14ac:dyDescent="0.25"/>
  <cols>
    <col min="4" max="4" width="10.85546875" bestFit="1" customWidth="1"/>
  </cols>
  <sheetData>
    <row r="1" spans="1:25" ht="15.75" x14ac:dyDescent="0.25">
      <c r="A1" s="13" t="s">
        <v>13</v>
      </c>
      <c r="B1" s="13"/>
      <c r="C1" s="13"/>
      <c r="D1" s="13"/>
      <c r="E1" s="13"/>
      <c r="F1" s="13"/>
      <c r="G1" s="14"/>
      <c r="H1" s="15" t="s">
        <v>6</v>
      </c>
      <c r="I1" s="16"/>
      <c r="J1" s="16"/>
      <c r="K1" s="16"/>
      <c r="L1" s="16"/>
      <c r="M1" s="16"/>
      <c r="N1" s="17" t="s">
        <v>14</v>
      </c>
      <c r="O1" s="18"/>
      <c r="P1" s="18"/>
      <c r="Q1" s="18"/>
      <c r="R1" s="18"/>
      <c r="S1" s="18"/>
      <c r="T1" s="19" t="s">
        <v>16</v>
      </c>
      <c r="U1" s="20"/>
      <c r="V1" s="20"/>
      <c r="W1" s="20"/>
      <c r="X1" s="20"/>
      <c r="Y1" s="21"/>
    </row>
    <row r="2" spans="1:25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2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3" t="s">
        <v>3</v>
      </c>
      <c r="O2" s="1" t="s">
        <v>4</v>
      </c>
      <c r="P2" s="1" t="s">
        <v>5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0</v>
      </c>
      <c r="X2" s="1" t="s">
        <v>1</v>
      </c>
      <c r="Y2" s="1" t="s">
        <v>2</v>
      </c>
    </row>
    <row r="3" spans="1:25" x14ac:dyDescent="0.25">
      <c r="A3" s="11">
        <v>0.3</v>
      </c>
      <c r="B3" s="11">
        <v>0.08</v>
      </c>
      <c r="C3" s="11">
        <v>1.571</v>
      </c>
      <c r="D3" s="11">
        <v>0.78500000000000003</v>
      </c>
      <c r="E3" s="11">
        <v>1.4</v>
      </c>
      <c r="F3" s="11">
        <v>0</v>
      </c>
      <c r="G3" s="11">
        <v>0</v>
      </c>
      <c r="H3" s="9">
        <v>2.6342464843764901E-4</v>
      </c>
      <c r="I3" s="9">
        <v>-3.2978262752294499E-2</v>
      </c>
      <c r="J3" s="9">
        <v>5.6162860710173802E-4</v>
      </c>
      <c r="K3" s="9">
        <v>0.185834720730782</v>
      </c>
      <c r="L3" s="9">
        <v>1.13257020711899E-3</v>
      </c>
      <c r="M3" s="9">
        <v>0.19288232922553999</v>
      </c>
      <c r="N3" s="9">
        <v>2.5576521975731686E-4</v>
      </c>
      <c r="O3" s="9">
        <v>-3.7226280631043634E-2</v>
      </c>
      <c r="P3" s="9">
        <v>9.4620553006424281E-4</v>
      </c>
      <c r="Q3" s="9">
        <v>0.20223599365571238</v>
      </c>
      <c r="R3" s="9">
        <v>7.0017163450382669E-3</v>
      </c>
      <c r="S3" s="9">
        <v>0.22147413665389248</v>
      </c>
      <c r="T3" s="7">
        <f t="shared" ref="T3:Y17" si="0">ABS(H3-N3)</f>
        <v>7.6594286803321468E-6</v>
      </c>
      <c r="U3" s="7">
        <f t="shared" si="0"/>
        <v>4.2480178787491357E-3</v>
      </c>
      <c r="V3" s="7">
        <f t="shared" si="0"/>
        <v>3.8457692296250479E-4</v>
      </c>
      <c r="W3" s="7">
        <f t="shared" si="0"/>
        <v>1.6401272924930377E-2</v>
      </c>
      <c r="X3" s="7">
        <f t="shared" si="0"/>
        <v>5.8691461379192771E-3</v>
      </c>
      <c r="Y3" s="7">
        <f t="shared" si="0"/>
        <v>2.8591807428352489E-2</v>
      </c>
    </row>
    <row r="4" spans="1:25" x14ac:dyDescent="0.25">
      <c r="A4" s="11">
        <v>0.4</v>
      </c>
      <c r="B4" s="11">
        <v>0.14000000000000001</v>
      </c>
      <c r="C4" s="11">
        <v>1.571</v>
      </c>
      <c r="D4" s="11">
        <v>0.78500000000000003</v>
      </c>
      <c r="E4" s="11">
        <v>0</v>
      </c>
      <c r="F4" s="11">
        <v>0</v>
      </c>
      <c r="G4" s="11">
        <v>0</v>
      </c>
      <c r="H4" s="9">
        <v>-4.3474312406033299E-4</v>
      </c>
      <c r="I4" s="9">
        <v>-6.2425632029771798E-2</v>
      </c>
      <c r="J4" s="9">
        <v>2.5845002382993698E-3</v>
      </c>
      <c r="K4" s="9">
        <v>0.25303724408149703</v>
      </c>
      <c r="L4" s="9">
        <v>1.07369087636471E-2</v>
      </c>
      <c r="M4" s="9">
        <v>0.27653545141220098</v>
      </c>
      <c r="N4" s="9">
        <v>-2.3506608086640328E-22</v>
      </c>
      <c r="O4" s="9">
        <v>-7.0209886426879364E-2</v>
      </c>
      <c r="P4" s="9">
        <v>-1.4299872796236309E-5</v>
      </c>
      <c r="Q4" s="9">
        <v>0.24315922859426675</v>
      </c>
      <c r="R4" s="9">
        <v>-6.4687768298251936E-5</v>
      </c>
      <c r="S4" s="9">
        <v>0.31760568294173408</v>
      </c>
      <c r="T4" s="7">
        <f t="shared" si="0"/>
        <v>4.3474312406033299E-4</v>
      </c>
      <c r="U4" s="7">
        <f t="shared" si="0"/>
        <v>7.7842543971075664E-3</v>
      </c>
      <c r="V4" s="7">
        <f t="shared" si="0"/>
        <v>2.5988001110956063E-3</v>
      </c>
      <c r="W4" s="7">
        <f t="shared" si="0"/>
        <v>9.8780154872302739E-3</v>
      </c>
      <c r="X4" s="7">
        <f t="shared" si="0"/>
        <v>1.0801596531945352E-2</v>
      </c>
      <c r="Y4" s="7">
        <f t="shared" si="0"/>
        <v>4.1070231529533097E-2</v>
      </c>
    </row>
    <row r="5" spans="1:25" x14ac:dyDescent="0.25">
      <c r="A5" s="11">
        <v>0.6</v>
      </c>
      <c r="B5" s="11">
        <v>0.16</v>
      </c>
      <c r="C5" s="11">
        <v>1.571</v>
      </c>
      <c r="D5" s="11">
        <v>0.78500000000000003</v>
      </c>
      <c r="E5" s="11">
        <v>1.4</v>
      </c>
      <c r="F5" s="11">
        <v>0</v>
      </c>
      <c r="G5" s="11">
        <v>0</v>
      </c>
      <c r="H5" s="9">
        <v>5.3234044462442398E-3</v>
      </c>
      <c r="I5" s="9">
        <v>-0.12275674194097499</v>
      </c>
      <c r="J5" s="9">
        <v>-8.3989212289452605E-3</v>
      </c>
      <c r="K5" s="9">
        <v>0.26806160807609603</v>
      </c>
      <c r="L5" s="9">
        <v>-2.4467468261718799E-2</v>
      </c>
      <c r="M5" s="9">
        <v>0.52633810043335005</v>
      </c>
      <c r="N5" s="9">
        <v>2.798541863675784E-3</v>
      </c>
      <c r="O5" s="9">
        <v>-0.12625979658283737</v>
      </c>
      <c r="P5" s="9">
        <v>8.3980934461643335E-3</v>
      </c>
      <c r="Q5" s="9">
        <v>0.24824729751458491</v>
      </c>
      <c r="R5" s="9">
        <v>4.1682679507313261E-2</v>
      </c>
      <c r="S5" s="9">
        <v>0.54462428818495112</v>
      </c>
      <c r="T5" s="7">
        <f t="shared" si="0"/>
        <v>2.5248625825684558E-3</v>
      </c>
      <c r="U5" s="7">
        <f t="shared" si="0"/>
        <v>3.5030546418623743E-3</v>
      </c>
      <c r="V5" s="7">
        <f t="shared" si="0"/>
        <v>1.6797014675109592E-2</v>
      </c>
      <c r="W5" s="7">
        <f t="shared" si="0"/>
        <v>1.9814310561511117E-2</v>
      </c>
      <c r="X5" s="7">
        <f t="shared" si="0"/>
        <v>6.6150147769032053E-2</v>
      </c>
      <c r="Y5" s="7">
        <f t="shared" si="0"/>
        <v>1.8286187751601068E-2</v>
      </c>
    </row>
    <row r="6" spans="1:25" x14ac:dyDescent="0.25">
      <c r="A6" s="11">
        <v>0.4</v>
      </c>
      <c r="B6" s="11">
        <v>0.06</v>
      </c>
      <c r="C6" s="11">
        <v>1.571</v>
      </c>
      <c r="D6" s="11">
        <v>1.571</v>
      </c>
      <c r="E6" s="11">
        <v>1.4</v>
      </c>
      <c r="F6" s="11">
        <v>0</v>
      </c>
      <c r="G6" s="11">
        <v>0</v>
      </c>
      <c r="H6" s="9">
        <v>6.7002582363784302E-4</v>
      </c>
      <c r="I6" s="9">
        <v>-6.6750191152095795E-2</v>
      </c>
      <c r="J6" s="9">
        <v>1.6002767952158999E-3</v>
      </c>
      <c r="K6" s="9">
        <v>-3.97013984620571E-2</v>
      </c>
      <c r="L6" s="9">
        <v>7.3561742901802098E-3</v>
      </c>
      <c r="M6" s="9">
        <v>0.423814177513123</v>
      </c>
      <c r="N6" s="9">
        <v>2.5448514051700226E-4</v>
      </c>
      <c r="O6" s="9">
        <v>-5.99150751607785E-2</v>
      </c>
      <c r="P6" s="9">
        <v>-2.2999104986082312E-5</v>
      </c>
      <c r="Q6" s="9">
        <v>-1.5544495760634738E-2</v>
      </c>
      <c r="R6" s="9">
        <v>-2.1944765443540455E-4</v>
      </c>
      <c r="S6" s="9">
        <v>0.39969696493597712</v>
      </c>
      <c r="T6" s="7">
        <f t="shared" si="0"/>
        <v>4.1554068312084076E-4</v>
      </c>
      <c r="U6" s="7">
        <f t="shared" si="0"/>
        <v>6.8351159913172949E-3</v>
      </c>
      <c r="V6" s="7">
        <f t="shared" si="0"/>
        <v>1.6232759002019822E-3</v>
      </c>
      <c r="W6" s="7">
        <f t="shared" si="0"/>
        <v>2.4156902701422362E-2</v>
      </c>
      <c r="X6" s="7">
        <f t="shared" si="0"/>
        <v>7.5756219446156143E-3</v>
      </c>
      <c r="Y6" s="7">
        <f t="shared" si="0"/>
        <v>2.4117212577145886E-2</v>
      </c>
    </row>
    <row r="7" spans="1:25" x14ac:dyDescent="0.25">
      <c r="A7" s="11">
        <v>0.8</v>
      </c>
      <c r="B7" s="11">
        <v>0.08</v>
      </c>
      <c r="C7" s="11">
        <v>1.571</v>
      </c>
      <c r="D7" s="11">
        <v>1.571</v>
      </c>
      <c r="E7" s="11">
        <v>0</v>
      </c>
      <c r="F7" s="11">
        <v>0</v>
      </c>
      <c r="G7" s="11">
        <v>0</v>
      </c>
      <c r="H7" s="9">
        <v>7.4092089198529699E-4</v>
      </c>
      <c r="I7" s="9">
        <v>-0.14775538444519001</v>
      </c>
      <c r="J7" s="9">
        <v>3.4220633096993E-3</v>
      </c>
      <c r="K7" s="9">
        <v>-0.161362335085869</v>
      </c>
      <c r="L7" s="9">
        <v>2.0262047648429898E-2</v>
      </c>
      <c r="M7" s="9">
        <v>0.82944488525390603</v>
      </c>
      <c r="N7" s="9">
        <v>-1.7162285161582179E-22</v>
      </c>
      <c r="O7" s="9">
        <v>-0.13554725440000123</v>
      </c>
      <c r="P7" s="9">
        <v>-2.7607344128348141E-5</v>
      </c>
      <c r="Q7" s="9">
        <v>-7.7940341268329036E-2</v>
      </c>
      <c r="R7" s="9">
        <v>-1.6216310695792429E-4</v>
      </c>
      <c r="S7" s="9">
        <v>0.79619262942971036</v>
      </c>
      <c r="T7" s="7">
        <f t="shared" si="0"/>
        <v>7.4092089198529699E-4</v>
      </c>
      <c r="U7" s="7">
        <f t="shared" si="0"/>
        <v>1.2208130045188781E-2</v>
      </c>
      <c r="V7" s="7">
        <f t="shared" si="0"/>
        <v>3.449670653827648E-3</v>
      </c>
      <c r="W7" s="7">
        <f t="shared" si="0"/>
        <v>8.3421993817539966E-2</v>
      </c>
      <c r="X7" s="7">
        <f t="shared" si="0"/>
        <v>2.0424210755387823E-2</v>
      </c>
      <c r="Y7" s="7">
        <f t="shared" si="0"/>
        <v>3.3252255824195665E-2</v>
      </c>
    </row>
    <row r="8" spans="1:25" x14ac:dyDescent="0.25">
      <c r="A8" s="11">
        <v>0.7</v>
      </c>
      <c r="B8" s="11">
        <v>0.16</v>
      </c>
      <c r="C8" s="11">
        <v>1.571</v>
      </c>
      <c r="D8" s="11">
        <v>1.571</v>
      </c>
      <c r="E8" s="11">
        <v>1.4</v>
      </c>
      <c r="F8" s="11">
        <v>0</v>
      </c>
      <c r="G8" s="11">
        <v>0</v>
      </c>
      <c r="H8" s="9">
        <v>6.6551081836223602E-3</v>
      </c>
      <c r="I8" s="9">
        <v>-0.148307904601097</v>
      </c>
      <c r="J8" s="9">
        <v>-1.0527462000027299E-3</v>
      </c>
      <c r="K8" s="9">
        <v>-0.444706320762634</v>
      </c>
      <c r="L8" s="9">
        <v>-2.19946205615997E-2</v>
      </c>
      <c r="M8" s="9">
        <v>0.489793181419373</v>
      </c>
      <c r="N8" s="9">
        <v>4.3386998056907803E-3</v>
      </c>
      <c r="O8" s="9">
        <v>-0.16297254682459356</v>
      </c>
      <c r="P8" s="9">
        <v>-7.6315491899809219E-4</v>
      </c>
      <c r="Q8" s="9">
        <v>-0.33942038642467326</v>
      </c>
      <c r="R8" s="9">
        <v>-1.1902290752192514E-2</v>
      </c>
      <c r="S8" s="9">
        <v>0.61206529022359268</v>
      </c>
      <c r="T8" s="7">
        <f t="shared" si="0"/>
        <v>2.31640837793158E-3</v>
      </c>
      <c r="U8" s="7">
        <f t="shared" si="0"/>
        <v>1.466464222349656E-2</v>
      </c>
      <c r="V8" s="7">
        <f t="shared" si="0"/>
        <v>2.895912810046377E-4</v>
      </c>
      <c r="W8" s="7">
        <f t="shared" si="0"/>
        <v>0.10528593433796074</v>
      </c>
      <c r="X8" s="7">
        <f t="shared" si="0"/>
        <v>1.0092329809407186E-2</v>
      </c>
      <c r="Y8" s="7">
        <f t="shared" si="0"/>
        <v>0.12227210880421968</v>
      </c>
    </row>
    <row r="9" spans="1:25" x14ac:dyDescent="0.25">
      <c r="A9" s="11">
        <v>0.7</v>
      </c>
      <c r="B9" s="11">
        <v>0.2</v>
      </c>
      <c r="C9" s="11">
        <v>1.571</v>
      </c>
      <c r="D9" s="11">
        <v>1.571</v>
      </c>
      <c r="E9" s="11">
        <v>0</v>
      </c>
      <c r="F9" s="11">
        <v>0</v>
      </c>
      <c r="G9" s="11">
        <v>0</v>
      </c>
      <c r="H9" s="9">
        <v>8.7637116666883198E-4</v>
      </c>
      <c r="I9" s="9">
        <v>-0.164488449692726</v>
      </c>
      <c r="J9" s="9">
        <v>3.7763002328574701E-3</v>
      </c>
      <c r="K9" s="9">
        <v>-0.58729076385498002</v>
      </c>
      <c r="L9" s="9">
        <v>7.8071318566799199E-3</v>
      </c>
      <c r="M9" s="9">
        <v>0.38755592703819303</v>
      </c>
      <c r="N9" s="9">
        <v>-5.5758536709740483E-23</v>
      </c>
      <c r="O9" s="9">
        <v>-0.17090379169933956</v>
      </c>
      <c r="P9" s="9">
        <v>-3.4808523501034842E-5</v>
      </c>
      <c r="Q9" s="9">
        <v>-0.49229759799085399</v>
      </c>
      <c r="R9" s="9">
        <v>-1.0135522206445177E-4</v>
      </c>
      <c r="S9" s="9">
        <v>0.49763649868195081</v>
      </c>
      <c r="T9" s="7">
        <f t="shared" si="0"/>
        <v>8.7637116666883198E-4</v>
      </c>
      <c r="U9" s="7">
        <f t="shared" si="0"/>
        <v>6.4153420066135614E-3</v>
      </c>
      <c r="V9" s="7">
        <f t="shared" si="0"/>
        <v>3.811108756358505E-3</v>
      </c>
      <c r="W9" s="7">
        <f t="shared" si="0"/>
        <v>9.4993165864126039E-2</v>
      </c>
      <c r="X9" s="7">
        <f t="shared" si="0"/>
        <v>7.9084870787443709E-3</v>
      </c>
      <c r="Y9" s="7">
        <f t="shared" si="0"/>
        <v>0.11008057164375779</v>
      </c>
    </row>
    <row r="10" spans="1:25" x14ac:dyDescent="0.25">
      <c r="A10" s="11">
        <v>0.7</v>
      </c>
      <c r="B10" s="11">
        <v>0.06</v>
      </c>
      <c r="C10" s="11">
        <v>3.665</v>
      </c>
      <c r="D10" s="11">
        <v>0.78500000000000003</v>
      </c>
      <c r="E10" s="11">
        <v>0</v>
      </c>
      <c r="F10" s="11">
        <v>0</v>
      </c>
      <c r="G10" s="11">
        <v>0</v>
      </c>
      <c r="H10" s="9">
        <v>-8.6323916912078901E-4</v>
      </c>
      <c r="I10" s="9">
        <v>4.2902048677205998E-2</v>
      </c>
      <c r="J10" s="9">
        <v>-8.0319754779338795E-2</v>
      </c>
      <c r="K10" s="9">
        <v>0.61245459318161</v>
      </c>
      <c r="L10" s="9">
        <v>-0.54026973247528098</v>
      </c>
      <c r="M10" s="9">
        <v>-0.28817486763000499</v>
      </c>
      <c r="N10" s="9">
        <v>2.7995589843435515E-20</v>
      </c>
      <c r="O10" s="9">
        <v>3.792534799908652E-2</v>
      </c>
      <c r="P10" s="9">
        <v>-6.5717679335673934E-2</v>
      </c>
      <c r="Q10" s="9">
        <v>0.47927588649329234</v>
      </c>
      <c r="R10" s="9">
        <v>-0.44188672500366905</v>
      </c>
      <c r="S10" s="9">
        <v>-0.25501064540548318</v>
      </c>
      <c r="T10" s="7">
        <f t="shared" si="0"/>
        <v>8.6323916912078901E-4</v>
      </c>
      <c r="U10" s="7">
        <f t="shared" si="0"/>
        <v>4.9767006781194778E-3</v>
      </c>
      <c r="V10" s="7">
        <f t="shared" si="0"/>
        <v>1.4602075443664861E-2</v>
      </c>
      <c r="W10" s="7">
        <f t="shared" si="0"/>
        <v>0.13317870668831766</v>
      </c>
      <c r="X10" s="7">
        <f t="shared" si="0"/>
        <v>9.8383007471611938E-2</v>
      </c>
      <c r="Y10" s="7">
        <f t="shared" si="0"/>
        <v>3.3164222224521811E-2</v>
      </c>
    </row>
    <row r="11" spans="1:25" x14ac:dyDescent="0.25">
      <c r="A11" s="11">
        <v>0.6</v>
      </c>
      <c r="B11" s="11">
        <v>0.1</v>
      </c>
      <c r="C11" s="11">
        <v>3.665</v>
      </c>
      <c r="D11" s="11">
        <v>0.78500000000000003</v>
      </c>
      <c r="E11" s="11">
        <v>0</v>
      </c>
      <c r="F11" s="11">
        <v>0</v>
      </c>
      <c r="G11" s="11">
        <v>0</v>
      </c>
      <c r="H11" s="9">
        <v>-8.0120982602238698E-4</v>
      </c>
      <c r="I11" s="9">
        <v>4.2666438966989503E-2</v>
      </c>
      <c r="J11" s="9">
        <v>-8.0293677747249603E-2</v>
      </c>
      <c r="K11" s="9">
        <v>0.443310797214508</v>
      </c>
      <c r="L11" s="9">
        <v>-0.42717015743255599</v>
      </c>
      <c r="M11" s="9">
        <v>-0.22529536485672</v>
      </c>
      <c r="N11" s="9">
        <v>1.5747450944938743E-19</v>
      </c>
      <c r="O11" s="9">
        <v>4.2595102522452237E-2</v>
      </c>
      <c r="P11" s="9">
        <v>-7.3809508324303205E-2</v>
      </c>
      <c r="Q11" s="9">
        <v>0.38527891178775336</v>
      </c>
      <c r="R11" s="9">
        <v>-0.39837766895696269</v>
      </c>
      <c r="S11" s="9">
        <v>-0.22990178416200094</v>
      </c>
      <c r="T11" s="7">
        <f t="shared" si="0"/>
        <v>8.0120982602238709E-4</v>
      </c>
      <c r="U11" s="7">
        <f t="shared" si="0"/>
        <v>7.1336444537266341E-5</v>
      </c>
      <c r="V11" s="7">
        <f t="shared" si="0"/>
        <v>6.4841694229463981E-3</v>
      </c>
      <c r="W11" s="7">
        <f t="shared" si="0"/>
        <v>5.8031885426754637E-2</v>
      </c>
      <c r="X11" s="7">
        <f t="shared" si="0"/>
        <v>2.8792488475593292E-2</v>
      </c>
      <c r="Y11" s="7">
        <f t="shared" si="0"/>
        <v>4.6064193052809399E-3</v>
      </c>
    </row>
    <row r="12" spans="1:25" x14ac:dyDescent="0.25">
      <c r="A12" s="11">
        <v>0.8</v>
      </c>
      <c r="B12" s="11">
        <v>0.18</v>
      </c>
      <c r="C12" s="11">
        <v>3.665</v>
      </c>
      <c r="D12" s="11">
        <v>0.78500000000000003</v>
      </c>
      <c r="E12" s="11">
        <v>1.4</v>
      </c>
      <c r="F12" s="11">
        <v>0</v>
      </c>
      <c r="G12" s="11">
        <v>0</v>
      </c>
      <c r="H12" s="9">
        <v>-5.5334065109491301E-5</v>
      </c>
      <c r="I12" s="9">
        <v>7.7956624329090105E-2</v>
      </c>
      <c r="J12" s="9">
        <v>-0.13737398386001601</v>
      </c>
      <c r="K12" s="9">
        <v>0.41918036341667197</v>
      </c>
      <c r="L12" s="9">
        <v>-0.55125319957733199</v>
      </c>
      <c r="M12" s="9">
        <v>-0.30630308389663702</v>
      </c>
      <c r="N12" s="9">
        <v>1.2806708318919579E-6</v>
      </c>
      <c r="O12" s="9">
        <v>8.9598764692502594E-2</v>
      </c>
      <c r="P12" s="9">
        <v>-0.15526663956471159</v>
      </c>
      <c r="Q12" s="9">
        <v>0.32090141234171987</v>
      </c>
      <c r="R12" s="9">
        <v>-0.63470132138424606</v>
      </c>
      <c r="S12" s="9">
        <v>-0.36626056034599003</v>
      </c>
      <c r="T12" s="7">
        <f t="shared" si="0"/>
        <v>5.6614735941383257E-5</v>
      </c>
      <c r="U12" s="7">
        <f t="shared" si="0"/>
        <v>1.164214036341249E-2</v>
      </c>
      <c r="V12" s="7">
        <f t="shared" si="0"/>
        <v>1.7892655704695587E-2</v>
      </c>
      <c r="W12" s="7">
        <f t="shared" si="0"/>
        <v>9.8278951074952103E-2</v>
      </c>
      <c r="X12" s="7">
        <f t="shared" si="0"/>
        <v>8.3448121806914077E-2</v>
      </c>
      <c r="Y12" s="7">
        <f t="shared" si="0"/>
        <v>5.9957476449353009E-2</v>
      </c>
    </row>
    <row r="13" spans="1:25" x14ac:dyDescent="0.25">
      <c r="A13" s="11">
        <v>0.4</v>
      </c>
      <c r="B13" s="11">
        <v>0.2</v>
      </c>
      <c r="C13" s="11">
        <v>3.665</v>
      </c>
      <c r="D13" s="11">
        <v>0.78500000000000003</v>
      </c>
      <c r="E13" s="11">
        <v>1.4</v>
      </c>
      <c r="F13" s="11">
        <v>0</v>
      </c>
      <c r="G13" s="11">
        <v>0</v>
      </c>
      <c r="H13" s="9">
        <v>-9.6024014055728899E-5</v>
      </c>
      <c r="I13" s="9">
        <v>3.4424368292093298E-2</v>
      </c>
      <c r="J13" s="9">
        <v>-6.16564750671387E-2</v>
      </c>
      <c r="K13" s="9">
        <v>0.267098218202591</v>
      </c>
      <c r="L13" s="9">
        <v>-0.21448078751564001</v>
      </c>
      <c r="M13" s="9">
        <v>-0.115060687065125</v>
      </c>
      <c r="N13" s="9">
        <v>7.959213047865645E-7</v>
      </c>
      <c r="O13" s="9">
        <v>4.2758901408250199E-2</v>
      </c>
      <c r="P13" s="9">
        <v>-7.409874477888824E-2</v>
      </c>
      <c r="Q13" s="9">
        <v>0.24266050564310035</v>
      </c>
      <c r="R13" s="9">
        <v>-0.27541643284696821</v>
      </c>
      <c r="S13" s="9">
        <v>-0.15892726955619746</v>
      </c>
      <c r="T13" s="7">
        <f t="shared" si="0"/>
        <v>9.6819935360515464E-5</v>
      </c>
      <c r="U13" s="7">
        <f t="shared" si="0"/>
        <v>8.3345331161569017E-3</v>
      </c>
      <c r="V13" s="7">
        <f t="shared" si="0"/>
        <v>1.244226971174954E-2</v>
      </c>
      <c r="W13" s="7">
        <f t="shared" si="0"/>
        <v>2.4437712559490649E-2</v>
      </c>
      <c r="X13" s="7">
        <f t="shared" si="0"/>
        <v>6.0935645331328198E-2</v>
      </c>
      <c r="Y13" s="7">
        <f t="shared" si="0"/>
        <v>4.3866582491072462E-2</v>
      </c>
    </row>
    <row r="14" spans="1:25" x14ac:dyDescent="0.25">
      <c r="A14" s="11">
        <v>0.4</v>
      </c>
      <c r="B14" s="11">
        <v>0.1</v>
      </c>
      <c r="C14" s="11">
        <v>3.665</v>
      </c>
      <c r="D14" s="11">
        <v>1.571</v>
      </c>
      <c r="E14" s="11">
        <v>1.4</v>
      </c>
      <c r="F14" s="11">
        <v>0</v>
      </c>
      <c r="G14" s="11">
        <v>0</v>
      </c>
      <c r="H14" s="9">
        <v>-3.7108035758137698E-4</v>
      </c>
      <c r="I14" s="9">
        <v>3.7644270807504703E-2</v>
      </c>
      <c r="J14" s="9">
        <v>-6.73996657133102E-2</v>
      </c>
      <c r="K14" s="9">
        <v>1.67829748243093E-2</v>
      </c>
      <c r="L14" s="9">
        <v>-0.33880779147148099</v>
      </c>
      <c r="M14" s="9">
        <v>-0.185297966003418</v>
      </c>
      <c r="N14" s="9">
        <v>1.8798558318620211E-7</v>
      </c>
      <c r="O14" s="9">
        <v>3.7977347545283001E-2</v>
      </c>
      <c r="P14" s="9">
        <v>-6.5807796261391785E-2</v>
      </c>
      <c r="Q14" s="9">
        <v>-1.166471548416486E-2</v>
      </c>
      <c r="R14" s="9">
        <v>-0.34629977752270086</v>
      </c>
      <c r="S14" s="9">
        <v>-0.19984788954804875</v>
      </c>
      <c r="T14" s="7">
        <f t="shared" si="0"/>
        <v>3.7126834316456318E-4</v>
      </c>
      <c r="U14" s="7">
        <f t="shared" si="0"/>
        <v>3.3307673777829838E-4</v>
      </c>
      <c r="V14" s="7">
        <f t="shared" si="0"/>
        <v>1.5918694519184151E-3</v>
      </c>
      <c r="W14" s="7">
        <f t="shared" si="0"/>
        <v>2.8447690308474161E-2</v>
      </c>
      <c r="X14" s="7">
        <f t="shared" si="0"/>
        <v>7.4919860512198677E-3</v>
      </c>
      <c r="Y14" s="7">
        <f t="shared" si="0"/>
        <v>1.454992354463075E-2</v>
      </c>
    </row>
    <row r="15" spans="1:25" x14ac:dyDescent="0.25">
      <c r="A15" s="11">
        <v>0.7</v>
      </c>
      <c r="B15" s="11">
        <v>0.1</v>
      </c>
      <c r="C15" s="11">
        <v>3.665</v>
      </c>
      <c r="D15" s="11">
        <v>1.571</v>
      </c>
      <c r="E15" s="11">
        <v>1.4</v>
      </c>
      <c r="F15" s="11">
        <v>0</v>
      </c>
      <c r="G15" s="11">
        <v>0</v>
      </c>
      <c r="H15" s="9">
        <v>-1.02429185062647E-3</v>
      </c>
      <c r="I15" s="9">
        <v>7.0613205432891804E-2</v>
      </c>
      <c r="J15" s="9">
        <v>-0.12678831815719599</v>
      </c>
      <c r="K15" s="9">
        <v>-2.9671346768736801E-2</v>
      </c>
      <c r="L15" s="9">
        <v>-0.63574087619781505</v>
      </c>
      <c r="M15" s="9">
        <v>-0.34651768207549999</v>
      </c>
      <c r="N15" s="9">
        <v>3.2897292876194896E-7</v>
      </c>
      <c r="O15" s="9">
        <v>6.6320553276634275E-2</v>
      </c>
      <c r="P15" s="9">
        <v>-0.11492137059425253</v>
      </c>
      <c r="Q15" s="9">
        <v>-6.3401257758749469E-2</v>
      </c>
      <c r="R15" s="9">
        <v>-0.60379161477146381</v>
      </c>
      <c r="S15" s="9">
        <v>-0.34844532923612304</v>
      </c>
      <c r="T15" s="7">
        <f t="shared" si="0"/>
        <v>1.024620823555232E-3</v>
      </c>
      <c r="U15" s="7">
        <f t="shared" si="0"/>
        <v>4.2926521562575287E-3</v>
      </c>
      <c r="V15" s="7">
        <f t="shared" si="0"/>
        <v>1.1866947562943458E-2</v>
      </c>
      <c r="W15" s="7">
        <f t="shared" si="0"/>
        <v>3.3729910990012671E-2</v>
      </c>
      <c r="X15" s="7">
        <f t="shared" si="0"/>
        <v>3.1949261426351239E-2</v>
      </c>
      <c r="Y15" s="7">
        <f t="shared" si="0"/>
        <v>1.9276471606230472E-3</v>
      </c>
    </row>
    <row r="16" spans="1:25" x14ac:dyDescent="0.25">
      <c r="A16" s="11">
        <v>0.4</v>
      </c>
      <c r="B16" s="11">
        <v>0.16</v>
      </c>
      <c r="C16" s="11">
        <v>3.665</v>
      </c>
      <c r="D16" s="11">
        <v>1.571</v>
      </c>
      <c r="E16" s="11">
        <v>0</v>
      </c>
      <c r="F16" s="11">
        <v>0</v>
      </c>
      <c r="G16" s="11">
        <v>0</v>
      </c>
      <c r="H16" s="9">
        <v>-6.0879066586494402E-4</v>
      </c>
      <c r="I16" s="9">
        <v>4.7145899385213901E-2</v>
      </c>
      <c r="J16" s="9">
        <v>-8.5028916597366305E-2</v>
      </c>
      <c r="K16" s="9">
        <v>-7.4065491557121305E-2</v>
      </c>
      <c r="L16" s="9">
        <v>-0.31546109914779702</v>
      </c>
      <c r="M16" s="9">
        <v>-0.17043319344520599</v>
      </c>
      <c r="N16" s="9">
        <v>4.3766437877754042E-19</v>
      </c>
      <c r="O16" s="9">
        <v>4.914143114416436E-2</v>
      </c>
      <c r="P16" s="9">
        <v>-8.5153096396269862E-2</v>
      </c>
      <c r="Q16" s="9">
        <v>-0.10230939152747075</v>
      </c>
      <c r="R16" s="9">
        <v>-0.33492351035309031</v>
      </c>
      <c r="S16" s="9">
        <v>-0.19328270279199361</v>
      </c>
      <c r="T16" s="7">
        <f t="shared" si="0"/>
        <v>6.0879066586494446E-4</v>
      </c>
      <c r="U16" s="7">
        <f t="shared" si="0"/>
        <v>1.9955317589504598E-3</v>
      </c>
      <c r="V16" s="7">
        <f t="shared" si="0"/>
        <v>1.2417979890355646E-4</v>
      </c>
      <c r="W16" s="7">
        <f t="shared" si="0"/>
        <v>2.8243899970349443E-2</v>
      </c>
      <c r="X16" s="7">
        <f t="shared" si="0"/>
        <v>1.9462411205293295E-2</v>
      </c>
      <c r="Y16" s="7">
        <f t="shared" si="0"/>
        <v>2.2849509346787616E-2</v>
      </c>
    </row>
    <row r="17" spans="1:25" x14ac:dyDescent="0.25">
      <c r="A17" s="11">
        <v>0.3</v>
      </c>
      <c r="B17" s="11">
        <v>0.18</v>
      </c>
      <c r="C17" s="11">
        <v>3.665</v>
      </c>
      <c r="D17" s="11">
        <v>1.571</v>
      </c>
      <c r="E17" s="11">
        <v>0</v>
      </c>
      <c r="F17" s="11">
        <v>0</v>
      </c>
      <c r="G17" s="11">
        <v>0</v>
      </c>
      <c r="H17" s="9">
        <v>3.8368394598364803E-5</v>
      </c>
      <c r="I17" s="9">
        <v>3.2897148281335803E-2</v>
      </c>
      <c r="J17" s="9">
        <v>-5.8571800589561497E-2</v>
      </c>
      <c r="K17" s="9">
        <v>-6.3505612313747406E-2</v>
      </c>
      <c r="L17" s="9">
        <v>-0.19738522171974199</v>
      </c>
      <c r="M17" s="9">
        <v>-0.108248926699162</v>
      </c>
      <c r="N17" s="9">
        <v>-8.8159604157983913E-19</v>
      </c>
      <c r="O17" s="9">
        <v>3.9820341351303912E-2</v>
      </c>
      <c r="P17" s="9">
        <v>-6.9001355611162649E-2</v>
      </c>
      <c r="Q17" s="9">
        <v>-7.939064487958726E-2</v>
      </c>
      <c r="R17" s="9">
        <v>-0.25057249669220577</v>
      </c>
      <c r="S17" s="9">
        <v>-0.14460414963090887</v>
      </c>
      <c r="T17" s="7">
        <f t="shared" si="0"/>
        <v>3.8368394598365684E-5</v>
      </c>
      <c r="U17" s="7">
        <f t="shared" si="0"/>
        <v>6.9231930699681088E-3</v>
      </c>
      <c r="V17" s="7">
        <f t="shared" si="0"/>
        <v>1.0429555021601151E-2</v>
      </c>
      <c r="W17" s="7">
        <f t="shared" si="0"/>
        <v>1.5885032565839854E-2</v>
      </c>
      <c r="X17" s="7">
        <f t="shared" si="0"/>
        <v>5.3187274972463783E-2</v>
      </c>
      <c r="Y17" s="7">
        <f t="shared" si="0"/>
        <v>3.6355222931746867E-2</v>
      </c>
    </row>
  </sheetData>
  <mergeCells count="4">
    <mergeCell ref="A1:G1"/>
    <mergeCell ref="H1:M1"/>
    <mergeCell ref="N1:S1"/>
    <mergeCell ref="T1:Y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Z17"/>
  <sheetViews>
    <sheetView workbookViewId="0">
      <selection activeCell="H4" sqref="H4:M4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26" ht="15.75" x14ac:dyDescent="0.25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25">
      <c r="A3" s="9">
        <f>'Proximal Validation (single)'!A3</f>
        <v>0.3</v>
      </c>
      <c r="B3" s="9">
        <f>'Proximal Validation (single)'!B3</f>
        <v>0.08</v>
      </c>
      <c r="C3" s="9">
        <f>'Proximal Validation (single)'!C3</f>
        <v>1.571</v>
      </c>
      <c r="D3" s="9">
        <f>'Proximal Validation (single)'!D3</f>
        <v>0.78500000000000003</v>
      </c>
      <c r="E3" s="9">
        <f>'Proximal Validation (single)'!E3</f>
        <v>1.4</v>
      </c>
      <c r="F3" s="9">
        <f>'Proximal Validation (single)'!F3</f>
        <v>0</v>
      </c>
      <c r="G3" s="9">
        <f>'Proximal Validation (single)'!G3</f>
        <v>0</v>
      </c>
      <c r="H3" s="9">
        <f>'Proximal Validation (single)'!H3</f>
        <v>2.6342464843764901E-4</v>
      </c>
      <c r="I3" s="9">
        <f>'Proximal Validation (single)'!I3</f>
        <v>-3.2978262752294499E-2</v>
      </c>
      <c r="J3" s="9">
        <f>'Proximal Validation (single)'!J3</f>
        <v>5.6162860710173802E-4</v>
      </c>
      <c r="K3" s="9">
        <f>'Proximal Validation (single)'!K3</f>
        <v>0.185834720730782</v>
      </c>
      <c r="L3" s="9">
        <f>'Proximal Validation (single)'!L3</f>
        <v>1.13257020711899E-3</v>
      </c>
      <c r="M3" s="9">
        <f>'Proximal Validation (single)'!M3</f>
        <v>0.19288232922553999</v>
      </c>
      <c r="N3" s="9">
        <v>0.26784524078593064</v>
      </c>
      <c r="O3" s="9">
        <v>8.2926449379601891E-2</v>
      </c>
      <c r="P3" s="9">
        <v>1.6001678617441324</v>
      </c>
      <c r="Q3" s="9">
        <v>0.75936828410775348</v>
      </c>
      <c r="R3" s="10">
        <v>3.5206045653548973E-7</v>
      </c>
      <c r="S3" s="8">
        <f>ABS(N3-A3)</f>
        <v>3.2154759214069351E-2</v>
      </c>
      <c r="T3" s="8">
        <f t="shared" ref="T3:V3" si="0">ABS(O3-B3)</f>
        <v>2.9264493796018892E-3</v>
      </c>
      <c r="U3" s="8">
        <f t="shared" si="0"/>
        <v>2.9167861744132439E-2</v>
      </c>
      <c r="V3" s="8">
        <f t="shared" si="0"/>
        <v>2.5631715892246554E-2</v>
      </c>
      <c r="W3" s="9">
        <f>AVERAGE(S3:S17)</f>
        <v>4.1514744245250403E-2</v>
      </c>
      <c r="X3" s="9">
        <f t="shared" ref="X3:Z3" si="1">AVERAGE(T3:T17)</f>
        <v>8.4886614096594815E-3</v>
      </c>
      <c r="Y3" s="9">
        <f>AVERAGE(U3:U17)</f>
        <v>3.238573799320732E-2</v>
      </c>
      <c r="Z3" s="9">
        <f t="shared" si="1"/>
        <v>8.5712786606328514E-2</v>
      </c>
    </row>
    <row r="4" spans="1:26" x14ac:dyDescent="0.25">
      <c r="A4" s="9">
        <f>'Proximal Validation (single)'!A4</f>
        <v>0.4</v>
      </c>
      <c r="B4" s="9">
        <f>'Proximal Validation (single)'!B4</f>
        <v>0.14000000000000001</v>
      </c>
      <c r="C4" s="9">
        <f>'Proximal Validation (single)'!C4</f>
        <v>1.571</v>
      </c>
      <c r="D4" s="9">
        <f>'Proximal Validation (single)'!D4</f>
        <v>0.78500000000000003</v>
      </c>
      <c r="E4" s="9">
        <f>'Proximal Validation (single)'!E4</f>
        <v>0</v>
      </c>
      <c r="F4" s="9">
        <f>'Proximal Validation (single)'!F4</f>
        <v>0</v>
      </c>
      <c r="G4" s="9">
        <f>'Proximal Validation (single)'!G4</f>
        <v>0</v>
      </c>
      <c r="H4" s="9">
        <f>'Proximal Validation (single)'!H4</f>
        <v>-4.3474312406033299E-4</v>
      </c>
      <c r="I4" s="9">
        <f>'Proximal Validation (single)'!I4</f>
        <v>-6.2425632029771798E-2</v>
      </c>
      <c r="J4" s="9">
        <f>'Proximal Validation (single)'!J4</f>
        <v>2.5845002382993698E-3</v>
      </c>
      <c r="K4" s="9">
        <f>'Proximal Validation (single)'!K4</f>
        <v>0.25303724408149703</v>
      </c>
      <c r="L4" s="9">
        <f>'Proximal Validation (single)'!L4</f>
        <v>1.07369087636471E-2</v>
      </c>
      <c r="M4" s="9">
        <f>'Proximal Validation (single)'!M4</f>
        <v>0.27653545141220098</v>
      </c>
      <c r="N4" s="9">
        <v>0.37498688000716013</v>
      </c>
      <c r="O4" s="9">
        <v>0.14629244618973333</v>
      </c>
      <c r="P4" s="9">
        <v>1.5318646316292099</v>
      </c>
      <c r="Q4" s="9">
        <v>0.70267597469996101</v>
      </c>
      <c r="R4" s="10">
        <v>2.1354571308302574E-7</v>
      </c>
      <c r="S4" s="8">
        <f t="shared" ref="S4:S17" si="2">ABS(N4-A4)</f>
        <v>2.5013119992839894E-2</v>
      </c>
      <c r="T4" s="8">
        <f t="shared" ref="T4:T17" si="3">ABS(O4-B4)</f>
        <v>6.2924461897333195E-3</v>
      </c>
      <c r="U4" s="8">
        <f t="shared" ref="U4:U17" si="4">ABS(P4-C4)</f>
        <v>3.9135368370790014E-2</v>
      </c>
      <c r="V4" s="8">
        <f t="shared" ref="V4:V17" si="5">ABS(Q4-D4)</f>
        <v>8.2324025300039017E-2</v>
      </c>
      <c r="Y4">
        <f>DEGREES(Y3)</f>
        <v>1.8555661034272597</v>
      </c>
      <c r="Z4">
        <f>DEGREES(Z3)</f>
        <v>4.9109809228480739</v>
      </c>
    </row>
    <row r="5" spans="1:26" x14ac:dyDescent="0.25">
      <c r="A5" s="9">
        <f>'Proximal Validation (single)'!A5</f>
        <v>0.6</v>
      </c>
      <c r="B5" s="9">
        <f>'Proximal Validation (single)'!B5</f>
        <v>0.16</v>
      </c>
      <c r="C5" s="9">
        <f>'Proximal Validation (single)'!C5</f>
        <v>1.571</v>
      </c>
      <c r="D5" s="9">
        <f>'Proximal Validation (single)'!D5</f>
        <v>0.78500000000000003</v>
      </c>
      <c r="E5" s="9">
        <f>'Proximal Validation (single)'!E5</f>
        <v>1.4</v>
      </c>
      <c r="F5" s="9">
        <f>'Proximal Validation (single)'!F5</f>
        <v>0</v>
      </c>
      <c r="G5" s="9">
        <f>'Proximal Validation (single)'!G5</f>
        <v>0</v>
      </c>
      <c r="H5" s="9">
        <f>'Proximal Validation (single)'!H5</f>
        <v>5.3234044462442398E-3</v>
      </c>
      <c r="I5" s="9">
        <f>'Proximal Validation (single)'!I5</f>
        <v>-0.12275674194097499</v>
      </c>
      <c r="J5" s="9">
        <f>'Proximal Validation (single)'!J5</f>
        <v>-8.3989212289452605E-3</v>
      </c>
      <c r="K5" s="9">
        <f>'Proximal Validation (single)'!K5</f>
        <v>0.26806160807609603</v>
      </c>
      <c r="L5" s="9">
        <f>'Proximal Validation (single)'!L5</f>
        <v>-2.4467468261718799E-2</v>
      </c>
      <c r="M5" s="9">
        <f>'Proximal Validation (single)'!M5</f>
        <v>0.52633810043335005</v>
      </c>
      <c r="N5" s="9">
        <v>0.59113223162716211</v>
      </c>
      <c r="O5" s="9">
        <v>0.16485707594827678</v>
      </c>
      <c r="P5" s="9">
        <v>1.7130465061357463</v>
      </c>
      <c r="Q5" s="9">
        <v>0.74340021147073909</v>
      </c>
      <c r="R5" s="10">
        <v>6.3740060248515207E-6</v>
      </c>
      <c r="S5" s="8">
        <f t="shared" si="2"/>
        <v>8.8677683728378698E-3</v>
      </c>
      <c r="T5" s="8">
        <f t="shared" si="3"/>
        <v>4.8570759482767789E-3</v>
      </c>
      <c r="U5" s="8">
        <f t="shared" si="4"/>
        <v>0.14204650613574632</v>
      </c>
      <c r="V5" s="8">
        <f t="shared" si="5"/>
        <v>4.1599788529260939E-2</v>
      </c>
    </row>
    <row r="6" spans="1:26" x14ac:dyDescent="0.25">
      <c r="A6" s="9">
        <f>'Proximal Validation (single)'!A6</f>
        <v>0.4</v>
      </c>
      <c r="B6" s="9">
        <f>'Proximal Validation (single)'!B6</f>
        <v>0.06</v>
      </c>
      <c r="C6" s="9">
        <f>'Proximal Validation (single)'!C6</f>
        <v>1.571</v>
      </c>
      <c r="D6" s="9">
        <f>'Proximal Validation (single)'!D6</f>
        <v>1.571</v>
      </c>
      <c r="E6" s="9">
        <f>'Proximal Validation (single)'!E6</f>
        <v>1.4</v>
      </c>
      <c r="F6" s="9">
        <f>'Proximal Validation (single)'!F6</f>
        <v>0</v>
      </c>
      <c r="G6" s="9">
        <f>'Proximal Validation (single)'!G6</f>
        <v>0</v>
      </c>
      <c r="H6" s="9">
        <f>'Proximal Validation (single)'!H6</f>
        <v>6.7002582363784302E-4</v>
      </c>
      <c r="I6" s="9">
        <f>'Proximal Validation (single)'!I6</f>
        <v>-6.6750191152095795E-2</v>
      </c>
      <c r="J6" s="9">
        <f>'Proximal Validation (single)'!J6</f>
        <v>1.6002767952158999E-3</v>
      </c>
      <c r="K6" s="9">
        <f>'Proximal Validation (single)'!K6</f>
        <v>-3.97013984620571E-2</v>
      </c>
      <c r="L6" s="9">
        <f>'Proximal Validation (single)'!L6</f>
        <v>7.3561742901802098E-3</v>
      </c>
      <c r="M6" s="9">
        <f>'Proximal Validation (single)'!M6</f>
        <v>0.423814177513123</v>
      </c>
      <c r="N6" s="9">
        <v>0.42573317586781634</v>
      </c>
      <c r="O6" s="9">
        <v>6.7481727656812596E-2</v>
      </c>
      <c r="P6" s="9">
        <v>1.551658060490148</v>
      </c>
      <c r="Q6" s="9">
        <v>1.6132216598295499</v>
      </c>
      <c r="R6" s="10">
        <v>2.6866250907503745E-7</v>
      </c>
      <c r="S6" s="8">
        <f t="shared" si="2"/>
        <v>2.5733175867816316E-2</v>
      </c>
      <c r="T6" s="8">
        <f t="shared" si="3"/>
        <v>7.4817276568125979E-3</v>
      </c>
      <c r="U6" s="8">
        <f t="shared" si="4"/>
        <v>1.9341939509851969E-2</v>
      </c>
      <c r="V6" s="8">
        <f t="shared" si="5"/>
        <v>4.2221659829549951E-2</v>
      </c>
    </row>
    <row r="7" spans="1:26" x14ac:dyDescent="0.25">
      <c r="A7" s="9">
        <f>'Proximal Validation (single)'!A7</f>
        <v>0.8</v>
      </c>
      <c r="B7" s="9">
        <f>'Proximal Validation (single)'!B7</f>
        <v>0.08</v>
      </c>
      <c r="C7" s="9">
        <f>'Proximal Validation (single)'!C7</f>
        <v>1.571</v>
      </c>
      <c r="D7" s="9">
        <f>'Proximal Validation (single)'!D7</f>
        <v>1.571</v>
      </c>
      <c r="E7" s="9">
        <f>'Proximal Validation (single)'!E7</f>
        <v>0</v>
      </c>
      <c r="F7" s="9">
        <f>'Proximal Validation (single)'!F7</f>
        <v>0</v>
      </c>
      <c r="G7" s="9">
        <f>'Proximal Validation (single)'!G7</f>
        <v>0</v>
      </c>
      <c r="H7" s="9">
        <f>'Proximal Validation (single)'!H7</f>
        <v>7.4092089198529699E-4</v>
      </c>
      <c r="I7" s="9">
        <f>'Proximal Validation (single)'!I7</f>
        <v>-0.14775538444519001</v>
      </c>
      <c r="J7" s="9">
        <f>'Proximal Validation (single)'!J7</f>
        <v>3.4220633096993E-3</v>
      </c>
      <c r="K7" s="9">
        <f>'Proximal Validation (single)'!K7</f>
        <v>-0.161362335085869</v>
      </c>
      <c r="L7" s="9">
        <f>'Proximal Validation (single)'!L7</f>
        <v>2.0262047648429898E-2</v>
      </c>
      <c r="M7" s="9">
        <f>'Proximal Validation (single)'!M7</f>
        <v>0.82944488525390603</v>
      </c>
      <c r="N7" s="9">
        <v>0.84524021240523917</v>
      </c>
      <c r="O7" s="9">
        <v>8.7183959051142915E-2</v>
      </c>
      <c r="P7" s="9">
        <v>1.5464117192625275</v>
      </c>
      <c r="Q7" s="9">
        <v>1.6376698247167225</v>
      </c>
      <c r="R7" s="10">
        <v>5.8297182624313249E-7</v>
      </c>
      <c r="S7" s="8">
        <f t="shared" si="2"/>
        <v>4.5240212405239122E-2</v>
      </c>
      <c r="T7" s="8">
        <f t="shared" si="3"/>
        <v>7.183959051142913E-3</v>
      </c>
      <c r="U7" s="8">
        <f t="shared" si="4"/>
        <v>2.4588280737472434E-2</v>
      </c>
      <c r="V7" s="8">
        <f t="shared" si="5"/>
        <v>6.6669824716722559E-2</v>
      </c>
    </row>
    <row r="8" spans="1:26" x14ac:dyDescent="0.25">
      <c r="A8" s="9">
        <f>'Proximal Validation (single)'!A8</f>
        <v>0.7</v>
      </c>
      <c r="B8" s="9">
        <f>'Proximal Validation (single)'!B8</f>
        <v>0.16</v>
      </c>
      <c r="C8" s="9">
        <f>'Proximal Validation (single)'!C8</f>
        <v>1.571</v>
      </c>
      <c r="D8" s="9">
        <f>'Proximal Validation (single)'!D8</f>
        <v>1.571</v>
      </c>
      <c r="E8" s="9">
        <f>'Proximal Validation (single)'!E8</f>
        <v>1.4</v>
      </c>
      <c r="F8" s="9">
        <f>'Proximal Validation (single)'!F8</f>
        <v>0</v>
      </c>
      <c r="G8" s="9">
        <f>'Proximal Validation (single)'!G8</f>
        <v>0</v>
      </c>
      <c r="H8" s="9">
        <f>'Proximal Validation (single)'!H8</f>
        <v>6.6551081836223602E-3</v>
      </c>
      <c r="I8" s="9">
        <f>'Proximal Validation (single)'!I8</f>
        <v>-0.148307904601097</v>
      </c>
      <c r="J8" s="9">
        <f>'Proximal Validation (single)'!J8</f>
        <v>-1.0527462000027299E-3</v>
      </c>
      <c r="K8" s="9">
        <f>'Proximal Validation (single)'!K8</f>
        <v>-0.444706320762634</v>
      </c>
      <c r="L8" s="9">
        <f>'Proximal Validation (single)'!L8</f>
        <v>-2.19946205615997E-2</v>
      </c>
      <c r="M8" s="9">
        <f>'Proximal Validation (single)'!M8</f>
        <v>0.489793181419373</v>
      </c>
      <c r="N8" s="9">
        <v>0.66189889087346132</v>
      </c>
      <c r="O8" s="9">
        <v>0.17541313864579372</v>
      </c>
      <c r="P8" s="9">
        <v>1.5629917479948727</v>
      </c>
      <c r="Q8" s="9">
        <v>1.7129396559253787</v>
      </c>
      <c r="R8" s="10">
        <v>3.5747723781823878E-6</v>
      </c>
      <c r="S8" s="8">
        <f t="shared" si="2"/>
        <v>3.8101109126538635E-2</v>
      </c>
      <c r="T8" s="8">
        <f t="shared" si="3"/>
        <v>1.5413138645793717E-2</v>
      </c>
      <c r="U8" s="8">
        <f t="shared" si="4"/>
        <v>8.0082520051272255E-3</v>
      </c>
      <c r="V8" s="8">
        <f t="shared" si="5"/>
        <v>0.14193965592537872</v>
      </c>
    </row>
    <row r="9" spans="1:26" x14ac:dyDescent="0.25">
      <c r="A9" s="9">
        <f>'Proximal Validation (single)'!A9</f>
        <v>0.7</v>
      </c>
      <c r="B9" s="9">
        <f>'Proximal Validation (single)'!B9</f>
        <v>0.2</v>
      </c>
      <c r="C9" s="9">
        <f>'Proximal Validation (single)'!C9</f>
        <v>1.571</v>
      </c>
      <c r="D9" s="9">
        <f>'Proximal Validation (single)'!D9</f>
        <v>1.571</v>
      </c>
      <c r="E9" s="9">
        <f>'Proximal Validation (single)'!E9</f>
        <v>0</v>
      </c>
      <c r="F9" s="9">
        <f>'Proximal Validation (single)'!F9</f>
        <v>0</v>
      </c>
      <c r="G9" s="9">
        <f>'Proximal Validation (single)'!G9</f>
        <v>0</v>
      </c>
      <c r="H9" s="9">
        <f>'Proximal Validation (single)'!H9</f>
        <v>8.7637116666883198E-4</v>
      </c>
      <c r="I9" s="9">
        <f>'Proximal Validation (single)'!I9</f>
        <v>-0.164488449692726</v>
      </c>
      <c r="J9" s="9">
        <f>'Proximal Validation (single)'!J9</f>
        <v>3.7763002328574701E-3</v>
      </c>
      <c r="K9" s="9">
        <f>'Proximal Validation (single)'!K9</f>
        <v>-0.58729076385498002</v>
      </c>
      <c r="L9" s="9">
        <f>'Proximal Validation (single)'!L9</f>
        <v>7.8071318566799199E-3</v>
      </c>
      <c r="M9" s="9">
        <f>'Proximal Validation (single)'!M9</f>
        <v>0.38755592703819303</v>
      </c>
      <c r="N9" s="9">
        <v>0.70761299912227915</v>
      </c>
      <c r="O9" s="9">
        <v>0.2</v>
      </c>
      <c r="P9" s="9">
        <v>1.5502641522120113</v>
      </c>
      <c r="Q9" s="9">
        <v>1.8187205996858489</v>
      </c>
      <c r="R9" s="10">
        <v>2.6629119975960923E-4</v>
      </c>
      <c r="S9" s="8">
        <f t="shared" si="2"/>
        <v>7.612999122279196E-3</v>
      </c>
      <c r="T9" s="8">
        <f t="shared" si="3"/>
        <v>0</v>
      </c>
      <c r="U9" s="8">
        <f t="shared" si="4"/>
        <v>2.0735847787988648E-2</v>
      </c>
      <c r="V9" s="8">
        <f t="shared" si="5"/>
        <v>0.24772059968584892</v>
      </c>
    </row>
    <row r="10" spans="1:26" x14ac:dyDescent="0.25">
      <c r="A10" s="9">
        <f>'Proximal Validation (single)'!A10</f>
        <v>0.7</v>
      </c>
      <c r="B10" s="9">
        <f>'Proximal Validation (single)'!B10</f>
        <v>0.06</v>
      </c>
      <c r="C10" s="9">
        <f>'Proximal Validation (single)'!C10</f>
        <v>3.665</v>
      </c>
      <c r="D10" s="9">
        <f>'Proximal Validation (single)'!D10</f>
        <v>0.78500000000000003</v>
      </c>
      <c r="E10" s="9">
        <f>'Proximal Validation (single)'!E10</f>
        <v>0</v>
      </c>
      <c r="F10" s="9">
        <f>'Proximal Validation (single)'!F10</f>
        <v>0</v>
      </c>
      <c r="G10" s="9">
        <f>'Proximal Validation (single)'!G10</f>
        <v>0</v>
      </c>
      <c r="H10" s="9">
        <f>'Proximal Validation (single)'!H10</f>
        <v>-8.6323916912078901E-4</v>
      </c>
      <c r="I10" s="9">
        <f>'Proximal Validation (single)'!I10</f>
        <v>4.2902048677205998E-2</v>
      </c>
      <c r="J10" s="9">
        <f>'Proximal Validation (single)'!J10</f>
        <v>-8.0319754779338795E-2</v>
      </c>
      <c r="K10" s="9">
        <f>'Proximal Validation (single)'!K10</f>
        <v>0.61245459318161</v>
      </c>
      <c r="L10" s="9">
        <f>'Proximal Validation (single)'!L10</f>
        <v>-0.54026973247528098</v>
      </c>
      <c r="M10" s="9">
        <f>'Proximal Validation (single)'!M10</f>
        <v>-0.28817486763000499</v>
      </c>
      <c r="N10" s="9">
        <v>0.86604703683227435</v>
      </c>
      <c r="O10" s="9">
        <v>6.0317948252012685E-2</v>
      </c>
      <c r="P10" s="9">
        <v>3.6316072952203227</v>
      </c>
      <c r="Q10" s="9">
        <v>0.7471398857927255</v>
      </c>
      <c r="R10" s="10">
        <v>7.4794518388539281E-7</v>
      </c>
      <c r="S10" s="8">
        <f t="shared" si="2"/>
        <v>0.1660470368322744</v>
      </c>
      <c r="T10" s="8">
        <f t="shared" si="3"/>
        <v>3.1794825201268695E-4</v>
      </c>
      <c r="U10" s="8">
        <f t="shared" si="4"/>
        <v>3.3392704779677373E-2</v>
      </c>
      <c r="V10" s="8">
        <f t="shared" si="5"/>
        <v>3.7860114207274531E-2</v>
      </c>
    </row>
    <row r="11" spans="1:26" x14ac:dyDescent="0.25">
      <c r="A11" s="9">
        <f>'Proximal Validation (single)'!A11</f>
        <v>0.6</v>
      </c>
      <c r="B11" s="9">
        <f>'Proximal Validation (single)'!B11</f>
        <v>0.1</v>
      </c>
      <c r="C11" s="9">
        <f>'Proximal Validation (single)'!C11</f>
        <v>3.665</v>
      </c>
      <c r="D11" s="9">
        <f>'Proximal Validation (single)'!D11</f>
        <v>0.78500000000000003</v>
      </c>
      <c r="E11" s="9">
        <f>'Proximal Validation (single)'!E11</f>
        <v>0</v>
      </c>
      <c r="F11" s="9">
        <f>'Proximal Validation (single)'!F11</f>
        <v>0</v>
      </c>
      <c r="G11" s="9">
        <f>'Proximal Validation (single)'!G11</f>
        <v>0</v>
      </c>
      <c r="H11" s="9">
        <f>'Proximal Validation (single)'!H11</f>
        <v>-8.0120982602238698E-4</v>
      </c>
      <c r="I11" s="9">
        <f>'Proximal Validation (single)'!I11</f>
        <v>4.2666438966989503E-2</v>
      </c>
      <c r="J11" s="9">
        <f>'Proximal Validation (single)'!J11</f>
        <v>-8.0293677747249603E-2</v>
      </c>
      <c r="K11" s="9">
        <f>'Proximal Validation (single)'!K11</f>
        <v>0.443310797214508</v>
      </c>
      <c r="L11" s="9">
        <f>'Proximal Validation (single)'!L11</f>
        <v>-0.42717015743255599</v>
      </c>
      <c r="M11" s="9">
        <f>'Proximal Validation (single)'!M11</f>
        <v>-0.22529536485672</v>
      </c>
      <c r="N11" s="9">
        <v>0.6555589491973004</v>
      </c>
      <c r="O11" s="9">
        <v>0.10444160445292132</v>
      </c>
      <c r="P11" s="9">
        <v>3.6270359484548274</v>
      </c>
      <c r="Q11" s="9">
        <v>0.72703273708727578</v>
      </c>
      <c r="R11" s="10">
        <v>7.1856602974072036E-7</v>
      </c>
      <c r="S11" s="8">
        <f t="shared" si="2"/>
        <v>5.5558949197300422E-2</v>
      </c>
      <c r="T11" s="8">
        <f t="shared" si="3"/>
        <v>4.4416044529213133E-3</v>
      </c>
      <c r="U11" s="8">
        <f t="shared" si="4"/>
        <v>3.7964051545172683E-2</v>
      </c>
      <c r="V11" s="8">
        <f t="shared" si="5"/>
        <v>5.7967262912724249E-2</v>
      </c>
    </row>
    <row r="12" spans="1:26" x14ac:dyDescent="0.25">
      <c r="A12" s="9">
        <f>'Proximal Validation (single)'!A12</f>
        <v>0.8</v>
      </c>
      <c r="B12" s="9">
        <f>'Proximal Validation (single)'!B12</f>
        <v>0.18</v>
      </c>
      <c r="C12" s="9">
        <f>'Proximal Validation (single)'!C12</f>
        <v>3.665</v>
      </c>
      <c r="D12" s="9">
        <f>'Proximal Validation (single)'!D12</f>
        <v>0.78500000000000003</v>
      </c>
      <c r="E12" s="9">
        <f>'Proximal Validation (single)'!E12</f>
        <v>1.4</v>
      </c>
      <c r="F12" s="9">
        <f>'Proximal Validation (single)'!F12</f>
        <v>0</v>
      </c>
      <c r="G12" s="9">
        <f>'Proximal Validation (single)'!G12</f>
        <v>0</v>
      </c>
      <c r="H12" s="9">
        <f>'Proximal Validation (single)'!H12</f>
        <v>-5.5334065109491301E-5</v>
      </c>
      <c r="I12" s="9">
        <f>'Proximal Validation (single)'!I12</f>
        <v>7.7956624329090105E-2</v>
      </c>
      <c r="J12" s="9">
        <f>'Proximal Validation (single)'!J12</f>
        <v>-0.13737398386001601</v>
      </c>
      <c r="K12" s="9">
        <f>'Proximal Validation (single)'!K12</f>
        <v>0.41918036341667197</v>
      </c>
      <c r="L12" s="9">
        <f>'Proximal Validation (single)'!L12</f>
        <v>-0.55125319957733199</v>
      </c>
      <c r="M12" s="9">
        <f>'Proximal Validation (single)'!M12</f>
        <v>-0.30630308389663702</v>
      </c>
      <c r="N12" s="9">
        <v>0.75729704453251179</v>
      </c>
      <c r="O12" s="9">
        <v>0.2</v>
      </c>
      <c r="P12" s="9">
        <v>3.6521771777409815</v>
      </c>
      <c r="Q12" s="9">
        <v>0.63682675204684602</v>
      </c>
      <c r="R12" s="10">
        <v>1.8459139226447601E-6</v>
      </c>
      <c r="S12" s="8">
        <f t="shared" si="2"/>
        <v>4.2702955467488257E-2</v>
      </c>
      <c r="T12" s="8">
        <f t="shared" si="3"/>
        <v>2.0000000000000018E-2</v>
      </c>
      <c r="U12" s="8">
        <f t="shared" si="4"/>
        <v>1.282282225901854E-2</v>
      </c>
      <c r="V12" s="8">
        <f t="shared" si="5"/>
        <v>0.14817324795315401</v>
      </c>
    </row>
    <row r="13" spans="1:26" x14ac:dyDescent="0.25">
      <c r="A13" s="9">
        <f>'Proximal Validation (single)'!A13</f>
        <v>0.4</v>
      </c>
      <c r="B13" s="9">
        <f>'Proximal Validation (single)'!B13</f>
        <v>0.2</v>
      </c>
      <c r="C13" s="9">
        <f>'Proximal Validation (single)'!C13</f>
        <v>3.665</v>
      </c>
      <c r="D13" s="9">
        <f>'Proximal Validation (single)'!D13</f>
        <v>0.78500000000000003</v>
      </c>
      <c r="E13" s="9">
        <f>'Proximal Validation (single)'!E13</f>
        <v>1.4</v>
      </c>
      <c r="F13" s="9">
        <f>'Proximal Validation (single)'!F13</f>
        <v>0</v>
      </c>
      <c r="G13" s="9">
        <f>'Proximal Validation (single)'!G13</f>
        <v>0</v>
      </c>
      <c r="H13" s="9">
        <f>'Proximal Validation (single)'!H13</f>
        <v>-9.6024014055728899E-5</v>
      </c>
      <c r="I13" s="9">
        <f>'Proximal Validation (single)'!I13</f>
        <v>3.4424368292093298E-2</v>
      </c>
      <c r="J13" s="9">
        <f>'Proximal Validation (single)'!J13</f>
        <v>-6.16564750671387E-2</v>
      </c>
      <c r="K13" s="9">
        <f>'Proximal Validation (single)'!K13</f>
        <v>0.267098218202591</v>
      </c>
      <c r="L13" s="9">
        <f>'Proximal Validation (single)'!L13</f>
        <v>-0.21448078751564001</v>
      </c>
      <c r="M13" s="9">
        <f>'Proximal Validation (single)'!M13</f>
        <v>-0.115060687065125</v>
      </c>
      <c r="N13" s="9">
        <v>0.3620864643961616</v>
      </c>
      <c r="O13" s="9">
        <v>0.2</v>
      </c>
      <c r="P13" s="9">
        <v>3.6411086634736343</v>
      </c>
      <c r="Q13" s="9">
        <v>0.67613484177208494</v>
      </c>
      <c r="R13" s="10">
        <v>2.1474947686428438E-5</v>
      </c>
      <c r="S13" s="8">
        <f t="shared" si="2"/>
        <v>3.7913535603838422E-2</v>
      </c>
      <c r="T13" s="8">
        <f t="shared" si="3"/>
        <v>0</v>
      </c>
      <c r="U13" s="8">
        <f t="shared" si="4"/>
        <v>2.389133652636577E-2</v>
      </c>
      <c r="V13" s="8">
        <f t="shared" si="5"/>
        <v>0.10886515822791509</v>
      </c>
    </row>
    <row r="14" spans="1:26" x14ac:dyDescent="0.25">
      <c r="A14" s="9">
        <f>'Proximal Validation (single)'!A14</f>
        <v>0.4</v>
      </c>
      <c r="B14" s="9">
        <f>'Proximal Validation (single)'!B14</f>
        <v>0.1</v>
      </c>
      <c r="C14" s="9">
        <f>'Proximal Validation (single)'!C14</f>
        <v>3.665</v>
      </c>
      <c r="D14" s="9">
        <f>'Proximal Validation (single)'!D14</f>
        <v>1.571</v>
      </c>
      <c r="E14" s="9">
        <f>'Proximal Validation (single)'!E14</f>
        <v>1.4</v>
      </c>
      <c r="F14" s="9">
        <f>'Proximal Validation (single)'!F14</f>
        <v>0</v>
      </c>
      <c r="G14" s="9">
        <f>'Proximal Validation (single)'!G14</f>
        <v>0</v>
      </c>
      <c r="H14" s="9">
        <f>'Proximal Validation (single)'!H14</f>
        <v>-3.7108035758137698E-4</v>
      </c>
      <c r="I14" s="9">
        <f>'Proximal Validation (single)'!I14</f>
        <v>3.7644270807504703E-2</v>
      </c>
      <c r="J14" s="9">
        <f>'Proximal Validation (single)'!J14</f>
        <v>-6.73996657133102E-2</v>
      </c>
      <c r="K14" s="9">
        <f>'Proximal Validation (single)'!K14</f>
        <v>1.67829748243093E-2</v>
      </c>
      <c r="L14" s="9">
        <f>'Proximal Validation (single)'!L14</f>
        <v>-0.33880779147148099</v>
      </c>
      <c r="M14" s="9">
        <f>'Proximal Validation (single)'!M14</f>
        <v>-0.185297966003418</v>
      </c>
      <c r="N14" s="9">
        <v>0.3865349926385338</v>
      </c>
      <c r="O14" s="9">
        <v>0.11011820799678126</v>
      </c>
      <c r="P14" s="9">
        <v>3.6425184186420547</v>
      </c>
      <c r="Q14" s="9">
        <v>1.4898941026712609</v>
      </c>
      <c r="R14" s="10">
        <v>6.0897641096653023E-7</v>
      </c>
      <c r="S14" s="8">
        <f t="shared" si="2"/>
        <v>1.3465007361466219E-2</v>
      </c>
      <c r="T14" s="8">
        <f t="shared" si="3"/>
        <v>1.0118207996781259E-2</v>
      </c>
      <c r="U14" s="8">
        <f t="shared" si="4"/>
        <v>2.2481581357945313E-2</v>
      </c>
      <c r="V14" s="8">
        <f t="shared" si="5"/>
        <v>8.1105897328739074E-2</v>
      </c>
    </row>
    <row r="15" spans="1:26" x14ac:dyDescent="0.25">
      <c r="A15" s="9">
        <f>'Proximal Validation (single)'!A15</f>
        <v>0.7</v>
      </c>
      <c r="B15" s="9">
        <f>'Proximal Validation (single)'!B15</f>
        <v>0.1</v>
      </c>
      <c r="C15" s="9">
        <f>'Proximal Validation (single)'!C15</f>
        <v>3.665</v>
      </c>
      <c r="D15" s="9">
        <f>'Proximal Validation (single)'!D15</f>
        <v>1.571</v>
      </c>
      <c r="E15" s="9">
        <f>'Proximal Validation (single)'!E15</f>
        <v>1.4</v>
      </c>
      <c r="F15" s="9">
        <f>'Proximal Validation (single)'!F15</f>
        <v>0</v>
      </c>
      <c r="G15" s="9">
        <f>'Proximal Validation (single)'!G15</f>
        <v>0</v>
      </c>
      <c r="H15" s="9">
        <f>'Proximal Validation (single)'!H15</f>
        <v>-1.02429185062647E-3</v>
      </c>
      <c r="I15" s="9">
        <f>'Proximal Validation (single)'!I15</f>
        <v>7.0613205432891804E-2</v>
      </c>
      <c r="J15" s="9">
        <f>'Proximal Validation (single)'!J15</f>
        <v>-0.12678831815719599</v>
      </c>
      <c r="K15" s="9">
        <f>'Proximal Validation (single)'!K15</f>
        <v>-2.9671346768736801E-2</v>
      </c>
      <c r="L15" s="9">
        <f>'Proximal Validation (single)'!L15</f>
        <v>-0.63574087619781505</v>
      </c>
      <c r="M15" s="9">
        <f>'Proximal Validation (single)'!M15</f>
        <v>-0.34651768207549999</v>
      </c>
      <c r="N15" s="9">
        <v>0.72465465040700439</v>
      </c>
      <c r="O15" s="9">
        <v>0.11052279765518858</v>
      </c>
      <c r="P15" s="9">
        <v>3.6410775485765177</v>
      </c>
      <c r="Q15" s="9">
        <v>1.4863395714209531</v>
      </c>
      <c r="R15" s="10">
        <v>2.8418590225588398E-6</v>
      </c>
      <c r="S15" s="8">
        <f t="shared" si="2"/>
        <v>2.465465040700443E-2</v>
      </c>
      <c r="T15" s="8">
        <f t="shared" si="3"/>
        <v>1.052279765518857E-2</v>
      </c>
      <c r="U15" s="8">
        <f t="shared" si="4"/>
        <v>2.3922451423482372E-2</v>
      </c>
      <c r="V15" s="8">
        <f t="shared" si="5"/>
        <v>8.4660428579046876E-2</v>
      </c>
    </row>
    <row r="16" spans="1:26" x14ac:dyDescent="0.25">
      <c r="A16" s="9">
        <f>'Proximal Validation (single)'!A16</f>
        <v>0.4</v>
      </c>
      <c r="B16" s="9">
        <f>'Proximal Validation (single)'!B16</f>
        <v>0.16</v>
      </c>
      <c r="C16" s="9">
        <f>'Proximal Validation (single)'!C16</f>
        <v>3.665</v>
      </c>
      <c r="D16" s="9">
        <f>'Proximal Validation (single)'!D16</f>
        <v>1.571</v>
      </c>
      <c r="E16" s="9">
        <f>'Proximal Validation (single)'!E16</f>
        <v>0</v>
      </c>
      <c r="F16" s="9">
        <f>'Proximal Validation (single)'!F16</f>
        <v>0</v>
      </c>
      <c r="G16" s="9">
        <f>'Proximal Validation (single)'!G16</f>
        <v>0</v>
      </c>
      <c r="H16" s="9">
        <f>'Proximal Validation (single)'!H16</f>
        <v>-6.0879066586494402E-4</v>
      </c>
      <c r="I16" s="9">
        <f>'Proximal Validation (single)'!I16</f>
        <v>4.7145899385213901E-2</v>
      </c>
      <c r="J16" s="9">
        <f>'Proximal Validation (single)'!J16</f>
        <v>-8.5028916597366305E-2</v>
      </c>
      <c r="K16" s="9">
        <f>'Proximal Validation (single)'!K16</f>
        <v>-7.4065491557121305E-2</v>
      </c>
      <c r="L16" s="9">
        <f>'Proximal Validation (single)'!L16</f>
        <v>-0.31546109914779702</v>
      </c>
      <c r="M16" s="9">
        <f>'Proximal Validation (single)'!M16</f>
        <v>-0.17043319344520599</v>
      </c>
      <c r="N16" s="9">
        <v>0.36612738651115245</v>
      </c>
      <c r="O16" s="9">
        <v>0.17777456591662716</v>
      </c>
      <c r="P16" s="9">
        <v>3.6376809469849047</v>
      </c>
      <c r="Q16" s="9">
        <v>1.4590277269635634</v>
      </c>
      <c r="R16" s="10">
        <v>1.4221141461835702E-6</v>
      </c>
      <c r="S16" s="8">
        <f t="shared" si="2"/>
        <v>3.3872613488847569E-2</v>
      </c>
      <c r="T16" s="8">
        <f t="shared" si="3"/>
        <v>1.7774565916627155E-2</v>
      </c>
      <c r="U16" s="8">
        <f t="shared" si="4"/>
        <v>2.7319053015095296E-2</v>
      </c>
      <c r="V16" s="8">
        <f t="shared" si="5"/>
        <v>0.11197227303643653</v>
      </c>
    </row>
    <row r="17" spans="1:22" x14ac:dyDescent="0.25">
      <c r="A17" s="9">
        <f>'Proximal Validation (single)'!A17</f>
        <v>0.3</v>
      </c>
      <c r="B17" s="9">
        <f>'Proximal Validation (single)'!B17</f>
        <v>0.18</v>
      </c>
      <c r="C17" s="9">
        <f>'Proximal Validation (single)'!C17</f>
        <v>3.665</v>
      </c>
      <c r="D17" s="9">
        <f>'Proximal Validation (single)'!D17</f>
        <v>1.571</v>
      </c>
      <c r="E17" s="9">
        <f>'Proximal Validation (single)'!E17</f>
        <v>0</v>
      </c>
      <c r="F17" s="9">
        <f>'Proximal Validation (single)'!F17</f>
        <v>0</v>
      </c>
      <c r="G17" s="9">
        <f>'Proximal Validation (single)'!G17</f>
        <v>0</v>
      </c>
      <c r="H17" s="9">
        <f>'Proximal Validation (single)'!H17</f>
        <v>3.8368394598364803E-5</v>
      </c>
      <c r="I17" s="9">
        <f>'Proximal Validation (single)'!I17</f>
        <v>3.2897148281335803E-2</v>
      </c>
      <c r="J17" s="9">
        <f>'Proximal Validation (single)'!J17</f>
        <v>-5.8571800589561497E-2</v>
      </c>
      <c r="K17" s="9">
        <f>'Proximal Validation (single)'!K17</f>
        <v>-6.3505612313747406E-2</v>
      </c>
      <c r="L17" s="9">
        <f>'Proximal Validation (single)'!L17</f>
        <v>-0.19738522171974199</v>
      </c>
      <c r="M17" s="9">
        <f>'Proximal Validation (single)'!M17</f>
        <v>-0.108248926699162</v>
      </c>
      <c r="N17" s="9">
        <v>0.23421672878108399</v>
      </c>
      <c r="O17" s="9">
        <v>0.2</v>
      </c>
      <c r="P17" s="9">
        <v>3.6440319872997566</v>
      </c>
      <c r="Q17" s="9">
        <v>1.5779801469705905</v>
      </c>
      <c r="R17" s="10">
        <v>1.7244628850512382E-6</v>
      </c>
      <c r="S17" s="8">
        <f t="shared" si="2"/>
        <v>6.5783271218916001E-2</v>
      </c>
      <c r="T17" s="8">
        <f t="shared" si="3"/>
        <v>2.0000000000000018E-2</v>
      </c>
      <c r="U17" s="8">
        <f t="shared" si="4"/>
        <v>2.0968012700243399E-2</v>
      </c>
      <c r="V17" s="8">
        <f t="shared" si="5"/>
        <v>6.9801469705905728E-3</v>
      </c>
    </row>
  </sheetData>
  <mergeCells count="5">
    <mergeCell ref="W1:Y1"/>
    <mergeCell ref="A1:G1"/>
    <mergeCell ref="H1:M1"/>
    <mergeCell ref="S1:U1"/>
    <mergeCell ref="N1:R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0B31-7E83-47D4-ACA7-98FCDDCC330D}">
  <dimension ref="A1:Z152"/>
  <sheetViews>
    <sheetView workbookViewId="0">
      <selection activeCell="Z3" sqref="Z3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26" ht="15.75" x14ac:dyDescent="0.25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25">
      <c r="A3" s="9">
        <v>0.3</v>
      </c>
      <c r="B3" s="9">
        <v>0.08</v>
      </c>
      <c r="C3" s="9">
        <v>1.571</v>
      </c>
      <c r="D3" s="9">
        <v>0.78500000000000003</v>
      </c>
      <c r="E3" s="9">
        <v>1.4</v>
      </c>
      <c r="F3" s="9">
        <v>0</v>
      </c>
      <c r="G3" s="9">
        <v>0</v>
      </c>
      <c r="H3" s="9">
        <f>'Proximal Validation (single)'!H3</f>
        <v>2.6342464843764901E-4</v>
      </c>
      <c r="I3" s="9">
        <f>'Proximal Validation (single)'!I3</f>
        <v>-3.2978262752294499E-2</v>
      </c>
      <c r="J3" s="9">
        <f>'Proximal Validation (single)'!J3</f>
        <v>5.6162860710173802E-4</v>
      </c>
      <c r="K3" s="9">
        <f>'Proximal Validation (single)'!K3</f>
        <v>0.185834720730782</v>
      </c>
      <c r="L3" s="9">
        <f>'Proximal Validation (single)'!L3</f>
        <v>1.13257020711899E-3</v>
      </c>
      <c r="M3" s="9">
        <f>'Proximal Validation (single)'!M3</f>
        <v>0.19288232922553999</v>
      </c>
      <c r="N3" s="9">
        <v>0.27774618754225555</v>
      </c>
      <c r="O3" s="9">
        <v>4.0975422970978739E-2</v>
      </c>
      <c r="P3" s="9">
        <v>1.6067075915913933</v>
      </c>
      <c r="Q3" s="9">
        <v>1.3988737064039209</v>
      </c>
      <c r="R3" s="10">
        <v>4.4664330738935809E-5</v>
      </c>
      <c r="S3" s="8">
        <f>ABS(N3-A3)</f>
        <v>2.2253812457744437E-2</v>
      </c>
      <c r="T3" s="8">
        <f t="shared" ref="T3:V3" si="0">ABS(O3-B3)</f>
        <v>3.9024577029021262E-2</v>
      </c>
      <c r="U3" s="8">
        <f t="shared" si="0"/>
        <v>3.5707591591393362E-2</v>
      </c>
      <c r="V3" s="8">
        <f t="shared" si="0"/>
        <v>0.61387370640392092</v>
      </c>
      <c r="W3" s="9">
        <f>AVERAGE(S3:S152)</f>
        <v>7.7779236891753298E-2</v>
      </c>
      <c r="X3" s="9">
        <f t="shared" ref="X3:Z3" si="1">AVERAGE(T3:T152)</f>
        <v>2.4188655669333137E-2</v>
      </c>
      <c r="Y3" s="9">
        <f t="shared" si="1"/>
        <v>0.13309405802332117</v>
      </c>
      <c r="Z3" s="9">
        <f t="shared" si="1"/>
        <v>0.25245780528273049</v>
      </c>
    </row>
    <row r="4" spans="1:26" x14ac:dyDescent="0.25">
      <c r="A4" s="9">
        <v>0.4</v>
      </c>
      <c r="B4" s="9">
        <v>0.14000000000000001</v>
      </c>
      <c r="C4" s="9">
        <v>1.571</v>
      </c>
      <c r="D4" s="9">
        <v>0.78500000000000003</v>
      </c>
      <c r="E4" s="9">
        <v>0</v>
      </c>
      <c r="F4" s="9">
        <v>0</v>
      </c>
      <c r="G4" s="9">
        <v>0</v>
      </c>
      <c r="H4" s="9">
        <f>'Proximal Validation (single)'!H4</f>
        <v>-4.3474312406033299E-4</v>
      </c>
      <c r="I4" s="9">
        <f>'Proximal Validation (single)'!I4</f>
        <v>-6.2425632029771798E-2</v>
      </c>
      <c r="J4" s="9">
        <f>'Proximal Validation (single)'!J4</f>
        <v>2.5845002382993698E-3</v>
      </c>
      <c r="K4" s="9">
        <f>'Proximal Validation (single)'!K4</f>
        <v>0.25303724408149703</v>
      </c>
      <c r="L4" s="9">
        <f>'Proximal Validation (single)'!L4</f>
        <v>1.07369087636471E-2</v>
      </c>
      <c r="M4" s="9">
        <f>'Proximal Validation (single)'!M4</f>
        <v>0.27653545141220098</v>
      </c>
      <c r="N4" s="9">
        <v>0.42533670198057194</v>
      </c>
      <c r="O4" s="9">
        <v>0.12215216322798711</v>
      </c>
      <c r="P4" s="9">
        <v>1.2093064128230355</v>
      </c>
      <c r="Q4" s="9">
        <v>0.63665086104325486</v>
      </c>
      <c r="R4" s="10">
        <v>4.4126491521984319E-4</v>
      </c>
      <c r="S4" s="8">
        <f t="shared" ref="S4:S67" si="2">ABS(N4-A4)</f>
        <v>2.5336701980571918E-2</v>
      </c>
      <c r="T4" s="8">
        <f t="shared" ref="T4:T67" si="3">ABS(O4-B4)</f>
        <v>1.7847836772012904E-2</v>
      </c>
      <c r="U4" s="8">
        <f t="shared" ref="U4:U67" si="4">ABS(P4-C4)</f>
        <v>0.36169358717696443</v>
      </c>
      <c r="V4" s="8">
        <f t="shared" ref="V4:V67" si="5">ABS(Q4-D4)</f>
        <v>0.14834913895674517</v>
      </c>
      <c r="Y4">
        <f>DEGREES(Y3)</f>
        <v>7.6257278030055948</v>
      </c>
      <c r="Z4">
        <f>DEGREES(Z3)</f>
        <v>14.464766747835995</v>
      </c>
    </row>
    <row r="5" spans="1:26" x14ac:dyDescent="0.25">
      <c r="A5" s="9">
        <v>0.6</v>
      </c>
      <c r="B5" s="9">
        <v>0.16</v>
      </c>
      <c r="C5" s="9">
        <v>1.571</v>
      </c>
      <c r="D5" s="9">
        <v>0.78500000000000003</v>
      </c>
      <c r="E5" s="9">
        <v>1.4</v>
      </c>
      <c r="F5" s="9">
        <v>0</v>
      </c>
      <c r="G5" s="9">
        <v>0</v>
      </c>
      <c r="H5" s="9">
        <f>'Proximal Validation (single)'!H5</f>
        <v>5.3234044462442398E-3</v>
      </c>
      <c r="I5" s="9">
        <f>'Proximal Validation (single)'!I5</f>
        <v>-0.12275674194097499</v>
      </c>
      <c r="J5" s="9">
        <f>'Proximal Validation (single)'!J5</f>
        <v>-8.3989212289452605E-3</v>
      </c>
      <c r="K5" s="9">
        <f>'Proximal Validation (single)'!K5</f>
        <v>0.26806160807609603</v>
      </c>
      <c r="L5" s="9">
        <f>'Proximal Validation (single)'!L5</f>
        <v>-2.4467468261718799E-2</v>
      </c>
      <c r="M5" s="9">
        <f>'Proximal Validation (single)'!M5</f>
        <v>0.52633810043335005</v>
      </c>
      <c r="N5" s="9">
        <v>0.67236059086556377</v>
      </c>
      <c r="O5" s="9">
        <v>0.1828444448450697</v>
      </c>
      <c r="P5" s="9">
        <v>1.9753465100987855</v>
      </c>
      <c r="Q5" s="9">
        <v>0.43493428578081045</v>
      </c>
      <c r="R5" s="10">
        <v>3.2318152901302487E-4</v>
      </c>
      <c r="S5" s="8">
        <f t="shared" si="2"/>
        <v>7.236059086556379E-2</v>
      </c>
      <c r="T5" s="8">
        <f t="shared" si="3"/>
        <v>2.28444448450697E-2</v>
      </c>
      <c r="U5" s="8">
        <f t="shared" si="4"/>
        <v>0.40434651009878553</v>
      </c>
      <c r="V5" s="8">
        <f t="shared" si="5"/>
        <v>0.35006571421918958</v>
      </c>
    </row>
    <row r="6" spans="1:26" x14ac:dyDescent="0.25">
      <c r="A6" s="9">
        <v>0.4</v>
      </c>
      <c r="B6" s="9">
        <v>0.06</v>
      </c>
      <c r="C6" s="9">
        <v>1.571</v>
      </c>
      <c r="D6" s="9">
        <v>1.571</v>
      </c>
      <c r="E6" s="9">
        <v>1.4</v>
      </c>
      <c r="F6" s="9">
        <v>0</v>
      </c>
      <c r="G6" s="9">
        <v>0</v>
      </c>
      <c r="H6" s="9">
        <f>'Proximal Validation (single)'!H6</f>
        <v>6.7002582363784302E-4</v>
      </c>
      <c r="I6" s="9">
        <f>'Proximal Validation (single)'!I6</f>
        <v>-6.6750191152095795E-2</v>
      </c>
      <c r="J6" s="9">
        <f>'Proximal Validation (single)'!J6</f>
        <v>1.6002767952158999E-3</v>
      </c>
      <c r="K6" s="9">
        <f>'Proximal Validation (single)'!K6</f>
        <v>-3.97013984620571E-2</v>
      </c>
      <c r="L6" s="9">
        <f>'Proximal Validation (single)'!L6</f>
        <v>7.3561742901802098E-3</v>
      </c>
      <c r="M6" s="9">
        <f>'Proximal Validation (single)'!M6</f>
        <v>0.423814177513123</v>
      </c>
      <c r="N6" s="9">
        <v>0.45530647086675252</v>
      </c>
      <c r="O6" s="9">
        <v>5.8971501076489054E-2</v>
      </c>
      <c r="P6" s="9">
        <v>1.4891782893788559</v>
      </c>
      <c r="Q6" s="9">
        <v>1.6819344416871909</v>
      </c>
      <c r="R6" s="10">
        <v>8.9140643609377914E-5</v>
      </c>
      <c r="S6" s="8">
        <f t="shared" si="2"/>
        <v>5.53064708667525E-2</v>
      </c>
      <c r="T6" s="8">
        <f t="shared" si="3"/>
        <v>1.028498923510944E-3</v>
      </c>
      <c r="U6" s="8">
        <f t="shared" si="4"/>
        <v>8.1821710621144073E-2</v>
      </c>
      <c r="V6" s="8">
        <f t="shared" si="5"/>
        <v>0.11093444168719091</v>
      </c>
    </row>
    <row r="7" spans="1:26" x14ac:dyDescent="0.25">
      <c r="A7" s="9">
        <v>0.8</v>
      </c>
      <c r="B7" s="9">
        <v>0.08</v>
      </c>
      <c r="C7" s="9">
        <v>1.571</v>
      </c>
      <c r="D7" s="9">
        <v>1.571</v>
      </c>
      <c r="E7" s="9">
        <v>0</v>
      </c>
      <c r="F7" s="9">
        <v>0</v>
      </c>
      <c r="G7" s="9">
        <v>0</v>
      </c>
      <c r="H7" s="9">
        <f>'Proximal Validation (single)'!H7</f>
        <v>7.4092089198529699E-4</v>
      </c>
      <c r="I7" s="9">
        <f>'Proximal Validation (single)'!I7</f>
        <v>-0.14775538444519001</v>
      </c>
      <c r="J7" s="9">
        <f>'Proximal Validation (single)'!J7</f>
        <v>3.4220633096993E-3</v>
      </c>
      <c r="K7" s="9">
        <f>'Proximal Validation (single)'!K7</f>
        <v>-0.161362335085869</v>
      </c>
      <c r="L7" s="9">
        <f>'Proximal Validation (single)'!L7</f>
        <v>2.0262047648429898E-2</v>
      </c>
      <c r="M7" s="9">
        <f>'Proximal Validation (single)'!M7</f>
        <v>0.82944488525390603</v>
      </c>
      <c r="N7" s="9">
        <v>0.88126118211359594</v>
      </c>
      <c r="O7" s="9">
        <v>7.7032300991351096E-2</v>
      </c>
      <c r="P7" s="9">
        <v>1.4886538489083367</v>
      </c>
      <c r="Q7" s="9">
        <v>1.514925016638222</v>
      </c>
      <c r="R7" s="10">
        <v>1.3775842739129746E-4</v>
      </c>
      <c r="S7" s="8">
        <f t="shared" si="2"/>
        <v>8.1261182113595898E-2</v>
      </c>
      <c r="T7" s="8">
        <f t="shared" si="3"/>
        <v>2.9676990086489052E-3</v>
      </c>
      <c r="U7" s="8">
        <f t="shared" si="4"/>
        <v>8.2346151091663211E-2</v>
      </c>
      <c r="V7" s="8">
        <f t="shared" si="5"/>
        <v>5.6074983361777964E-2</v>
      </c>
    </row>
    <row r="8" spans="1:26" x14ac:dyDescent="0.25">
      <c r="A8" s="9">
        <v>0.7</v>
      </c>
      <c r="B8" s="9">
        <v>0.16</v>
      </c>
      <c r="C8" s="9">
        <v>1.571</v>
      </c>
      <c r="D8" s="9">
        <v>1.571</v>
      </c>
      <c r="E8" s="9">
        <v>1.4</v>
      </c>
      <c r="F8" s="9">
        <v>0</v>
      </c>
      <c r="G8" s="9">
        <v>0</v>
      </c>
      <c r="H8" s="9">
        <f>'Proximal Validation (single)'!H8</f>
        <v>6.6551081836223602E-3</v>
      </c>
      <c r="I8" s="9">
        <f>'Proximal Validation (single)'!I8</f>
        <v>-0.148307904601097</v>
      </c>
      <c r="J8" s="9">
        <f>'Proximal Validation (single)'!J8</f>
        <v>-1.0527462000027299E-3</v>
      </c>
      <c r="K8" s="9">
        <f>'Proximal Validation (single)'!K8</f>
        <v>-0.444706320762634</v>
      </c>
      <c r="L8" s="9">
        <f>'Proximal Validation (single)'!L8</f>
        <v>-2.19946205615997E-2</v>
      </c>
      <c r="M8" s="9">
        <f>'Proximal Validation (single)'!M8</f>
        <v>0.489793181419373</v>
      </c>
      <c r="N8" s="9">
        <v>0.69553959411165334</v>
      </c>
      <c r="O8" s="9">
        <v>0.18661614967851495</v>
      </c>
      <c r="P8" s="9">
        <v>1.6072299102595797</v>
      </c>
      <c r="Q8" s="9">
        <v>1.7058172634595157</v>
      </c>
      <c r="R8" s="10">
        <v>1.2340762097230501E-4</v>
      </c>
      <c r="S8" s="8">
        <f t="shared" si="2"/>
        <v>4.4604058883466191E-3</v>
      </c>
      <c r="T8" s="8">
        <f t="shared" si="3"/>
        <v>2.6616149678514944E-2</v>
      </c>
      <c r="U8" s="8">
        <f t="shared" si="4"/>
        <v>3.6229910259579778E-2</v>
      </c>
      <c r="V8" s="8">
        <f t="shared" si="5"/>
        <v>0.13481726345951572</v>
      </c>
    </row>
    <row r="9" spans="1:26" x14ac:dyDescent="0.25">
      <c r="A9" s="9">
        <v>0.7</v>
      </c>
      <c r="B9" s="9">
        <v>0.2</v>
      </c>
      <c r="C9" s="9">
        <v>1.571</v>
      </c>
      <c r="D9" s="9">
        <v>1.571</v>
      </c>
      <c r="E9" s="9">
        <v>0</v>
      </c>
      <c r="F9" s="9">
        <v>0</v>
      </c>
      <c r="G9" s="9">
        <v>0</v>
      </c>
      <c r="H9" s="9">
        <f>'Proximal Validation (single)'!H9</f>
        <v>8.7637116666883198E-4</v>
      </c>
      <c r="I9" s="9">
        <f>'Proximal Validation (single)'!I9</f>
        <v>-0.164488449692726</v>
      </c>
      <c r="J9" s="9">
        <f>'Proximal Validation (single)'!J9</f>
        <v>3.7763002328574701E-3</v>
      </c>
      <c r="K9" s="9">
        <f>'Proximal Validation (single)'!K9</f>
        <v>-0.58729076385498002</v>
      </c>
      <c r="L9" s="9">
        <f>'Proximal Validation (single)'!L9</f>
        <v>7.8071318566799199E-3</v>
      </c>
      <c r="M9" s="9">
        <f>'Proximal Validation (single)'!M9</f>
        <v>0.38755592703819303</v>
      </c>
      <c r="N9" s="9">
        <v>0.88833235308217173</v>
      </c>
      <c r="O9" s="9">
        <v>0.19998891225794668</v>
      </c>
      <c r="P9" s="9">
        <v>1.5191059260078614</v>
      </c>
      <c r="Q9" s="9">
        <v>2.0088089883969658</v>
      </c>
      <c r="R9" s="10">
        <v>7.506577941752611E-4</v>
      </c>
      <c r="S9" s="8">
        <f t="shared" si="2"/>
        <v>0.18833235308217178</v>
      </c>
      <c r="T9" s="8">
        <f t="shared" si="3"/>
        <v>1.1087742053328409E-5</v>
      </c>
      <c r="U9" s="8">
        <f t="shared" si="4"/>
        <v>5.1894073992138523E-2</v>
      </c>
      <c r="V9" s="8">
        <f t="shared" si="5"/>
        <v>0.4378089883969658</v>
      </c>
    </row>
    <row r="10" spans="1:26" x14ac:dyDescent="0.25">
      <c r="A10" s="9">
        <v>0.7</v>
      </c>
      <c r="B10" s="9">
        <v>0.06</v>
      </c>
      <c r="C10" s="9">
        <v>3.665</v>
      </c>
      <c r="D10" s="9">
        <v>0.78500000000000003</v>
      </c>
      <c r="E10" s="9">
        <v>0</v>
      </c>
      <c r="F10" s="9">
        <v>0</v>
      </c>
      <c r="G10" s="9">
        <v>0</v>
      </c>
      <c r="H10" s="9">
        <f>'Proximal Validation (single)'!H10</f>
        <v>-8.6323916912078901E-4</v>
      </c>
      <c r="I10" s="9">
        <f>'Proximal Validation (single)'!I10</f>
        <v>4.2902048677205998E-2</v>
      </c>
      <c r="J10" s="9">
        <f>'Proximal Validation (single)'!J10</f>
        <v>-8.0319754779338795E-2</v>
      </c>
      <c r="K10" s="9">
        <f>'Proximal Validation (single)'!K10</f>
        <v>0.61245459318161</v>
      </c>
      <c r="L10" s="9">
        <f>'Proximal Validation (single)'!L10</f>
        <v>-0.54026973247528098</v>
      </c>
      <c r="M10" s="9">
        <f>'Proximal Validation (single)'!M10</f>
        <v>-0.28817486763000499</v>
      </c>
      <c r="N10" s="9">
        <v>0.94136049515411901</v>
      </c>
      <c r="O10" s="9">
        <v>3.5340404285181093E-2</v>
      </c>
      <c r="P10" s="9">
        <v>3.5609491495029446</v>
      </c>
      <c r="Q10" s="9">
        <v>0.82365613061768272</v>
      </c>
      <c r="R10" s="10">
        <v>1.5470315737394334E-4</v>
      </c>
      <c r="S10" s="8">
        <f t="shared" si="2"/>
        <v>0.24136049515411906</v>
      </c>
      <c r="T10" s="8">
        <f t="shared" si="3"/>
        <v>2.4659595714818905E-2</v>
      </c>
      <c r="U10" s="8">
        <f t="shared" si="4"/>
        <v>0.10405085049705542</v>
      </c>
      <c r="V10" s="8">
        <f t="shared" si="5"/>
        <v>3.8656130617682694E-2</v>
      </c>
    </row>
    <row r="11" spans="1:26" x14ac:dyDescent="0.25">
      <c r="A11" s="9">
        <v>0.6</v>
      </c>
      <c r="B11" s="9">
        <v>0.1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(single)'!H11</f>
        <v>-8.0120982602238698E-4</v>
      </c>
      <c r="I11" s="9">
        <f>'Proximal Validation (single)'!I11</f>
        <v>4.2666438966989503E-2</v>
      </c>
      <c r="J11" s="9">
        <f>'Proximal Validation (single)'!J11</f>
        <v>-8.0293677747249603E-2</v>
      </c>
      <c r="K11" s="9">
        <f>'Proximal Validation (single)'!K11</f>
        <v>0.443310797214508</v>
      </c>
      <c r="L11" s="9">
        <f>'Proximal Validation (single)'!L11</f>
        <v>-0.42717015743255599</v>
      </c>
      <c r="M11" s="9">
        <f>'Proximal Validation (single)'!M11</f>
        <v>-0.22529536485672</v>
      </c>
      <c r="N11" s="9">
        <v>0.63060068138767866</v>
      </c>
      <c r="O11" s="9">
        <v>9.4140700871724672E-2</v>
      </c>
      <c r="P11" s="9">
        <v>3.5017777952584828</v>
      </c>
      <c r="Q11" s="9">
        <v>0.89548130285438965</v>
      </c>
      <c r="R11" s="10">
        <v>1.1432198470542207E-4</v>
      </c>
      <c r="S11" s="8">
        <f t="shared" si="2"/>
        <v>3.0600681387678685E-2</v>
      </c>
      <c r="T11" s="8">
        <f t="shared" si="3"/>
        <v>5.8592991282753332E-3</v>
      </c>
      <c r="U11" s="8">
        <f t="shared" si="4"/>
        <v>0.16322220474151727</v>
      </c>
      <c r="V11" s="8">
        <f t="shared" si="5"/>
        <v>0.11048130285438962</v>
      </c>
    </row>
    <row r="12" spans="1:26" x14ac:dyDescent="0.25">
      <c r="A12" s="9">
        <v>0.8</v>
      </c>
      <c r="B12" s="9">
        <v>0.18</v>
      </c>
      <c r="C12" s="9">
        <v>3.665</v>
      </c>
      <c r="D12" s="9">
        <v>0.78500000000000003</v>
      </c>
      <c r="E12" s="9">
        <v>1.4</v>
      </c>
      <c r="F12" s="9">
        <v>0</v>
      </c>
      <c r="G12" s="9">
        <v>0</v>
      </c>
      <c r="H12" s="9">
        <f>'Proximal Validation (single)'!H12</f>
        <v>-5.5334065109491301E-5</v>
      </c>
      <c r="I12" s="9">
        <f>'Proximal Validation (single)'!I12</f>
        <v>7.7956624329090105E-2</v>
      </c>
      <c r="J12" s="9">
        <f>'Proximal Validation (single)'!J12</f>
        <v>-0.13737398386001601</v>
      </c>
      <c r="K12" s="9">
        <f>'Proximal Validation (single)'!K12</f>
        <v>0.41918036341667197</v>
      </c>
      <c r="L12" s="9">
        <f>'Proximal Validation (single)'!L12</f>
        <v>-0.55125319957733199</v>
      </c>
      <c r="M12" s="9">
        <f>'Proximal Validation (single)'!M12</f>
        <v>-0.30630308389663702</v>
      </c>
      <c r="N12" s="9">
        <v>0.82408850284728474</v>
      </c>
      <c r="O12" s="9">
        <v>0.19484017245140001</v>
      </c>
      <c r="P12" s="9">
        <v>3.7114017404927617</v>
      </c>
      <c r="Q12" s="9">
        <v>0.55778254863129162</v>
      </c>
      <c r="R12" s="10">
        <v>8.2152069949957727E-5</v>
      </c>
      <c r="S12" s="8">
        <f t="shared" si="2"/>
        <v>2.4088502847284698E-2</v>
      </c>
      <c r="T12" s="8">
        <f t="shared" si="3"/>
        <v>1.4840172451400013E-2</v>
      </c>
      <c r="U12" s="8">
        <f t="shared" si="4"/>
        <v>4.6401740492761689E-2</v>
      </c>
      <c r="V12" s="8">
        <f t="shared" si="5"/>
        <v>0.22721745136870841</v>
      </c>
    </row>
    <row r="13" spans="1:26" x14ac:dyDescent="0.25">
      <c r="A13" s="9">
        <v>0.4</v>
      </c>
      <c r="B13" s="9">
        <v>0.2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(single)'!H13</f>
        <v>-9.6024014055728899E-5</v>
      </c>
      <c r="I13" s="9">
        <f>'Proximal Validation (single)'!I13</f>
        <v>3.4424368292093298E-2</v>
      </c>
      <c r="J13" s="9">
        <f>'Proximal Validation (single)'!J13</f>
        <v>-6.16564750671387E-2</v>
      </c>
      <c r="K13" s="9">
        <f>'Proximal Validation (single)'!K13</f>
        <v>0.267098218202591</v>
      </c>
      <c r="L13" s="9">
        <f>'Proximal Validation (single)'!L13</f>
        <v>-0.21448078751564001</v>
      </c>
      <c r="M13" s="9">
        <f>'Proximal Validation (single)'!M13</f>
        <v>-0.115060687065125</v>
      </c>
      <c r="N13" s="9">
        <v>0.37539717537790818</v>
      </c>
      <c r="O13" s="9">
        <v>0.19999883030366869</v>
      </c>
      <c r="P13" s="9">
        <v>3.6203972566551763</v>
      </c>
      <c r="Q13" s="9">
        <v>0.68152177708476069</v>
      </c>
      <c r="R13" s="10">
        <v>1.8289057736556141E-5</v>
      </c>
      <c r="S13" s="8">
        <f t="shared" si="2"/>
        <v>2.4602824622091846E-2</v>
      </c>
      <c r="T13" s="8">
        <f t="shared" si="3"/>
        <v>1.1696963313212461E-6</v>
      </c>
      <c r="U13" s="8">
        <f t="shared" si="4"/>
        <v>4.4602743344823725E-2</v>
      </c>
      <c r="V13" s="8">
        <f t="shared" si="5"/>
        <v>0.10347822291523934</v>
      </c>
    </row>
    <row r="14" spans="1:26" x14ac:dyDescent="0.25">
      <c r="A14" s="9">
        <v>0.4</v>
      </c>
      <c r="B14" s="9">
        <v>0.1</v>
      </c>
      <c r="C14" s="9">
        <v>3.665</v>
      </c>
      <c r="D14" s="9">
        <v>1.571</v>
      </c>
      <c r="E14" s="9">
        <v>1.4</v>
      </c>
      <c r="F14" s="9">
        <v>0</v>
      </c>
      <c r="G14" s="9">
        <v>0</v>
      </c>
      <c r="H14" s="9">
        <f>'Proximal Validation (single)'!H14</f>
        <v>-3.7108035758137698E-4</v>
      </c>
      <c r="I14" s="9">
        <f>'Proximal Validation (single)'!I14</f>
        <v>3.7644270807504703E-2</v>
      </c>
      <c r="J14" s="9">
        <f>'Proximal Validation (single)'!J14</f>
        <v>-6.73996657133102E-2</v>
      </c>
      <c r="K14" s="9">
        <f>'Proximal Validation (single)'!K14</f>
        <v>1.67829748243093E-2</v>
      </c>
      <c r="L14" s="9">
        <f>'Proximal Validation (single)'!L14</f>
        <v>-0.33880779147148099</v>
      </c>
      <c r="M14" s="9">
        <f>'Proximal Validation (single)'!M14</f>
        <v>-0.185297966003418</v>
      </c>
      <c r="N14" s="9">
        <v>0.40432574534300331</v>
      </c>
      <c r="O14" s="9">
        <v>0.15357177979533759</v>
      </c>
      <c r="P14" s="9">
        <v>3.1664275499090353</v>
      </c>
      <c r="Q14" s="9">
        <v>2.3785535130224758</v>
      </c>
      <c r="R14" s="10">
        <v>8.8780632435673384E-4</v>
      </c>
      <c r="S14" s="8">
        <f t="shared" si="2"/>
        <v>4.3257453430032844E-3</v>
      </c>
      <c r="T14" s="8">
        <f t="shared" si="3"/>
        <v>5.3571779795337587E-2</v>
      </c>
      <c r="U14" s="8">
        <f t="shared" si="4"/>
        <v>0.49857245009096474</v>
      </c>
      <c r="V14" s="8">
        <f t="shared" si="5"/>
        <v>0.8075535130224758</v>
      </c>
    </row>
    <row r="15" spans="1:26" x14ac:dyDescent="0.25">
      <c r="A15" s="9">
        <v>0.7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(single)'!H15</f>
        <v>-1.02429185062647E-3</v>
      </c>
      <c r="I15" s="9">
        <f>'Proximal Validation (single)'!I15</f>
        <v>7.0613205432891804E-2</v>
      </c>
      <c r="J15" s="9">
        <f>'Proximal Validation (single)'!J15</f>
        <v>-0.12678831815719599</v>
      </c>
      <c r="K15" s="9">
        <f>'Proximal Validation (single)'!K15</f>
        <v>-2.9671346768736801E-2</v>
      </c>
      <c r="L15" s="9">
        <f>'Proximal Validation (single)'!L15</f>
        <v>-0.63574087619781505</v>
      </c>
      <c r="M15" s="9">
        <f>'Proximal Validation (single)'!M15</f>
        <v>-0.34651768207549999</v>
      </c>
      <c r="N15" s="9">
        <v>0.71194151074118872</v>
      </c>
      <c r="O15" s="9">
        <v>0.11262051213282355</v>
      </c>
      <c r="P15" s="9">
        <v>3.622541854662555</v>
      </c>
      <c r="Q15" s="9">
        <v>1.4101607666354798</v>
      </c>
      <c r="R15" s="10">
        <v>1.3090745827114086E-4</v>
      </c>
      <c r="S15" s="8">
        <f t="shared" si="2"/>
        <v>1.1941510741188766E-2</v>
      </c>
      <c r="T15" s="8">
        <f t="shared" si="3"/>
        <v>1.2620512132823544E-2</v>
      </c>
      <c r="U15" s="8">
        <f t="shared" si="4"/>
        <v>4.2458145337445075E-2</v>
      </c>
      <c r="V15" s="8">
        <f t="shared" si="5"/>
        <v>0.16083923336452011</v>
      </c>
    </row>
    <row r="16" spans="1:26" x14ac:dyDescent="0.25">
      <c r="A16" s="9">
        <v>0.4</v>
      </c>
      <c r="B16" s="9">
        <v>0.16</v>
      </c>
      <c r="C16" s="9">
        <v>3.665</v>
      </c>
      <c r="D16" s="9">
        <v>1.571</v>
      </c>
      <c r="E16" s="9">
        <v>0</v>
      </c>
      <c r="F16" s="9">
        <v>0</v>
      </c>
      <c r="G16" s="9">
        <v>0</v>
      </c>
      <c r="H16" s="9">
        <f>'Proximal Validation (single)'!H16</f>
        <v>-6.0879066586494402E-4</v>
      </c>
      <c r="I16" s="9">
        <f>'Proximal Validation (single)'!I16</f>
        <v>4.7145899385213901E-2</v>
      </c>
      <c r="J16" s="9">
        <f>'Proximal Validation (single)'!J16</f>
        <v>-8.5028916597366305E-2</v>
      </c>
      <c r="K16" s="9">
        <f>'Proximal Validation (single)'!K16</f>
        <v>-7.4065491557121305E-2</v>
      </c>
      <c r="L16" s="9">
        <f>'Proximal Validation (single)'!L16</f>
        <v>-0.31546109914779702</v>
      </c>
      <c r="M16" s="9">
        <f>'Proximal Validation (single)'!M16</f>
        <v>-0.17043319344520599</v>
      </c>
      <c r="N16" s="9">
        <v>0.55442235497458503</v>
      </c>
      <c r="O16" s="9">
        <v>0.10166803368390598</v>
      </c>
      <c r="P16" s="9">
        <v>3.6476578917054043</v>
      </c>
      <c r="Q16" s="9">
        <v>1.9002185654995942</v>
      </c>
      <c r="R16" s="10">
        <v>1.9951131458687783E-6</v>
      </c>
      <c r="S16" s="8">
        <f t="shared" si="2"/>
        <v>0.15442235497458501</v>
      </c>
      <c r="T16" s="8">
        <f t="shared" si="3"/>
        <v>5.8331966316094025E-2</v>
      </c>
      <c r="U16" s="8">
        <f t="shared" si="4"/>
        <v>1.7342108294595704E-2</v>
      </c>
      <c r="V16" s="8">
        <f t="shared" si="5"/>
        <v>0.32921856549959427</v>
      </c>
    </row>
    <row r="17" spans="1:22" x14ac:dyDescent="0.25">
      <c r="A17" s="9">
        <v>0.3</v>
      </c>
      <c r="B17" s="9">
        <v>0.18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(single)'!H17</f>
        <v>3.8368394598364803E-5</v>
      </c>
      <c r="I17" s="9">
        <f>'Proximal Validation (single)'!I17</f>
        <v>3.2897148281335803E-2</v>
      </c>
      <c r="J17" s="9">
        <f>'Proximal Validation (single)'!J17</f>
        <v>-5.8571800589561497E-2</v>
      </c>
      <c r="K17" s="9">
        <f>'Proximal Validation (single)'!K17</f>
        <v>-6.3505612313747406E-2</v>
      </c>
      <c r="L17" s="9">
        <f>'Proximal Validation (single)'!L17</f>
        <v>-0.19738522171974199</v>
      </c>
      <c r="M17" s="9">
        <f>'Proximal Validation (single)'!M17</f>
        <v>-0.108248926699162</v>
      </c>
      <c r="N17" s="9">
        <v>0.22496617869497881</v>
      </c>
      <c r="O17" s="9">
        <v>0.19998159016810799</v>
      </c>
      <c r="P17" s="9">
        <v>3.8312019062652776</v>
      </c>
      <c r="Q17" s="9">
        <v>1.8112269368818805</v>
      </c>
      <c r="R17" s="10">
        <v>2.0191667504132927E-4</v>
      </c>
      <c r="S17" s="8">
        <f t="shared" si="2"/>
        <v>7.5033821305021176E-2</v>
      </c>
      <c r="T17" s="8">
        <f t="shared" si="3"/>
        <v>1.9981590168107993E-2</v>
      </c>
      <c r="U17" s="8">
        <f t="shared" si="4"/>
        <v>0.16620190626527753</v>
      </c>
      <c r="V17" s="8">
        <f t="shared" si="5"/>
        <v>0.24022693688188057</v>
      </c>
    </row>
    <row r="18" spans="1:22" x14ac:dyDescent="0.25">
      <c r="A18" s="9">
        <v>0.3</v>
      </c>
      <c r="B18" s="9">
        <v>0.08</v>
      </c>
      <c r="C18" s="9">
        <v>1.571</v>
      </c>
      <c r="D18" s="9">
        <v>0.78500000000000003</v>
      </c>
      <c r="E18" s="9">
        <v>1.4</v>
      </c>
      <c r="F18" s="9">
        <v>0</v>
      </c>
      <c r="G18" s="9">
        <v>0</v>
      </c>
      <c r="N18" s="9">
        <v>0.45538996317026359</v>
      </c>
      <c r="O18" s="9">
        <v>2.9543701800781461E-2</v>
      </c>
      <c r="P18" s="9">
        <v>1.7215304332816357</v>
      </c>
      <c r="Q18" s="9">
        <v>0.61655334986827248</v>
      </c>
      <c r="R18" s="10">
        <v>3.882879711333406E-5</v>
      </c>
      <c r="S18" s="8">
        <f t="shared" si="2"/>
        <v>0.1553899631702636</v>
      </c>
      <c r="T18" s="8">
        <f t="shared" si="3"/>
        <v>5.0456298199218541E-2</v>
      </c>
      <c r="U18" s="8">
        <f t="shared" si="4"/>
        <v>0.15053043328163573</v>
      </c>
      <c r="V18" s="8">
        <f t="shared" si="5"/>
        <v>0.16844665013172755</v>
      </c>
    </row>
    <row r="19" spans="1:22" x14ac:dyDescent="0.25">
      <c r="A19" s="9">
        <v>0.4</v>
      </c>
      <c r="B19" s="9">
        <v>0.14000000000000001</v>
      </c>
      <c r="C19" s="9">
        <v>1.571</v>
      </c>
      <c r="D19" s="9">
        <v>0.78500000000000003</v>
      </c>
      <c r="E19" s="9">
        <v>0</v>
      </c>
      <c r="F19" s="9">
        <v>0</v>
      </c>
      <c r="G19" s="9">
        <v>0</v>
      </c>
      <c r="N19" s="9">
        <v>0.31785909566275783</v>
      </c>
      <c r="O19" s="9">
        <v>9.7066634684878195E-2</v>
      </c>
      <c r="P19" s="9">
        <v>1.7979149895675408</v>
      </c>
      <c r="Q19" s="9">
        <v>1.3869157388364906</v>
      </c>
      <c r="R19" s="10">
        <v>3.6381363674069982E-4</v>
      </c>
      <c r="S19" s="8">
        <f t="shared" si="2"/>
        <v>8.2140904337242193E-2</v>
      </c>
      <c r="T19" s="8">
        <f t="shared" si="3"/>
        <v>4.2933365315121819E-2</v>
      </c>
      <c r="U19" s="8">
        <f t="shared" si="4"/>
        <v>0.22691498956754086</v>
      </c>
      <c r="V19" s="8">
        <f t="shared" si="5"/>
        <v>0.60191573883649052</v>
      </c>
    </row>
    <row r="20" spans="1:22" x14ac:dyDescent="0.25">
      <c r="A20" s="9">
        <v>0.6</v>
      </c>
      <c r="B20" s="9">
        <v>0.16</v>
      </c>
      <c r="C20" s="9">
        <v>1.571</v>
      </c>
      <c r="D20" s="9">
        <v>0.78500000000000003</v>
      </c>
      <c r="E20" s="9">
        <v>1.4</v>
      </c>
      <c r="F20" s="9">
        <v>0</v>
      </c>
      <c r="G20" s="9">
        <v>0</v>
      </c>
      <c r="N20" s="9">
        <v>0.55811342515702322</v>
      </c>
      <c r="O20" s="9">
        <v>0.19933497012745854</v>
      </c>
      <c r="P20" s="9">
        <v>1.7927638236368473</v>
      </c>
      <c r="Q20" s="9">
        <v>0.55018079684838217</v>
      </c>
      <c r="R20" s="10">
        <v>1.2172350646528901E-4</v>
      </c>
      <c r="S20" s="8">
        <f t="shared" si="2"/>
        <v>4.1886574842976754E-2</v>
      </c>
      <c r="T20" s="8">
        <f t="shared" si="3"/>
        <v>3.9334970127458541E-2</v>
      </c>
      <c r="U20" s="8">
        <f t="shared" si="4"/>
        <v>0.22176382363684732</v>
      </c>
      <c r="V20" s="8">
        <f t="shared" si="5"/>
        <v>0.23481920315161786</v>
      </c>
    </row>
    <row r="21" spans="1:22" x14ac:dyDescent="0.25">
      <c r="A21" s="9">
        <v>0.4</v>
      </c>
      <c r="B21" s="9">
        <v>0.06</v>
      </c>
      <c r="C21" s="9">
        <v>1.571</v>
      </c>
      <c r="D21" s="9">
        <v>1.571</v>
      </c>
      <c r="E21" s="9">
        <v>1.4</v>
      </c>
      <c r="F21" s="9">
        <v>0</v>
      </c>
      <c r="G21" s="9">
        <v>0</v>
      </c>
      <c r="N21" s="9">
        <v>0.42628115664984501</v>
      </c>
      <c r="O21" s="9">
        <v>7.3094879098391949E-2</v>
      </c>
      <c r="P21" s="9">
        <v>1.6210088253257593</v>
      </c>
      <c r="Q21" s="9">
        <v>1.2735975550387948</v>
      </c>
      <c r="R21" s="10">
        <v>1.1767378324160625E-4</v>
      </c>
      <c r="S21" s="8">
        <f t="shared" si="2"/>
        <v>2.6281156649844983E-2</v>
      </c>
      <c r="T21" s="8">
        <f t="shared" si="3"/>
        <v>1.3094879098391951E-2</v>
      </c>
      <c r="U21" s="8">
        <f t="shared" si="4"/>
        <v>5.0008825325759343E-2</v>
      </c>
      <c r="V21" s="8">
        <f t="shared" si="5"/>
        <v>0.29740244496120516</v>
      </c>
    </row>
    <row r="22" spans="1:22" x14ac:dyDescent="0.25">
      <c r="A22" s="9">
        <v>0.8</v>
      </c>
      <c r="B22" s="9">
        <v>0.08</v>
      </c>
      <c r="C22" s="9">
        <v>1.571</v>
      </c>
      <c r="D22" s="9">
        <v>1.571</v>
      </c>
      <c r="E22" s="9">
        <v>0</v>
      </c>
      <c r="F22" s="9">
        <v>0</v>
      </c>
      <c r="G22" s="9">
        <v>0</v>
      </c>
      <c r="N22" s="9">
        <v>0.95514238922033601</v>
      </c>
      <c r="O22" s="9">
        <v>6.454798248529961E-2</v>
      </c>
      <c r="P22" s="9">
        <v>1.4842206388206505</v>
      </c>
      <c r="Q22" s="9">
        <v>1.742312918569404</v>
      </c>
      <c r="R22" s="10">
        <v>1.128222660731221E-4</v>
      </c>
      <c r="S22" s="8">
        <f t="shared" si="2"/>
        <v>0.15514238922033596</v>
      </c>
      <c r="T22" s="8">
        <f t="shared" si="3"/>
        <v>1.5452017514700392E-2</v>
      </c>
      <c r="U22" s="8">
        <f t="shared" si="4"/>
        <v>8.6779361179349479E-2</v>
      </c>
      <c r="V22" s="8">
        <f t="shared" si="5"/>
        <v>0.171312918569404</v>
      </c>
    </row>
    <row r="23" spans="1:22" x14ac:dyDescent="0.25">
      <c r="A23" s="9">
        <v>0.7</v>
      </c>
      <c r="B23" s="9">
        <v>0.16</v>
      </c>
      <c r="C23" s="9">
        <v>1.571</v>
      </c>
      <c r="D23" s="9">
        <v>1.571</v>
      </c>
      <c r="E23" s="9">
        <v>1.4</v>
      </c>
      <c r="F23" s="9">
        <v>0</v>
      </c>
      <c r="G23" s="9">
        <v>0</v>
      </c>
      <c r="N23" s="9">
        <v>0.53796692581576455</v>
      </c>
      <c r="O23" s="9">
        <v>0.19855611705059739</v>
      </c>
      <c r="P23" s="9">
        <v>1.5654173242961607</v>
      </c>
      <c r="Q23" s="9">
        <v>1.2493048844546091</v>
      </c>
      <c r="R23" s="10">
        <v>1.3228722887481656E-4</v>
      </c>
      <c r="S23" s="8">
        <f t="shared" si="2"/>
        <v>0.1620330741842354</v>
      </c>
      <c r="T23" s="8">
        <f t="shared" si="3"/>
        <v>3.8556117050597388E-2</v>
      </c>
      <c r="U23" s="8">
        <f t="shared" si="4"/>
        <v>5.5826757038393016E-3</v>
      </c>
      <c r="V23" s="8">
        <f t="shared" si="5"/>
        <v>0.32169511554539088</v>
      </c>
    </row>
    <row r="24" spans="1:22" x14ac:dyDescent="0.25">
      <c r="A24" s="9">
        <v>0.7</v>
      </c>
      <c r="B24" s="9">
        <v>0.2</v>
      </c>
      <c r="C24" s="9">
        <v>1.571</v>
      </c>
      <c r="D24" s="9">
        <v>1.571</v>
      </c>
      <c r="E24" s="9">
        <v>0</v>
      </c>
      <c r="F24" s="9">
        <v>0</v>
      </c>
      <c r="G24" s="9">
        <v>0</v>
      </c>
      <c r="N24" s="9">
        <v>0.68184273334727952</v>
      </c>
      <c r="O24" s="9">
        <v>0.19999692868635771</v>
      </c>
      <c r="P24" s="9">
        <v>1.6808771349620473</v>
      </c>
      <c r="Q24" s="9">
        <v>2.0410363762744086</v>
      </c>
      <c r="R24" s="10">
        <v>2.4914397610267544E-3</v>
      </c>
      <c r="S24" s="8">
        <f t="shared" si="2"/>
        <v>1.8157266652720438E-2</v>
      </c>
      <c r="T24" s="8">
        <f t="shared" si="3"/>
        <v>3.0713136422999554E-6</v>
      </c>
      <c r="U24" s="8">
        <f t="shared" si="4"/>
        <v>0.10987713496204732</v>
      </c>
      <c r="V24" s="8">
        <f t="shared" si="5"/>
        <v>0.47003637627440864</v>
      </c>
    </row>
    <row r="25" spans="1:22" x14ac:dyDescent="0.25">
      <c r="A25" s="9">
        <v>0.7</v>
      </c>
      <c r="B25" s="9">
        <v>0.06</v>
      </c>
      <c r="C25" s="9">
        <v>3.665</v>
      </c>
      <c r="D25" s="9">
        <v>0.78500000000000003</v>
      </c>
      <c r="E25" s="9">
        <v>0</v>
      </c>
      <c r="F25" s="9">
        <v>0</v>
      </c>
      <c r="G25" s="9">
        <v>0</v>
      </c>
      <c r="N25" s="9">
        <v>0.72376997562375334</v>
      </c>
      <c r="O25" s="9">
        <v>9.1227954003397616E-2</v>
      </c>
      <c r="P25" s="9">
        <v>3.7763174726402804</v>
      </c>
      <c r="Q25" s="9">
        <v>0.74902859702200109</v>
      </c>
      <c r="R25" s="10">
        <v>1.9468214046157797E-4</v>
      </c>
      <c r="S25" s="8">
        <f t="shared" si="2"/>
        <v>2.3769975623753381E-2</v>
      </c>
      <c r="T25" s="8">
        <f t="shared" si="3"/>
        <v>3.1227954003397618E-2</v>
      </c>
      <c r="U25" s="8">
        <f t="shared" si="4"/>
        <v>0.11131747264028036</v>
      </c>
      <c r="V25" s="8">
        <f t="shared" si="5"/>
        <v>3.5971402977998945E-2</v>
      </c>
    </row>
    <row r="26" spans="1:22" x14ac:dyDescent="0.25">
      <c r="A26" s="9">
        <v>0.6</v>
      </c>
      <c r="B26" s="9">
        <v>0.1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0.70007789275385446</v>
      </c>
      <c r="O26" s="9">
        <v>0.10907386259784931</v>
      </c>
      <c r="P26" s="9">
        <v>3.5200588728314717</v>
      </c>
      <c r="Q26" s="9">
        <v>0.62203594295283993</v>
      </c>
      <c r="R26" s="10">
        <v>1.8932593967711588E-4</v>
      </c>
      <c r="S26" s="8">
        <f t="shared" si="2"/>
        <v>0.10007789275385448</v>
      </c>
      <c r="T26" s="8">
        <f t="shared" si="3"/>
        <v>9.0738625978492998E-3</v>
      </c>
      <c r="U26" s="8">
        <f t="shared" si="4"/>
        <v>0.14494112716852836</v>
      </c>
      <c r="V26" s="8">
        <f t="shared" si="5"/>
        <v>0.1629640570471601</v>
      </c>
    </row>
    <row r="27" spans="1:22" x14ac:dyDescent="0.25">
      <c r="A27" s="9">
        <v>0.8</v>
      </c>
      <c r="B27" s="9">
        <v>0.18</v>
      </c>
      <c r="C27" s="9">
        <v>3.665</v>
      </c>
      <c r="D27" s="9">
        <v>0.78500000000000003</v>
      </c>
      <c r="E27" s="9">
        <v>1.4</v>
      </c>
      <c r="F27" s="9">
        <v>0</v>
      </c>
      <c r="G27" s="9">
        <v>0</v>
      </c>
      <c r="N27" s="9">
        <v>0.78847104641264143</v>
      </c>
      <c r="O27" s="9">
        <v>0.15006985987246993</v>
      </c>
      <c r="P27" s="9">
        <v>3.6237627365502907</v>
      </c>
      <c r="Q27" s="9">
        <v>0.86376533974483038</v>
      </c>
      <c r="R27" s="10">
        <v>2.0234957319523403E-4</v>
      </c>
      <c r="S27" s="8">
        <f t="shared" si="2"/>
        <v>1.1528953587358615E-2</v>
      </c>
      <c r="T27" s="8">
        <f t="shared" si="3"/>
        <v>2.9930140127530064E-2</v>
      </c>
      <c r="U27" s="8">
        <f t="shared" si="4"/>
        <v>4.1237263449709349E-2</v>
      </c>
      <c r="V27" s="8">
        <f t="shared" si="5"/>
        <v>7.8765339744830354E-2</v>
      </c>
    </row>
    <row r="28" spans="1:22" x14ac:dyDescent="0.25">
      <c r="A28" s="9">
        <v>0.4</v>
      </c>
      <c r="B28" s="9">
        <v>0.2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0.46797587474328772</v>
      </c>
      <c r="O28" s="9">
        <v>0.19890607252897421</v>
      </c>
      <c r="P28" s="9">
        <v>3.4413064688088921</v>
      </c>
      <c r="Q28" s="9">
        <v>0.4166701377780147</v>
      </c>
      <c r="R28" s="10">
        <v>4.5138572084570653E-4</v>
      </c>
      <c r="S28" s="8">
        <f t="shared" si="2"/>
        <v>6.7975874743287701E-2</v>
      </c>
      <c r="T28" s="8">
        <f t="shared" si="3"/>
        <v>1.0939274710257962E-3</v>
      </c>
      <c r="U28" s="8">
        <f t="shared" si="4"/>
        <v>0.22369353119110791</v>
      </c>
      <c r="V28" s="8">
        <f t="shared" si="5"/>
        <v>0.36832986222198533</v>
      </c>
    </row>
    <row r="29" spans="1:22" x14ac:dyDescent="0.25">
      <c r="A29" s="9">
        <v>0.4</v>
      </c>
      <c r="B29" s="9">
        <v>0.1</v>
      </c>
      <c r="C29" s="9">
        <v>3.665</v>
      </c>
      <c r="D29" s="9">
        <v>1.571</v>
      </c>
      <c r="E29" s="9">
        <v>1.4</v>
      </c>
      <c r="F29" s="9">
        <v>0</v>
      </c>
      <c r="G29" s="9">
        <v>0</v>
      </c>
      <c r="N29" s="9">
        <v>0.3960959452835614</v>
      </c>
      <c r="O29" s="9">
        <v>0.11331022353362467</v>
      </c>
      <c r="P29" s="9">
        <v>3.5657530203773264</v>
      </c>
      <c r="Q29" s="9">
        <v>1.3842895914318365</v>
      </c>
      <c r="R29" s="10">
        <v>2.9593873582650845E-5</v>
      </c>
      <c r="S29" s="8">
        <f t="shared" si="2"/>
        <v>3.9040547164386208E-3</v>
      </c>
      <c r="T29" s="8">
        <f t="shared" si="3"/>
        <v>1.3310223533624668E-2</v>
      </c>
      <c r="U29" s="8">
        <f t="shared" si="4"/>
        <v>9.9246979622673592E-2</v>
      </c>
      <c r="V29" s="8">
        <f t="shared" si="5"/>
        <v>0.18671040856816346</v>
      </c>
    </row>
    <row r="30" spans="1:22" x14ac:dyDescent="0.25">
      <c r="A30" s="9">
        <v>0.7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0.7287879376366766</v>
      </c>
      <c r="O30" s="9">
        <v>0.11589525388645852</v>
      </c>
      <c r="P30" s="9">
        <v>3.7684586538143492</v>
      </c>
      <c r="Q30" s="9">
        <v>1.732810756543983</v>
      </c>
      <c r="R30" s="10">
        <v>1.90757692682852E-4</v>
      </c>
      <c r="S30" s="8">
        <f t="shared" si="2"/>
        <v>2.8787937636676642E-2</v>
      </c>
      <c r="T30" s="8">
        <f t="shared" si="3"/>
        <v>1.5895253886458516E-2</v>
      </c>
      <c r="U30" s="8">
        <f t="shared" si="4"/>
        <v>0.10345865381434916</v>
      </c>
      <c r="V30" s="8">
        <f t="shared" si="5"/>
        <v>0.16181075654398303</v>
      </c>
    </row>
    <row r="31" spans="1:22" x14ac:dyDescent="0.25">
      <c r="A31" s="9">
        <v>0.4</v>
      </c>
      <c r="B31" s="9">
        <v>0.16</v>
      </c>
      <c r="C31" s="9">
        <v>3.665</v>
      </c>
      <c r="D31" s="9">
        <v>1.571</v>
      </c>
      <c r="E31" s="9">
        <v>0</v>
      </c>
      <c r="F31" s="9">
        <v>0</v>
      </c>
      <c r="G31" s="9">
        <v>0</v>
      </c>
      <c r="N31" s="9">
        <v>0.376612744685485</v>
      </c>
      <c r="O31" s="9">
        <v>0.15859289071464924</v>
      </c>
      <c r="P31" s="9">
        <v>3.7131728115329246</v>
      </c>
      <c r="Q31" s="9">
        <v>1.293369416480616</v>
      </c>
      <c r="R31" s="10">
        <v>2.2287279085770511E-4</v>
      </c>
      <c r="S31" s="8">
        <f t="shared" si="2"/>
        <v>2.3387255314515021E-2</v>
      </c>
      <c r="T31" s="8">
        <f t="shared" si="3"/>
        <v>1.4071092853507605E-3</v>
      </c>
      <c r="U31" s="8">
        <f t="shared" si="4"/>
        <v>4.817281153292452E-2</v>
      </c>
      <c r="V31" s="8">
        <f t="shared" si="5"/>
        <v>0.27763058351938397</v>
      </c>
    </row>
    <row r="32" spans="1:22" x14ac:dyDescent="0.25">
      <c r="A32" s="9">
        <v>0.3</v>
      </c>
      <c r="B32" s="9">
        <v>0.18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0.40156331436870235</v>
      </c>
      <c r="O32" s="9">
        <v>9.9734138474110071E-2</v>
      </c>
      <c r="P32" s="9">
        <v>3.3183222042116602</v>
      </c>
      <c r="Q32" s="9">
        <v>1.9441173269902408</v>
      </c>
      <c r="R32" s="10">
        <v>4.6081417995832074E-4</v>
      </c>
      <c r="S32" s="8">
        <f t="shared" si="2"/>
        <v>0.10156331436870236</v>
      </c>
      <c r="T32" s="8">
        <f t="shared" si="3"/>
        <v>8.0265861525889923E-2</v>
      </c>
      <c r="U32" s="8">
        <f t="shared" si="4"/>
        <v>0.34667779578833979</v>
      </c>
      <c r="V32" s="8">
        <f t="shared" si="5"/>
        <v>0.37311732699024081</v>
      </c>
    </row>
    <row r="33" spans="1:22" x14ac:dyDescent="0.25">
      <c r="A33" s="9">
        <v>0.3</v>
      </c>
      <c r="B33" s="9">
        <v>0.08</v>
      </c>
      <c r="C33" s="9">
        <v>1.571</v>
      </c>
      <c r="D33" s="9">
        <v>0.78500000000000003</v>
      </c>
      <c r="E33" s="9">
        <v>1.4</v>
      </c>
      <c r="F33" s="9">
        <v>0</v>
      </c>
      <c r="G33" s="9">
        <v>0</v>
      </c>
      <c r="N33" s="9">
        <v>0.27001249569310121</v>
      </c>
      <c r="O33" s="9">
        <v>6.2872836841735225E-2</v>
      </c>
      <c r="P33" s="9">
        <v>1.3719862416018354</v>
      </c>
      <c r="Q33" s="9">
        <v>0.81686505952340271</v>
      </c>
      <c r="R33" s="10">
        <v>1.501122277888082E-5</v>
      </c>
      <c r="S33" s="8">
        <f t="shared" si="2"/>
        <v>2.9987504306898782E-2</v>
      </c>
      <c r="T33" s="8">
        <f t="shared" si="3"/>
        <v>1.7127163158264777E-2</v>
      </c>
      <c r="U33" s="8">
        <f t="shared" si="4"/>
        <v>0.1990137583981646</v>
      </c>
      <c r="V33" s="8">
        <f t="shared" si="5"/>
        <v>3.1865059523402683E-2</v>
      </c>
    </row>
    <row r="34" spans="1:22" x14ac:dyDescent="0.25">
      <c r="A34" s="9">
        <v>0.4</v>
      </c>
      <c r="B34" s="9">
        <v>0.14000000000000001</v>
      </c>
      <c r="C34" s="9">
        <v>1.571</v>
      </c>
      <c r="D34" s="9">
        <v>0.78500000000000003</v>
      </c>
      <c r="E34" s="9">
        <v>0</v>
      </c>
      <c r="F34" s="9">
        <v>0</v>
      </c>
      <c r="G34" s="9">
        <v>0</v>
      </c>
      <c r="N34" s="9">
        <v>0.58568561200597502</v>
      </c>
      <c r="O34" s="9">
        <v>0.19999334573356087</v>
      </c>
      <c r="P34" s="9">
        <v>1.7407181185628267</v>
      </c>
      <c r="Q34" s="9">
        <v>0.16571081098188717</v>
      </c>
      <c r="R34" s="10">
        <v>7.2143002014375169E-4</v>
      </c>
      <c r="S34" s="8">
        <f t="shared" si="2"/>
        <v>0.185685612005975</v>
      </c>
      <c r="T34" s="8">
        <f t="shared" si="3"/>
        <v>5.9993345733560854E-2</v>
      </c>
      <c r="U34" s="8">
        <f t="shared" si="4"/>
        <v>0.1697181185628267</v>
      </c>
      <c r="V34" s="8">
        <f t="shared" si="5"/>
        <v>0.61928918901811292</v>
      </c>
    </row>
    <row r="35" spans="1:22" x14ac:dyDescent="0.25">
      <c r="A35" s="9">
        <v>0.6</v>
      </c>
      <c r="B35" s="9">
        <v>0.16</v>
      </c>
      <c r="C35" s="9">
        <v>1.571</v>
      </c>
      <c r="D35" s="9">
        <v>0.78500000000000003</v>
      </c>
      <c r="E35" s="9">
        <v>1.4</v>
      </c>
      <c r="F35" s="9">
        <v>0</v>
      </c>
      <c r="G35" s="9">
        <v>0</v>
      </c>
      <c r="N35" s="9">
        <v>0.53476769510656785</v>
      </c>
      <c r="O35" s="9">
        <v>0.14119738169371193</v>
      </c>
      <c r="P35" s="9">
        <v>1.8019359081060986</v>
      </c>
      <c r="Q35" s="9">
        <v>1.283103316499443</v>
      </c>
      <c r="R35" s="10">
        <v>4.7898302426023764E-4</v>
      </c>
      <c r="S35" s="8">
        <f t="shared" si="2"/>
        <v>6.5232304893432125E-2</v>
      </c>
      <c r="T35" s="8">
        <f t="shared" si="3"/>
        <v>1.8802618306288071E-2</v>
      </c>
      <c r="U35" s="8">
        <f t="shared" si="4"/>
        <v>0.23093590810609865</v>
      </c>
      <c r="V35" s="8">
        <f t="shared" si="5"/>
        <v>0.49810331649944295</v>
      </c>
    </row>
    <row r="36" spans="1:22" x14ac:dyDescent="0.25">
      <c r="A36" s="9">
        <v>0.4</v>
      </c>
      <c r="B36" s="9">
        <v>0.06</v>
      </c>
      <c r="C36" s="9">
        <v>1.571</v>
      </c>
      <c r="D36" s="9">
        <v>1.571</v>
      </c>
      <c r="E36" s="9">
        <v>1.4</v>
      </c>
      <c r="F36" s="9">
        <v>0</v>
      </c>
      <c r="G36" s="9">
        <v>0</v>
      </c>
      <c r="N36" s="9">
        <v>0.54149061825134992</v>
      </c>
      <c r="O36" s="9">
        <v>2.8560901006920481E-2</v>
      </c>
      <c r="P36" s="9">
        <v>1.5374970818604834</v>
      </c>
      <c r="Q36" s="9">
        <v>1.6017139890063132</v>
      </c>
      <c r="R36" s="10">
        <v>4.7302491669515262E-6</v>
      </c>
      <c r="S36" s="8">
        <f t="shared" si="2"/>
        <v>0.1414906182513499</v>
      </c>
      <c r="T36" s="8">
        <f t="shared" si="3"/>
        <v>3.143909899307952E-2</v>
      </c>
      <c r="U36" s="8">
        <f t="shared" si="4"/>
        <v>3.3502918139516558E-2</v>
      </c>
      <c r="V36" s="8">
        <f t="shared" si="5"/>
        <v>3.071398900631328E-2</v>
      </c>
    </row>
    <row r="37" spans="1:22" x14ac:dyDescent="0.25">
      <c r="A37" s="9">
        <v>0.8</v>
      </c>
      <c r="B37" s="9">
        <v>0.08</v>
      </c>
      <c r="C37" s="9">
        <v>1.571</v>
      </c>
      <c r="D37" s="9">
        <v>1.571</v>
      </c>
      <c r="E37" s="9">
        <v>0</v>
      </c>
      <c r="F37" s="9">
        <v>0</v>
      </c>
      <c r="G37" s="9">
        <v>0</v>
      </c>
      <c r="N37" s="9">
        <v>0.86665656620552034</v>
      </c>
      <c r="O37" s="9">
        <v>8.0044779396592491E-2</v>
      </c>
      <c r="P37" s="9">
        <v>1.5804940642178928</v>
      </c>
      <c r="Q37" s="9">
        <v>1.5103687907897749</v>
      </c>
      <c r="R37" s="10">
        <v>3.2941362431953612E-5</v>
      </c>
      <c r="S37" s="8">
        <f t="shared" si="2"/>
        <v>6.6656566205520296E-2</v>
      </c>
      <c r="T37" s="8">
        <f t="shared" si="3"/>
        <v>4.4779396592489751E-5</v>
      </c>
      <c r="U37" s="8">
        <f t="shared" si="4"/>
        <v>9.4940642178928947E-3</v>
      </c>
      <c r="V37" s="8">
        <f t="shared" si="5"/>
        <v>6.0631209210225023E-2</v>
      </c>
    </row>
    <row r="38" spans="1:22" x14ac:dyDescent="0.25">
      <c r="A38" s="9">
        <v>0.7</v>
      </c>
      <c r="B38" s="9">
        <v>0.16</v>
      </c>
      <c r="C38" s="9">
        <v>1.571</v>
      </c>
      <c r="D38" s="9">
        <v>1.571</v>
      </c>
      <c r="E38" s="9">
        <v>1.4</v>
      </c>
      <c r="F38" s="9">
        <v>0</v>
      </c>
      <c r="G38" s="9">
        <v>0</v>
      </c>
      <c r="N38" s="9">
        <v>0.68838845198907939</v>
      </c>
      <c r="O38" s="9">
        <v>0.18542173094990627</v>
      </c>
      <c r="P38" s="9">
        <v>1.4386544499935487</v>
      </c>
      <c r="Q38" s="9">
        <v>1.7178162832011785</v>
      </c>
      <c r="R38" s="10">
        <v>5.3566627123050883E-4</v>
      </c>
      <c r="S38" s="8">
        <f t="shared" si="2"/>
        <v>1.1611548010920569E-2</v>
      </c>
      <c r="T38" s="8">
        <f t="shared" si="3"/>
        <v>2.5421730949906268E-2</v>
      </c>
      <c r="U38" s="8">
        <f t="shared" si="4"/>
        <v>0.13234555000645121</v>
      </c>
      <c r="V38" s="8">
        <f t="shared" si="5"/>
        <v>0.14681628320117857</v>
      </c>
    </row>
    <row r="39" spans="1:22" x14ac:dyDescent="0.25">
      <c r="A39" s="9">
        <v>0.7</v>
      </c>
      <c r="B39" s="9">
        <v>0.2</v>
      </c>
      <c r="C39" s="9">
        <v>1.571</v>
      </c>
      <c r="D39" s="9">
        <v>1.571</v>
      </c>
      <c r="E39" s="9">
        <v>0</v>
      </c>
      <c r="F39" s="9">
        <v>0</v>
      </c>
      <c r="G39" s="9">
        <v>0</v>
      </c>
      <c r="N39" s="9">
        <v>0.53456735651148435</v>
      </c>
      <c r="O39" s="9">
        <v>0.19999956916885206</v>
      </c>
      <c r="P39" s="9">
        <v>1.4755815592368473</v>
      </c>
      <c r="Q39" s="9">
        <v>1.7929442446958583</v>
      </c>
      <c r="R39" s="10">
        <v>1.4192259529600599E-3</v>
      </c>
      <c r="S39" s="8">
        <f t="shared" si="2"/>
        <v>0.16543264348851561</v>
      </c>
      <c r="T39" s="8">
        <f t="shared" si="3"/>
        <v>4.3083114795172683E-7</v>
      </c>
      <c r="U39" s="8">
        <f t="shared" si="4"/>
        <v>9.5418440763152645E-2</v>
      </c>
      <c r="V39" s="8">
        <f t="shared" si="5"/>
        <v>0.22194424469585838</v>
      </c>
    </row>
    <row r="40" spans="1:22" x14ac:dyDescent="0.25">
      <c r="A40" s="9">
        <v>0.7</v>
      </c>
      <c r="B40" s="9">
        <v>0.06</v>
      </c>
      <c r="C40" s="9">
        <v>3.665</v>
      </c>
      <c r="D40" s="9">
        <v>0.78500000000000003</v>
      </c>
      <c r="E40" s="9">
        <v>0</v>
      </c>
      <c r="F40" s="9">
        <v>0</v>
      </c>
      <c r="G40" s="9">
        <v>0</v>
      </c>
      <c r="N40" s="9">
        <v>0.86126573088974112</v>
      </c>
      <c r="O40" s="9">
        <v>5.0228918072411928E-2</v>
      </c>
      <c r="P40" s="9">
        <v>3.5058582357089798</v>
      </c>
      <c r="Q40" s="9">
        <v>0.80300335514169818</v>
      </c>
      <c r="R40" s="10">
        <v>1.3957833149528132E-4</v>
      </c>
      <c r="S40" s="8">
        <f t="shared" si="2"/>
        <v>0.16126573088974117</v>
      </c>
      <c r="T40" s="8">
        <f t="shared" si="3"/>
        <v>9.7710819275880698E-3</v>
      </c>
      <c r="U40" s="8">
        <f t="shared" si="4"/>
        <v>0.15914176429102023</v>
      </c>
      <c r="V40" s="8">
        <f t="shared" si="5"/>
        <v>1.8003355141698152E-2</v>
      </c>
    </row>
    <row r="41" spans="1:22" x14ac:dyDescent="0.25">
      <c r="A41" s="9">
        <v>0.6</v>
      </c>
      <c r="B41" s="9">
        <v>0.1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0.49130303807648124</v>
      </c>
      <c r="O41" s="9">
        <v>0.15344583209888193</v>
      </c>
      <c r="P41" s="9">
        <v>3.7059333439196496</v>
      </c>
      <c r="Q41" s="9">
        <v>0.72270294533814028</v>
      </c>
      <c r="R41" s="10">
        <v>9.4581025973444703E-5</v>
      </c>
      <c r="S41" s="8">
        <f t="shared" si="2"/>
        <v>0.10869696192351874</v>
      </c>
      <c r="T41" s="8">
        <f t="shared" si="3"/>
        <v>5.3445832098881929E-2</v>
      </c>
      <c r="U41" s="8">
        <f t="shared" si="4"/>
        <v>4.0933343919649534E-2</v>
      </c>
      <c r="V41" s="8">
        <f t="shared" si="5"/>
        <v>6.2297054661859752E-2</v>
      </c>
    </row>
    <row r="42" spans="1:22" x14ac:dyDescent="0.25">
      <c r="A42" s="9">
        <v>0.8</v>
      </c>
      <c r="B42" s="9">
        <v>0.18</v>
      </c>
      <c r="C42" s="9">
        <v>3.665</v>
      </c>
      <c r="D42" s="9">
        <v>0.78500000000000003</v>
      </c>
      <c r="E42" s="9">
        <v>1.4</v>
      </c>
      <c r="F42" s="9">
        <v>0</v>
      </c>
      <c r="G42" s="9">
        <v>0</v>
      </c>
      <c r="N42" s="9">
        <v>0.83591747635582292</v>
      </c>
      <c r="O42" s="9">
        <v>0.15186333037402575</v>
      </c>
      <c r="P42" s="9">
        <v>3.7373387231073116</v>
      </c>
      <c r="Q42" s="9">
        <v>0.73759946097102058</v>
      </c>
      <c r="R42" s="10">
        <v>1.2443170694559195E-4</v>
      </c>
      <c r="S42" s="8">
        <f t="shared" si="2"/>
        <v>3.5917476355822875E-2</v>
      </c>
      <c r="T42" s="8">
        <f t="shared" si="3"/>
        <v>2.8136669625974248E-2</v>
      </c>
      <c r="U42" s="8">
        <f t="shared" si="4"/>
        <v>7.2338723107311598E-2</v>
      </c>
      <c r="V42" s="8">
        <f t="shared" si="5"/>
        <v>4.7400539028979449E-2</v>
      </c>
    </row>
    <row r="43" spans="1:22" x14ac:dyDescent="0.25">
      <c r="A43" s="9">
        <v>0.4</v>
      </c>
      <c r="B43" s="9">
        <v>0.2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0.37669265998503232</v>
      </c>
      <c r="O43" s="9">
        <v>0.1546774572442704</v>
      </c>
      <c r="P43" s="9">
        <v>3.7828292711279703</v>
      </c>
      <c r="Q43" s="9">
        <v>0.87512630229775656</v>
      </c>
      <c r="R43" s="10">
        <v>2.9523475692249307E-4</v>
      </c>
      <c r="S43" s="8">
        <f t="shared" si="2"/>
        <v>2.3307340014967703E-2</v>
      </c>
      <c r="T43" s="8">
        <f t="shared" si="3"/>
        <v>4.5322542755729611E-2</v>
      </c>
      <c r="U43" s="8">
        <f t="shared" si="4"/>
        <v>0.11782927112797026</v>
      </c>
      <c r="V43" s="8">
        <f t="shared" si="5"/>
        <v>9.0126302297756533E-2</v>
      </c>
    </row>
    <row r="44" spans="1:22" x14ac:dyDescent="0.25">
      <c r="A44" s="9">
        <v>0.4</v>
      </c>
      <c r="B44" s="9">
        <v>0.1</v>
      </c>
      <c r="C44" s="9">
        <v>3.665</v>
      </c>
      <c r="D44" s="9">
        <v>1.571</v>
      </c>
      <c r="E44" s="9">
        <v>1.4</v>
      </c>
      <c r="F44" s="9">
        <v>0</v>
      </c>
      <c r="G44" s="9">
        <v>0</v>
      </c>
      <c r="N44" s="9">
        <v>0.37639442421072244</v>
      </c>
      <c r="O44" s="9">
        <v>0.15852505170358794</v>
      </c>
      <c r="P44" s="9">
        <v>3.6817545666927312</v>
      </c>
      <c r="Q44" s="9">
        <v>0.94243334270452161</v>
      </c>
      <c r="R44" s="10">
        <v>1.3570179588700047E-6</v>
      </c>
      <c r="S44" s="8">
        <f t="shared" si="2"/>
        <v>2.3605575789277577E-2</v>
      </c>
      <c r="T44" s="8">
        <f t="shared" si="3"/>
        <v>5.8525051703587933E-2</v>
      </c>
      <c r="U44" s="8">
        <f t="shared" si="4"/>
        <v>1.6754566692731121E-2</v>
      </c>
      <c r="V44" s="8">
        <f t="shared" si="5"/>
        <v>0.62856665729547834</v>
      </c>
    </row>
    <row r="45" spans="1:22" x14ac:dyDescent="0.25">
      <c r="A45" s="9">
        <v>0.7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0.76725859937140495</v>
      </c>
      <c r="O45" s="9">
        <v>0.10192244437345327</v>
      </c>
      <c r="P45" s="9">
        <v>3.5142856435621344</v>
      </c>
      <c r="Q45" s="9">
        <v>1.4321411242716722</v>
      </c>
      <c r="R45" s="10">
        <v>5.6226407283475953E-4</v>
      </c>
      <c r="S45" s="8">
        <f t="shared" si="2"/>
        <v>6.7258599371404992E-2</v>
      </c>
      <c r="T45" s="8">
        <f t="shared" si="3"/>
        <v>1.9224443734532637E-3</v>
      </c>
      <c r="U45" s="8">
        <f t="shared" si="4"/>
        <v>0.15071435643786568</v>
      </c>
      <c r="V45" s="8">
        <f t="shared" si="5"/>
        <v>0.13885887572832778</v>
      </c>
    </row>
    <row r="46" spans="1:22" x14ac:dyDescent="0.25">
      <c r="A46" s="9">
        <v>0.4</v>
      </c>
      <c r="B46" s="9">
        <v>0.16</v>
      </c>
      <c r="C46" s="9">
        <v>3.665</v>
      </c>
      <c r="D46" s="9">
        <v>1.571</v>
      </c>
      <c r="E46" s="9">
        <v>0</v>
      </c>
      <c r="F46" s="9">
        <v>0</v>
      </c>
      <c r="G46" s="9">
        <v>0</v>
      </c>
      <c r="N46" s="9">
        <v>0.42781984894162384</v>
      </c>
      <c r="O46" s="9">
        <v>0.16159640587302027</v>
      </c>
      <c r="P46" s="9">
        <v>3.7037236459500771</v>
      </c>
      <c r="Q46" s="9">
        <v>1.8989609645349257</v>
      </c>
      <c r="R46" s="10">
        <v>2.7863609689994865E-5</v>
      </c>
      <c r="S46" s="8">
        <f t="shared" si="2"/>
        <v>2.7819848941623815E-2</v>
      </c>
      <c r="T46" s="8">
        <f t="shared" si="3"/>
        <v>1.5964058730202624E-3</v>
      </c>
      <c r="U46" s="8">
        <f t="shared" si="4"/>
        <v>3.8723645950077046E-2</v>
      </c>
      <c r="V46" s="8">
        <f t="shared" si="5"/>
        <v>0.32796096453492574</v>
      </c>
    </row>
    <row r="47" spans="1:22" x14ac:dyDescent="0.25">
      <c r="A47" s="9">
        <v>0.3</v>
      </c>
      <c r="B47" s="9">
        <v>0.18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0.32862986481721745</v>
      </c>
      <c r="O47" s="9">
        <v>5.2232917914322718E-2</v>
      </c>
      <c r="P47" s="9">
        <v>4.4560709077114726</v>
      </c>
      <c r="Q47" s="9">
        <v>1.7369414723449803</v>
      </c>
      <c r="R47" s="10">
        <v>1.9657140206802439E-3</v>
      </c>
      <c r="S47" s="8">
        <f t="shared" si="2"/>
        <v>2.8629864817217465E-2</v>
      </c>
      <c r="T47" s="8">
        <f t="shared" si="3"/>
        <v>0.12776708208567727</v>
      </c>
      <c r="U47" s="8">
        <f t="shared" si="4"/>
        <v>0.79107090771147259</v>
      </c>
      <c r="V47" s="8">
        <f t="shared" si="5"/>
        <v>0.16594147234498036</v>
      </c>
    </row>
    <row r="48" spans="1:22" x14ac:dyDescent="0.25">
      <c r="A48" s="9">
        <v>0.3</v>
      </c>
      <c r="B48" s="9">
        <v>0.08</v>
      </c>
      <c r="C48" s="9">
        <v>1.571</v>
      </c>
      <c r="D48" s="9">
        <v>0.78500000000000003</v>
      </c>
      <c r="E48" s="9">
        <v>1.4</v>
      </c>
      <c r="F48" s="9">
        <v>0</v>
      </c>
      <c r="G48" s="9">
        <v>0</v>
      </c>
      <c r="N48" s="9">
        <v>0.24848152325606826</v>
      </c>
      <c r="O48" s="9">
        <v>0.10738706394792219</v>
      </c>
      <c r="P48" s="9">
        <v>1.5477445080073113</v>
      </c>
      <c r="Q48" s="9">
        <v>2.1737880517107051</v>
      </c>
      <c r="R48" s="10">
        <v>1.7659782565588124E-6</v>
      </c>
      <c r="S48" s="8">
        <f t="shared" si="2"/>
        <v>5.1518476743931729E-2</v>
      </c>
      <c r="T48" s="8">
        <f t="shared" si="3"/>
        <v>2.7387063947922188E-2</v>
      </c>
      <c r="U48" s="8">
        <f t="shared" si="4"/>
        <v>2.3255491992688615E-2</v>
      </c>
      <c r="V48" s="8">
        <f t="shared" si="5"/>
        <v>1.388788051710705</v>
      </c>
    </row>
    <row r="49" spans="1:22" x14ac:dyDescent="0.25">
      <c r="A49" s="9">
        <v>0.4</v>
      </c>
      <c r="B49" s="9">
        <v>0.14000000000000001</v>
      </c>
      <c r="C49" s="9">
        <v>1.571</v>
      </c>
      <c r="D49" s="9">
        <v>0.78500000000000003</v>
      </c>
      <c r="E49" s="9">
        <v>0</v>
      </c>
      <c r="F49" s="9">
        <v>0</v>
      </c>
      <c r="G49" s="9">
        <v>0</v>
      </c>
      <c r="N49" s="9">
        <v>0.35859800508802098</v>
      </c>
      <c r="O49" s="9">
        <v>0.11177457059714692</v>
      </c>
      <c r="P49" s="9">
        <v>1.4248939595405594</v>
      </c>
      <c r="Q49" s="9">
        <v>1.0344948240885192</v>
      </c>
      <c r="R49" s="10">
        <v>3.1050186591712631E-5</v>
      </c>
      <c r="S49" s="8">
        <f t="shared" si="2"/>
        <v>4.1401994911979045E-2</v>
      </c>
      <c r="T49" s="8">
        <f t="shared" si="3"/>
        <v>2.8225429402853094E-2</v>
      </c>
      <c r="U49" s="8">
        <f t="shared" si="4"/>
        <v>0.14610604045944053</v>
      </c>
      <c r="V49" s="8">
        <f t="shared" si="5"/>
        <v>0.2494948240885192</v>
      </c>
    </row>
    <row r="50" spans="1:22" x14ac:dyDescent="0.25">
      <c r="A50" s="9">
        <v>0.6</v>
      </c>
      <c r="B50" s="9">
        <v>0.16</v>
      </c>
      <c r="C50" s="9">
        <v>1.571</v>
      </c>
      <c r="D50" s="9">
        <v>0.78500000000000003</v>
      </c>
      <c r="E50" s="9">
        <v>1.4</v>
      </c>
      <c r="F50" s="9">
        <v>0</v>
      </c>
      <c r="G50" s="9">
        <v>0</v>
      </c>
      <c r="N50" s="9">
        <v>0.61686985945449124</v>
      </c>
      <c r="O50" s="9">
        <v>0.18802693358423617</v>
      </c>
      <c r="P50" s="9">
        <v>1.9198817691038661</v>
      </c>
      <c r="Q50" s="9">
        <v>0.51677030529991075</v>
      </c>
      <c r="R50" s="10">
        <v>1.3385057064804943E-4</v>
      </c>
      <c r="S50" s="8">
        <f t="shared" si="2"/>
        <v>1.6869859454491265E-2</v>
      </c>
      <c r="T50" s="8">
        <f t="shared" si="3"/>
        <v>2.8026933584236163E-2</v>
      </c>
      <c r="U50" s="8">
        <f t="shared" si="4"/>
        <v>0.34888176910386615</v>
      </c>
      <c r="V50" s="8">
        <f t="shared" si="5"/>
        <v>0.26822969470008928</v>
      </c>
    </row>
    <row r="51" spans="1:22" x14ac:dyDescent="0.25">
      <c r="A51" s="9">
        <v>0.4</v>
      </c>
      <c r="B51" s="9">
        <v>0.06</v>
      </c>
      <c r="C51" s="9">
        <v>1.571</v>
      </c>
      <c r="D51" s="9">
        <v>1.571</v>
      </c>
      <c r="E51" s="9">
        <v>1.4</v>
      </c>
      <c r="F51" s="9">
        <v>0</v>
      </c>
      <c r="G51" s="9">
        <v>0</v>
      </c>
      <c r="N51" s="9">
        <v>0.40446880863326246</v>
      </c>
      <c r="O51" s="9">
        <v>8.0805019263859593E-2</v>
      </c>
      <c r="P51" s="9">
        <v>1.572768597449919</v>
      </c>
      <c r="Q51" s="9">
        <v>1.9292272646405042</v>
      </c>
      <c r="R51" s="10">
        <v>4.2851305984420202E-5</v>
      </c>
      <c r="S51" s="8">
        <f t="shared" si="2"/>
        <v>4.4688086332624333E-3</v>
      </c>
      <c r="T51" s="8">
        <f t="shared" si="3"/>
        <v>2.0805019263859595E-2</v>
      </c>
      <c r="U51" s="8">
        <f t="shared" si="4"/>
        <v>1.7685974499190849E-3</v>
      </c>
      <c r="V51" s="8">
        <f t="shared" si="5"/>
        <v>0.35822726464050425</v>
      </c>
    </row>
    <row r="52" spans="1:22" x14ac:dyDescent="0.25">
      <c r="A52" s="9">
        <v>0.8</v>
      </c>
      <c r="B52" s="9">
        <v>0.08</v>
      </c>
      <c r="C52" s="9">
        <v>1.571</v>
      </c>
      <c r="D52" s="9">
        <v>1.571</v>
      </c>
      <c r="E52" s="9">
        <v>0</v>
      </c>
      <c r="F52" s="9">
        <v>0</v>
      </c>
      <c r="G52" s="9">
        <v>0</v>
      </c>
      <c r="N52" s="9">
        <v>0.87040798924904894</v>
      </c>
      <c r="O52" s="9">
        <v>8.0690500123823825E-2</v>
      </c>
      <c r="P52" s="9">
        <v>1.4528991473657658</v>
      </c>
      <c r="Q52" s="9">
        <v>1.5584489095842258</v>
      </c>
      <c r="R52" s="10">
        <v>2.7497019852006777E-4</v>
      </c>
      <c r="S52" s="8">
        <f t="shared" si="2"/>
        <v>7.0407989249048897E-2</v>
      </c>
      <c r="T52" s="8">
        <f t="shared" si="3"/>
        <v>6.9050012382382286E-4</v>
      </c>
      <c r="U52" s="8">
        <f t="shared" si="4"/>
        <v>0.1181008526342342</v>
      </c>
      <c r="V52" s="8">
        <f t="shared" si="5"/>
        <v>1.255109041577418E-2</v>
      </c>
    </row>
    <row r="53" spans="1:22" x14ac:dyDescent="0.25">
      <c r="A53" s="9">
        <v>0.7</v>
      </c>
      <c r="B53" s="9">
        <v>0.16</v>
      </c>
      <c r="C53" s="9">
        <v>1.571</v>
      </c>
      <c r="D53" s="9">
        <v>1.571</v>
      </c>
      <c r="E53" s="9">
        <v>1.4</v>
      </c>
      <c r="F53" s="9">
        <v>0</v>
      </c>
      <c r="G53" s="9">
        <v>0</v>
      </c>
      <c r="N53" s="9">
        <v>0.62456779257745643</v>
      </c>
      <c r="O53" s="9">
        <v>0.15810060080527089</v>
      </c>
      <c r="P53" s="9">
        <v>1.6977855598444114</v>
      </c>
      <c r="Q53" s="9">
        <v>1.4643758195608834</v>
      </c>
      <c r="R53" s="10">
        <v>7.0210033919799965E-4</v>
      </c>
      <c r="S53" s="8">
        <f t="shared" si="2"/>
        <v>7.5432207422543529E-2</v>
      </c>
      <c r="T53" s="8">
        <f t="shared" si="3"/>
        <v>1.8993991947291178E-3</v>
      </c>
      <c r="U53" s="8">
        <f t="shared" si="4"/>
        <v>0.12678555984441142</v>
      </c>
      <c r="V53" s="8">
        <f t="shared" si="5"/>
        <v>0.10662418043911659</v>
      </c>
    </row>
    <row r="54" spans="1:22" x14ac:dyDescent="0.25">
      <c r="A54" s="9">
        <v>0.7</v>
      </c>
      <c r="B54" s="9">
        <v>0.2</v>
      </c>
      <c r="C54" s="9">
        <v>1.571</v>
      </c>
      <c r="D54" s="9">
        <v>1.571</v>
      </c>
      <c r="E54" s="9">
        <v>0</v>
      </c>
      <c r="F54" s="9">
        <v>0</v>
      </c>
      <c r="G54" s="9">
        <v>0</v>
      </c>
      <c r="N54" s="9">
        <v>0.71920627683934324</v>
      </c>
      <c r="O54" s="9">
        <v>0.19994997306821816</v>
      </c>
      <c r="P54" s="9">
        <v>1.490849994877399</v>
      </c>
      <c r="Q54" s="9">
        <v>1.8383794470596913</v>
      </c>
      <c r="R54" s="10">
        <v>3.7619458659639971E-4</v>
      </c>
      <c r="S54" s="8">
        <f t="shared" si="2"/>
        <v>1.9206276839343284E-2</v>
      </c>
      <c r="T54" s="8">
        <f t="shared" si="3"/>
        <v>5.0026931781854689E-5</v>
      </c>
      <c r="U54" s="8">
        <f t="shared" si="4"/>
        <v>8.0150005122600954E-2</v>
      </c>
      <c r="V54" s="8">
        <f t="shared" si="5"/>
        <v>0.2673794470596913</v>
      </c>
    </row>
    <row r="55" spans="1:22" x14ac:dyDescent="0.25">
      <c r="A55" s="9">
        <v>0.7</v>
      </c>
      <c r="B55" s="9">
        <v>0.06</v>
      </c>
      <c r="C55" s="9">
        <v>3.665</v>
      </c>
      <c r="D55" s="9">
        <v>0.78500000000000003</v>
      </c>
      <c r="E55" s="9">
        <v>0</v>
      </c>
      <c r="F55" s="9">
        <v>0</v>
      </c>
      <c r="G55" s="9">
        <v>0</v>
      </c>
      <c r="N55" s="9">
        <v>0.97595427538360091</v>
      </c>
      <c r="O55" s="9">
        <v>5.6949728367979228E-2</v>
      </c>
      <c r="P55" s="9">
        <v>3.8016546034170449</v>
      </c>
      <c r="Q55" s="9">
        <v>0.65768401390094811</v>
      </c>
      <c r="R55" s="10">
        <v>2.8150522727921605E-4</v>
      </c>
      <c r="S55" s="8">
        <f t="shared" si="2"/>
        <v>0.27595427538360096</v>
      </c>
      <c r="T55" s="8">
        <f t="shared" si="3"/>
        <v>3.0502716320207693E-3</v>
      </c>
      <c r="U55" s="8">
        <f t="shared" si="4"/>
        <v>0.13665460341704483</v>
      </c>
      <c r="V55" s="8">
        <f t="shared" si="5"/>
        <v>0.12731598609905193</v>
      </c>
    </row>
    <row r="56" spans="1:22" x14ac:dyDescent="0.25">
      <c r="A56" s="9">
        <v>0.6</v>
      </c>
      <c r="B56" s="9">
        <v>0.1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0.63289531551283551</v>
      </c>
      <c r="O56" s="9">
        <v>9.0152123660484709E-2</v>
      </c>
      <c r="P56" s="9">
        <v>3.5815139748523084</v>
      </c>
      <c r="Q56" s="9">
        <v>0.85904489030575792</v>
      </c>
      <c r="R56" s="10">
        <v>1.3327700450923164E-4</v>
      </c>
      <c r="S56" s="8">
        <f t="shared" si="2"/>
        <v>3.2895315512835532E-2</v>
      </c>
      <c r="T56" s="8">
        <f t="shared" si="3"/>
        <v>9.8478763395152963E-3</v>
      </c>
      <c r="U56" s="8">
        <f t="shared" si="4"/>
        <v>8.3486025147691656E-2</v>
      </c>
      <c r="V56" s="8">
        <f t="shared" si="5"/>
        <v>7.4044890305757893E-2</v>
      </c>
    </row>
    <row r="57" spans="1:22" x14ac:dyDescent="0.25">
      <c r="A57" s="9">
        <v>0.8</v>
      </c>
      <c r="B57" s="9">
        <v>0.18</v>
      </c>
      <c r="C57" s="9">
        <v>3.665</v>
      </c>
      <c r="D57" s="9">
        <v>0.78500000000000003</v>
      </c>
      <c r="E57" s="9">
        <v>1.4</v>
      </c>
      <c r="F57" s="9">
        <v>0</v>
      </c>
      <c r="G57" s="9">
        <v>0</v>
      </c>
      <c r="N57" s="9">
        <v>0.63421616428462491</v>
      </c>
      <c r="O57" s="9">
        <v>0.1976777677969247</v>
      </c>
      <c r="P57" s="9">
        <v>3.5883681794219791</v>
      </c>
      <c r="Q57" s="9">
        <v>0.86760511622420444</v>
      </c>
      <c r="R57" s="10">
        <v>1.8292419546058757E-4</v>
      </c>
      <c r="S57" s="8">
        <f t="shared" si="2"/>
        <v>0.16578383571537514</v>
      </c>
      <c r="T57" s="8">
        <f t="shared" si="3"/>
        <v>1.7677767796924704E-2</v>
      </c>
      <c r="U57" s="8">
        <f t="shared" si="4"/>
        <v>7.6631820578020982E-2</v>
      </c>
      <c r="V57" s="8">
        <f t="shared" si="5"/>
        <v>8.2605116224204411E-2</v>
      </c>
    </row>
    <row r="58" spans="1:22" x14ac:dyDescent="0.25">
      <c r="A58" s="9">
        <v>0.4</v>
      </c>
      <c r="B58" s="9">
        <v>0.2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0.46340825783593159</v>
      </c>
      <c r="O58" s="9">
        <v>0.10387116090477913</v>
      </c>
      <c r="P58" s="9">
        <v>3.5679474154734381</v>
      </c>
      <c r="Q58" s="9">
        <v>0.85852763548739541</v>
      </c>
      <c r="R58" s="10">
        <v>6.5859781971971937E-5</v>
      </c>
      <c r="S58" s="8">
        <f t="shared" si="2"/>
        <v>6.340825783593157E-2</v>
      </c>
      <c r="T58" s="8">
        <f t="shared" si="3"/>
        <v>9.612883909522088E-2</v>
      </c>
      <c r="U58" s="8">
        <f t="shared" si="4"/>
        <v>9.7052584526561958E-2</v>
      </c>
      <c r="V58" s="8">
        <f t="shared" si="5"/>
        <v>7.3527635487395382E-2</v>
      </c>
    </row>
    <row r="59" spans="1:22" x14ac:dyDescent="0.25">
      <c r="A59" s="9">
        <v>0.4</v>
      </c>
      <c r="B59" s="9">
        <v>0.1</v>
      </c>
      <c r="C59" s="9">
        <v>3.665</v>
      </c>
      <c r="D59" s="9">
        <v>1.571</v>
      </c>
      <c r="E59" s="9">
        <v>1.4</v>
      </c>
      <c r="F59" s="9">
        <v>0</v>
      </c>
      <c r="G59" s="9">
        <v>0</v>
      </c>
      <c r="N59" s="9">
        <v>0.42114247026194535</v>
      </c>
      <c r="O59" s="9">
        <v>0.16821720103893414</v>
      </c>
      <c r="P59" s="9">
        <v>3.7567848974642937</v>
      </c>
      <c r="Q59" s="9">
        <v>0.74162902854018975</v>
      </c>
      <c r="R59" s="10">
        <v>1.5435594815764965E-4</v>
      </c>
      <c r="S59" s="8">
        <f t="shared" si="2"/>
        <v>2.1142470261945323E-2</v>
      </c>
      <c r="T59" s="8">
        <f t="shared" si="3"/>
        <v>6.8217201038934139E-2</v>
      </c>
      <c r="U59" s="8">
        <f t="shared" si="4"/>
        <v>9.1784897464293635E-2</v>
      </c>
      <c r="V59" s="8">
        <f t="shared" si="5"/>
        <v>0.8293709714598102</v>
      </c>
    </row>
    <row r="60" spans="1:22" x14ac:dyDescent="0.25">
      <c r="A60" s="9">
        <v>0.7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0.80713642267905517</v>
      </c>
      <c r="O60" s="9">
        <v>9.6375888993712314E-2</v>
      </c>
      <c r="P60" s="9">
        <v>3.7759365548081973</v>
      </c>
      <c r="Q60" s="9">
        <v>1.5223789480391305</v>
      </c>
      <c r="R60" s="10">
        <v>3.1259678715254546E-4</v>
      </c>
      <c r="S60" s="8">
        <f t="shared" si="2"/>
        <v>0.10713642267905521</v>
      </c>
      <c r="T60" s="8">
        <f t="shared" si="3"/>
        <v>3.6241110062876919E-3</v>
      </c>
      <c r="U60" s="8">
        <f t="shared" si="4"/>
        <v>0.11093655480819731</v>
      </c>
      <c r="V60" s="8">
        <f t="shared" si="5"/>
        <v>4.862105196086941E-2</v>
      </c>
    </row>
    <row r="61" spans="1:22" x14ac:dyDescent="0.25">
      <c r="A61" s="9">
        <v>0.4</v>
      </c>
      <c r="B61" s="9">
        <v>0.16</v>
      </c>
      <c r="C61" s="9">
        <v>3.665</v>
      </c>
      <c r="D61" s="9">
        <v>1.571</v>
      </c>
      <c r="E61" s="9">
        <v>0</v>
      </c>
      <c r="F61" s="9">
        <v>0</v>
      </c>
      <c r="G61" s="9">
        <v>0</v>
      </c>
      <c r="N61" s="9">
        <v>0.40405025778536419</v>
      </c>
      <c r="O61" s="9">
        <v>0.16557951020577255</v>
      </c>
      <c r="P61" s="9">
        <v>3.7661710026937461</v>
      </c>
      <c r="Q61" s="9">
        <v>1.7929287608211373</v>
      </c>
      <c r="R61" s="10">
        <v>8.843151263064939E-5</v>
      </c>
      <c r="S61" s="8">
        <f t="shared" si="2"/>
        <v>4.0502577853641641E-3</v>
      </c>
      <c r="T61" s="8">
        <f t="shared" si="3"/>
        <v>5.5795102057725476E-3</v>
      </c>
      <c r="U61" s="8">
        <f t="shared" si="4"/>
        <v>0.10117100269374601</v>
      </c>
      <c r="V61" s="8">
        <f t="shared" si="5"/>
        <v>0.22192876082113733</v>
      </c>
    </row>
    <row r="62" spans="1:22" x14ac:dyDescent="0.25">
      <c r="A62" s="9">
        <v>0.3</v>
      </c>
      <c r="B62" s="9">
        <v>0.18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0.26374247245775972</v>
      </c>
      <c r="O62" s="9">
        <v>0.16143615764127262</v>
      </c>
      <c r="P62" s="9">
        <v>3.3961589988463454</v>
      </c>
      <c r="Q62" s="9">
        <v>1.3188578778075994</v>
      </c>
      <c r="R62" s="10">
        <v>2.1246192790417035E-4</v>
      </c>
      <c r="S62" s="8">
        <f t="shared" si="2"/>
        <v>3.6257527542240264E-2</v>
      </c>
      <c r="T62" s="8">
        <f t="shared" si="3"/>
        <v>1.8563842358727378E-2</v>
      </c>
      <c r="U62" s="8">
        <f t="shared" si="4"/>
        <v>0.26884100115365461</v>
      </c>
      <c r="V62" s="8">
        <f t="shared" si="5"/>
        <v>0.25214212219240051</v>
      </c>
    </row>
    <row r="63" spans="1:22" x14ac:dyDescent="0.25">
      <c r="A63" s="9">
        <v>0.3</v>
      </c>
      <c r="B63" s="9">
        <v>0.08</v>
      </c>
      <c r="C63" s="9">
        <v>1.571</v>
      </c>
      <c r="D63" s="9">
        <v>0.78500000000000003</v>
      </c>
      <c r="E63" s="9">
        <v>1.4</v>
      </c>
      <c r="F63" s="9">
        <v>0</v>
      </c>
      <c r="G63" s="9">
        <v>0</v>
      </c>
      <c r="N63" s="9">
        <v>0.21829965184709468</v>
      </c>
      <c r="O63" s="9">
        <v>4.7753677730720062E-2</v>
      </c>
      <c r="P63" s="9">
        <v>1.7107338575612232</v>
      </c>
      <c r="Q63" s="9">
        <v>1.6275675261573794</v>
      </c>
      <c r="R63" s="10">
        <v>3.4831419435397803E-5</v>
      </c>
      <c r="S63" s="8">
        <f t="shared" si="2"/>
        <v>8.1700348152905305E-2</v>
      </c>
      <c r="T63" s="8">
        <f t="shared" si="3"/>
        <v>3.2246322269279939E-2</v>
      </c>
      <c r="U63" s="8">
        <f t="shared" si="4"/>
        <v>0.13973385756122325</v>
      </c>
      <c r="V63" s="8">
        <f t="shared" si="5"/>
        <v>0.8425675261573794</v>
      </c>
    </row>
    <row r="64" spans="1:22" x14ac:dyDescent="0.25">
      <c r="A64" s="9">
        <v>0.4</v>
      </c>
      <c r="B64" s="9">
        <v>0.14000000000000001</v>
      </c>
      <c r="C64" s="9">
        <v>1.571</v>
      </c>
      <c r="D64" s="9">
        <v>0.78500000000000003</v>
      </c>
      <c r="E64" s="9">
        <v>0</v>
      </c>
      <c r="F64" s="9">
        <v>0</v>
      </c>
      <c r="G64" s="9">
        <v>0</v>
      </c>
      <c r="N64" s="9">
        <v>0.36208161567447622</v>
      </c>
      <c r="O64" s="9">
        <v>0.19925538936636286</v>
      </c>
      <c r="P64" s="9">
        <v>1.2883045491912521</v>
      </c>
      <c r="Q64" s="9">
        <v>0.45886711767351063</v>
      </c>
      <c r="R64" s="10">
        <v>1.7069369939773607E-4</v>
      </c>
      <c r="S64" s="8">
        <f t="shared" si="2"/>
        <v>3.7918384325523802E-2</v>
      </c>
      <c r="T64" s="8">
        <f t="shared" si="3"/>
        <v>5.9255389366362848E-2</v>
      </c>
      <c r="U64" s="8">
        <f t="shared" si="4"/>
        <v>0.28269545080874781</v>
      </c>
      <c r="V64" s="8">
        <f t="shared" si="5"/>
        <v>0.3261328823264894</v>
      </c>
    </row>
    <row r="65" spans="1:22" x14ac:dyDescent="0.25">
      <c r="A65" s="9">
        <v>0.6</v>
      </c>
      <c r="B65" s="9">
        <v>0.16</v>
      </c>
      <c r="C65" s="9">
        <v>1.571</v>
      </c>
      <c r="D65" s="9">
        <v>0.78500000000000003</v>
      </c>
      <c r="E65" s="9">
        <v>1.4</v>
      </c>
      <c r="F65" s="9">
        <v>0</v>
      </c>
      <c r="G65" s="9">
        <v>0</v>
      </c>
      <c r="N65" s="9">
        <v>0.6708348591313219</v>
      </c>
      <c r="O65" s="9">
        <v>0.16425236320296799</v>
      </c>
      <c r="P65" s="9">
        <v>1.9443724631499604</v>
      </c>
      <c r="Q65" s="9">
        <v>0.59010230264983465</v>
      </c>
      <c r="R65" s="10">
        <v>5.3198458817638303E-4</v>
      </c>
      <c r="S65" s="8">
        <f t="shared" si="2"/>
        <v>7.0834859131321926E-2</v>
      </c>
      <c r="T65" s="8">
        <f t="shared" si="3"/>
        <v>4.2523632029679848E-3</v>
      </c>
      <c r="U65" s="8">
        <f t="shared" si="4"/>
        <v>0.37337246314996042</v>
      </c>
      <c r="V65" s="8">
        <f t="shared" si="5"/>
        <v>0.19489769735016538</v>
      </c>
    </row>
    <row r="66" spans="1:22" x14ac:dyDescent="0.25">
      <c r="A66" s="9">
        <v>0.4</v>
      </c>
      <c r="B66" s="9">
        <v>0.06</v>
      </c>
      <c r="C66" s="9">
        <v>1.571</v>
      </c>
      <c r="D66" s="9">
        <v>1.571</v>
      </c>
      <c r="E66" s="9">
        <v>1.4</v>
      </c>
      <c r="F66" s="9">
        <v>0</v>
      </c>
      <c r="G66" s="9">
        <v>0</v>
      </c>
      <c r="N66" s="9">
        <v>0.51132056188945085</v>
      </c>
      <c r="O66" s="9">
        <v>4.2825151570570166E-2</v>
      </c>
      <c r="P66" s="9">
        <v>1.5366368531234715</v>
      </c>
      <c r="Q66" s="9">
        <v>1.7463554546622906</v>
      </c>
      <c r="R66" s="10">
        <v>2.7688623361109682E-5</v>
      </c>
      <c r="S66" s="8">
        <f t="shared" si="2"/>
        <v>0.11132056188945083</v>
      </c>
      <c r="T66" s="8">
        <f t="shared" si="3"/>
        <v>1.7174848429429831E-2</v>
      </c>
      <c r="U66" s="8">
        <f t="shared" si="4"/>
        <v>3.4363146876528416E-2</v>
      </c>
      <c r="V66" s="8">
        <f t="shared" si="5"/>
        <v>0.17535545466229063</v>
      </c>
    </row>
    <row r="67" spans="1:22" x14ac:dyDescent="0.25">
      <c r="A67" s="9">
        <v>0.8</v>
      </c>
      <c r="B67" s="9">
        <v>0.08</v>
      </c>
      <c r="C67" s="9">
        <v>1.571</v>
      </c>
      <c r="D67" s="9">
        <v>1.571</v>
      </c>
      <c r="E67" s="9">
        <v>0</v>
      </c>
      <c r="F67" s="9">
        <v>0</v>
      </c>
      <c r="G67" s="9">
        <v>0</v>
      </c>
      <c r="N67" s="9">
        <v>0.85274815006829119</v>
      </c>
      <c r="O67" s="9">
        <v>8.2181058011238192E-2</v>
      </c>
      <c r="P67" s="9">
        <v>1.4683856860564615</v>
      </c>
      <c r="Q67" s="9">
        <v>1.5811686200770168</v>
      </c>
      <c r="R67" s="10">
        <v>2.5324283414448746E-4</v>
      </c>
      <c r="S67" s="8">
        <f t="shared" si="2"/>
        <v>5.2748150068291144E-2</v>
      </c>
      <c r="T67" s="8">
        <f t="shared" si="3"/>
        <v>2.1810580112381905E-3</v>
      </c>
      <c r="U67" s="8">
        <f t="shared" si="4"/>
        <v>0.10261431394353848</v>
      </c>
      <c r="V67" s="8">
        <f t="shared" si="5"/>
        <v>1.0168620077016799E-2</v>
      </c>
    </row>
    <row r="68" spans="1:22" x14ac:dyDescent="0.25">
      <c r="A68" s="9">
        <v>0.7</v>
      </c>
      <c r="B68" s="9">
        <v>0.16</v>
      </c>
      <c r="C68" s="9">
        <v>1.571</v>
      </c>
      <c r="D68" s="9">
        <v>1.571</v>
      </c>
      <c r="E68" s="9">
        <v>1.4</v>
      </c>
      <c r="F68" s="9">
        <v>0</v>
      </c>
      <c r="G68" s="9">
        <v>0</v>
      </c>
      <c r="N68" s="9">
        <v>0.72236515109110599</v>
      </c>
      <c r="O68" s="9">
        <v>0.19403274738672552</v>
      </c>
      <c r="P68" s="9">
        <v>1.5700008232537475</v>
      </c>
      <c r="Q68" s="9">
        <v>1.7321229798559308</v>
      </c>
      <c r="R68" s="10">
        <v>3.0511878959457176E-5</v>
      </c>
      <c r="S68" s="8">
        <f t="shared" ref="S68:S131" si="6">ABS(N68-A68)</f>
        <v>2.2365151091106039E-2</v>
      </c>
      <c r="T68" s="8">
        <f t="shared" ref="T68:T131" si="7">ABS(O68-B68)</f>
        <v>3.4032747386725515E-2</v>
      </c>
      <c r="U68" s="8">
        <f t="shared" ref="U68:U131" si="8">ABS(P68-C68)</f>
        <v>9.9917674625249475E-4</v>
      </c>
      <c r="V68" s="8">
        <f t="shared" ref="V68:V131" si="9">ABS(Q68-D68)</f>
        <v>0.16112297985593083</v>
      </c>
    </row>
    <row r="69" spans="1:22" x14ac:dyDescent="0.25">
      <c r="A69" s="9">
        <v>0.7</v>
      </c>
      <c r="B69" s="9">
        <v>0.2</v>
      </c>
      <c r="C69" s="9">
        <v>1.571</v>
      </c>
      <c r="D69" s="9">
        <v>1.571</v>
      </c>
      <c r="E69" s="9">
        <v>0</v>
      </c>
      <c r="F69" s="9">
        <v>0</v>
      </c>
      <c r="G69" s="9">
        <v>0</v>
      </c>
      <c r="N69" s="9">
        <v>0.72638138592291523</v>
      </c>
      <c r="O69" s="9">
        <v>0.19998977160723644</v>
      </c>
      <c r="P69" s="9">
        <v>1.506972305557714</v>
      </c>
      <c r="Q69" s="9">
        <v>1.8778352839544556</v>
      </c>
      <c r="R69" s="10">
        <v>5.3436719170958809E-4</v>
      </c>
      <c r="S69" s="8">
        <f t="shared" si="6"/>
        <v>2.6381385922915279E-2</v>
      </c>
      <c r="T69" s="8">
        <f t="shared" si="7"/>
        <v>1.022839276357268E-5</v>
      </c>
      <c r="U69" s="8">
        <f t="shared" si="8"/>
        <v>6.4027694442285954E-2</v>
      </c>
      <c r="V69" s="8">
        <f t="shared" si="9"/>
        <v>0.3068352839544557</v>
      </c>
    </row>
    <row r="70" spans="1:22" x14ac:dyDescent="0.25">
      <c r="A70" s="9">
        <v>0.7</v>
      </c>
      <c r="B70" s="9">
        <v>0.06</v>
      </c>
      <c r="C70" s="9">
        <v>3.665</v>
      </c>
      <c r="D70" s="9">
        <v>0.78500000000000003</v>
      </c>
      <c r="E70" s="9">
        <v>0</v>
      </c>
      <c r="F70" s="9">
        <v>0</v>
      </c>
      <c r="G70" s="9">
        <v>0</v>
      </c>
      <c r="N70" s="9">
        <v>0.999999914680337</v>
      </c>
      <c r="O70" s="9">
        <v>5.0530846095192261E-2</v>
      </c>
      <c r="P70" s="9">
        <v>3.5011568640265138</v>
      </c>
      <c r="Q70" s="9">
        <v>0.6563521811396692</v>
      </c>
      <c r="R70" s="10">
        <v>1.8648651366009821E-3</v>
      </c>
      <c r="S70" s="8">
        <f t="shared" si="6"/>
        <v>0.29999991468033704</v>
      </c>
      <c r="T70" s="8">
        <f t="shared" si="7"/>
        <v>9.4691539048077367E-3</v>
      </c>
      <c r="U70" s="8">
        <f t="shared" si="8"/>
        <v>0.16384313597348621</v>
      </c>
      <c r="V70" s="8">
        <f t="shared" si="9"/>
        <v>0.12864781886033083</v>
      </c>
    </row>
    <row r="71" spans="1:22" x14ac:dyDescent="0.25">
      <c r="A71" s="9">
        <v>0.6</v>
      </c>
      <c r="B71" s="9">
        <v>0.1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0.58848613130370853</v>
      </c>
      <c r="O71" s="9">
        <v>0.10148559721846495</v>
      </c>
      <c r="P71" s="9">
        <v>3.5642743800266916</v>
      </c>
      <c r="Q71" s="9">
        <v>0.83053866696338918</v>
      </c>
      <c r="R71" s="10">
        <v>3.9550550404913005E-5</v>
      </c>
      <c r="S71" s="8">
        <f t="shared" si="6"/>
        <v>1.1513868696291452E-2</v>
      </c>
      <c r="T71" s="8">
        <f t="shared" si="7"/>
        <v>1.4855972184649457E-3</v>
      </c>
      <c r="U71" s="8">
        <f t="shared" si="8"/>
        <v>0.10072561997330842</v>
      </c>
      <c r="V71" s="8">
        <f t="shared" si="9"/>
        <v>4.5538666963389152E-2</v>
      </c>
    </row>
    <row r="72" spans="1:22" x14ac:dyDescent="0.25">
      <c r="A72" s="9">
        <v>0.8</v>
      </c>
      <c r="B72" s="9">
        <v>0.18</v>
      </c>
      <c r="C72" s="9">
        <v>3.665</v>
      </c>
      <c r="D72" s="9">
        <v>0.78500000000000003</v>
      </c>
      <c r="E72" s="9">
        <v>1.4</v>
      </c>
      <c r="F72" s="9">
        <v>0</v>
      </c>
      <c r="G72" s="9">
        <v>0</v>
      </c>
      <c r="N72" s="9">
        <v>0.76363155262131177</v>
      </c>
      <c r="O72" s="9">
        <v>0.19999999286151715</v>
      </c>
      <c r="P72" s="9">
        <v>3.8087428703829724</v>
      </c>
      <c r="Q72" s="9">
        <v>0.53081434335640876</v>
      </c>
      <c r="R72" s="10">
        <v>1.4717285343227627E-3</v>
      </c>
      <c r="S72" s="8">
        <f t="shared" si="6"/>
        <v>3.6368447378688273E-2</v>
      </c>
      <c r="T72" s="8">
        <f t="shared" si="7"/>
        <v>1.9999992861517157E-2</v>
      </c>
      <c r="U72" s="8">
        <f t="shared" si="8"/>
        <v>0.1437428703829724</v>
      </c>
      <c r="V72" s="8">
        <f t="shared" si="9"/>
        <v>0.25418565664359127</v>
      </c>
    </row>
    <row r="73" spans="1:22" x14ac:dyDescent="0.25">
      <c r="A73" s="9">
        <v>0.4</v>
      </c>
      <c r="B73" s="9">
        <v>0.2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0.39840040607494825</v>
      </c>
      <c r="O73" s="9">
        <v>0.17943764953815863</v>
      </c>
      <c r="P73" s="9">
        <v>3.602707160267089</v>
      </c>
      <c r="Q73" s="9">
        <v>0.72259586876014881</v>
      </c>
      <c r="R73" s="10">
        <v>1.1216057587899652E-4</v>
      </c>
      <c r="S73" s="8">
        <f t="shared" si="6"/>
        <v>1.5995939250517677E-3</v>
      </c>
      <c r="T73" s="8">
        <f t="shared" si="7"/>
        <v>2.0562350461841378E-2</v>
      </c>
      <c r="U73" s="8">
        <f t="shared" si="8"/>
        <v>6.2292839732910998E-2</v>
      </c>
      <c r="V73" s="8">
        <f t="shared" si="9"/>
        <v>6.2404131239851224E-2</v>
      </c>
    </row>
    <row r="74" spans="1:22" x14ac:dyDescent="0.25">
      <c r="A74" s="9">
        <v>0.4</v>
      </c>
      <c r="B74" s="9">
        <v>0.1</v>
      </c>
      <c r="C74" s="9">
        <v>3.665</v>
      </c>
      <c r="D74" s="9">
        <v>1.571</v>
      </c>
      <c r="E74" s="9">
        <v>1.4</v>
      </c>
      <c r="F74" s="9">
        <v>0</v>
      </c>
      <c r="G74" s="9">
        <v>0</v>
      </c>
      <c r="N74" s="9">
        <v>0.41225491638308115</v>
      </c>
      <c r="O74" s="9">
        <v>0.16224995380195259</v>
      </c>
      <c r="P74" s="9">
        <v>3.394731825848095</v>
      </c>
      <c r="Q74" s="9">
        <v>2.1833788131671259</v>
      </c>
      <c r="R74" s="10">
        <v>3.1389957913372548E-4</v>
      </c>
      <c r="S74" s="8">
        <f t="shared" si="6"/>
        <v>1.2254916383081127E-2</v>
      </c>
      <c r="T74" s="8">
        <f t="shared" si="7"/>
        <v>6.2249953801952584E-2</v>
      </c>
      <c r="U74" s="8">
        <f t="shared" si="8"/>
        <v>0.27026817415190507</v>
      </c>
      <c r="V74" s="8">
        <f t="shared" si="9"/>
        <v>0.61237881316712595</v>
      </c>
    </row>
    <row r="75" spans="1:22" x14ac:dyDescent="0.25">
      <c r="A75" s="9">
        <v>0.7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0.69606416050275277</v>
      </c>
      <c r="O75" s="9">
        <v>0.11643230825339131</v>
      </c>
      <c r="P75" s="9">
        <v>3.589298562294267</v>
      </c>
      <c r="Q75" s="9">
        <v>1.2955574642423859</v>
      </c>
      <c r="R75" s="10">
        <v>2.9666228085127003E-4</v>
      </c>
      <c r="S75" s="8">
        <f t="shared" si="6"/>
        <v>3.9358394972471844E-3</v>
      </c>
      <c r="T75" s="8">
        <f t="shared" si="7"/>
        <v>1.6432308253391301E-2</v>
      </c>
      <c r="U75" s="8">
        <f t="shared" si="8"/>
        <v>7.570143770573301E-2</v>
      </c>
      <c r="V75" s="8">
        <f t="shared" si="9"/>
        <v>0.27544253575761402</v>
      </c>
    </row>
    <row r="76" spans="1:22" x14ac:dyDescent="0.25">
      <c r="A76" s="9">
        <v>0.4</v>
      </c>
      <c r="B76" s="9">
        <v>0.16</v>
      </c>
      <c r="C76" s="9">
        <v>3.665</v>
      </c>
      <c r="D76" s="9">
        <v>1.571</v>
      </c>
      <c r="E76" s="9">
        <v>0</v>
      </c>
      <c r="F76" s="9">
        <v>0</v>
      </c>
      <c r="G76" s="9">
        <v>0</v>
      </c>
      <c r="N76" s="9">
        <v>0.47458743311577428</v>
      </c>
      <c r="O76" s="9">
        <v>0.12200824619462507</v>
      </c>
      <c r="P76" s="9">
        <v>3.6119958901887133</v>
      </c>
      <c r="Q76" s="9">
        <v>1.7388354438768967</v>
      </c>
      <c r="R76" s="10">
        <v>7.4244472089723538E-6</v>
      </c>
      <c r="S76" s="8">
        <f t="shared" si="6"/>
        <v>7.458743311577426E-2</v>
      </c>
      <c r="T76" s="8">
        <f t="shared" si="7"/>
        <v>3.7991753805374937E-2</v>
      </c>
      <c r="U76" s="8">
        <f t="shared" si="8"/>
        <v>5.3004109811286781E-2</v>
      </c>
      <c r="V76" s="8">
        <f t="shared" si="9"/>
        <v>0.16783544387689675</v>
      </c>
    </row>
    <row r="77" spans="1:22" x14ac:dyDescent="0.25">
      <c r="A77" s="9">
        <v>0.3</v>
      </c>
      <c r="B77" s="9">
        <v>0.18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0.39167967973141388</v>
      </c>
      <c r="O77" s="9">
        <v>0.12451667084564323</v>
      </c>
      <c r="P77" s="9">
        <v>4.1137308012578684</v>
      </c>
      <c r="Q77" s="9">
        <v>2.3457040782593426</v>
      </c>
      <c r="R77" s="10">
        <v>9.5842516444197973E-4</v>
      </c>
      <c r="S77" s="8">
        <f t="shared" si="6"/>
        <v>9.1679679731413888E-2</v>
      </c>
      <c r="T77" s="8">
        <f t="shared" si="7"/>
        <v>5.5483329154356761E-2</v>
      </c>
      <c r="U77" s="8">
        <f t="shared" si="8"/>
        <v>0.44873080125786835</v>
      </c>
      <c r="V77" s="8">
        <f t="shared" si="9"/>
        <v>0.77470407825934262</v>
      </c>
    </row>
    <row r="78" spans="1:22" x14ac:dyDescent="0.25">
      <c r="A78" s="9">
        <v>0.3</v>
      </c>
      <c r="B78" s="9">
        <v>0.08</v>
      </c>
      <c r="C78" s="9">
        <v>1.571</v>
      </c>
      <c r="D78" s="9">
        <v>0.78500000000000003</v>
      </c>
      <c r="E78" s="9">
        <v>1.4</v>
      </c>
      <c r="F78" s="9">
        <v>0</v>
      </c>
      <c r="G78" s="9">
        <v>0</v>
      </c>
      <c r="N78" s="9">
        <v>0.28974919768337182</v>
      </c>
      <c r="O78" s="9">
        <v>6.881152304352478E-2</v>
      </c>
      <c r="P78" s="9">
        <v>1.7278888772936569</v>
      </c>
      <c r="Q78" s="9">
        <v>0.74245379630588271</v>
      </c>
      <c r="R78" s="10">
        <v>1.6408797545232811E-5</v>
      </c>
      <c r="S78" s="8">
        <f t="shared" si="6"/>
        <v>1.0250802316628171E-2</v>
      </c>
      <c r="T78" s="8">
        <f t="shared" si="7"/>
        <v>1.1188476956475221E-2</v>
      </c>
      <c r="U78" s="8">
        <f t="shared" si="8"/>
        <v>0.15688887729365697</v>
      </c>
      <c r="V78" s="8">
        <f t="shared" si="9"/>
        <v>4.2546203694117324E-2</v>
      </c>
    </row>
    <row r="79" spans="1:22" x14ac:dyDescent="0.25">
      <c r="A79" s="9">
        <v>0.4</v>
      </c>
      <c r="B79" s="9">
        <v>0.14000000000000001</v>
      </c>
      <c r="C79" s="9">
        <v>1.571</v>
      </c>
      <c r="D79" s="9">
        <v>0.78500000000000003</v>
      </c>
      <c r="E79" s="9">
        <v>0</v>
      </c>
      <c r="F79" s="9">
        <v>0</v>
      </c>
      <c r="G79" s="9">
        <v>0</v>
      </c>
      <c r="N79" s="9">
        <v>0.38586316170949747</v>
      </c>
      <c r="O79" s="9">
        <v>8.5453571420996868E-2</v>
      </c>
      <c r="P79" s="9">
        <v>1.6772083769716211</v>
      </c>
      <c r="Q79" s="9">
        <v>1.2099023117481571</v>
      </c>
      <c r="R79" s="10">
        <v>4.7105709055449335E-5</v>
      </c>
      <c r="S79" s="8">
        <f t="shared" si="6"/>
        <v>1.4136838290502551E-2</v>
      </c>
      <c r="T79" s="8">
        <f t="shared" si="7"/>
        <v>5.4546428579003145E-2</v>
      </c>
      <c r="U79" s="8">
        <f t="shared" si="8"/>
        <v>0.10620837697162111</v>
      </c>
      <c r="V79" s="8">
        <f t="shared" si="9"/>
        <v>0.42490231174815707</v>
      </c>
    </row>
    <row r="80" spans="1:22" x14ac:dyDescent="0.25">
      <c r="A80" s="9">
        <v>0.6</v>
      </c>
      <c r="B80" s="9">
        <v>0.16</v>
      </c>
      <c r="C80" s="9">
        <v>1.571</v>
      </c>
      <c r="D80" s="9">
        <v>0.78500000000000003</v>
      </c>
      <c r="E80" s="9">
        <v>1.4</v>
      </c>
      <c r="F80" s="9">
        <v>0</v>
      </c>
      <c r="G80" s="9">
        <v>0</v>
      </c>
      <c r="N80" s="9">
        <v>0.61662578302393911</v>
      </c>
      <c r="O80" s="9">
        <v>0.16042583325768539</v>
      </c>
      <c r="P80" s="9">
        <v>1.6560832782010082</v>
      </c>
      <c r="Q80" s="9">
        <v>0.66501275104327684</v>
      </c>
      <c r="R80" s="10">
        <v>9.9619878599291678E-5</v>
      </c>
      <c r="S80" s="8">
        <f t="shared" si="6"/>
        <v>1.6625783023939134E-2</v>
      </c>
      <c r="T80" s="8">
        <f t="shared" si="7"/>
        <v>4.2583325768538738E-4</v>
      </c>
      <c r="U80" s="8">
        <f t="shared" si="8"/>
        <v>8.508327820100825E-2</v>
      </c>
      <c r="V80" s="8">
        <f t="shared" si="9"/>
        <v>0.11998724895672319</v>
      </c>
    </row>
    <row r="81" spans="1:22" x14ac:dyDescent="0.25">
      <c r="A81" s="9">
        <v>0.4</v>
      </c>
      <c r="B81" s="9">
        <v>0.06</v>
      </c>
      <c r="C81" s="9">
        <v>1.571</v>
      </c>
      <c r="D81" s="9">
        <v>1.571</v>
      </c>
      <c r="E81" s="9">
        <v>1.4</v>
      </c>
      <c r="F81" s="9">
        <v>0</v>
      </c>
      <c r="G81" s="9">
        <v>0</v>
      </c>
      <c r="N81" s="9">
        <v>0.4091034931430772</v>
      </c>
      <c r="O81" s="9">
        <v>9.475007879402976E-2</v>
      </c>
      <c r="P81" s="9">
        <v>1.5925895378054242</v>
      </c>
      <c r="Q81" s="9">
        <v>1.0137713061272626</v>
      </c>
      <c r="R81" s="10">
        <v>8.9296490425366913E-7</v>
      </c>
      <c r="S81" s="8">
        <f t="shared" si="6"/>
        <v>9.1034931430771793E-3</v>
      </c>
      <c r="T81" s="8">
        <f t="shared" si="7"/>
        <v>3.4750078794029762E-2</v>
      </c>
      <c r="U81" s="8">
        <f t="shared" si="8"/>
        <v>2.1589537805424275E-2</v>
      </c>
      <c r="V81" s="8">
        <f t="shared" si="9"/>
        <v>0.55722869387273732</v>
      </c>
    </row>
    <row r="82" spans="1:22" x14ac:dyDescent="0.25">
      <c r="A82" s="9">
        <v>0.8</v>
      </c>
      <c r="B82" s="9">
        <v>0.08</v>
      </c>
      <c r="C82" s="9">
        <v>1.571</v>
      </c>
      <c r="D82" s="9">
        <v>1.571</v>
      </c>
      <c r="E82" s="9">
        <v>0</v>
      </c>
      <c r="F82" s="9">
        <v>0</v>
      </c>
      <c r="G82" s="9">
        <v>0</v>
      </c>
      <c r="N82" s="9">
        <v>0.88678791014557201</v>
      </c>
      <c r="O82" s="9">
        <v>8.6137713824153972E-2</v>
      </c>
      <c r="P82" s="9">
        <v>1.4251266432651153</v>
      </c>
      <c r="Q82" s="9">
        <v>1.6553413791961087</v>
      </c>
      <c r="R82" s="10">
        <v>2.9243214340604823E-4</v>
      </c>
      <c r="S82" s="8">
        <f t="shared" si="6"/>
        <v>8.6787910145571967E-2</v>
      </c>
      <c r="T82" s="8">
        <f t="shared" si="7"/>
        <v>6.1377138241539703E-3</v>
      </c>
      <c r="U82" s="8">
        <f t="shared" si="8"/>
        <v>0.14587335673488466</v>
      </c>
      <c r="V82" s="8">
        <f t="shared" si="9"/>
        <v>8.4341379196108734E-2</v>
      </c>
    </row>
    <row r="83" spans="1:22" x14ac:dyDescent="0.25">
      <c r="A83" s="9">
        <v>0.7</v>
      </c>
      <c r="B83" s="9">
        <v>0.16</v>
      </c>
      <c r="C83" s="9">
        <v>1.571</v>
      </c>
      <c r="D83" s="9">
        <v>1.571</v>
      </c>
      <c r="E83" s="9">
        <v>1.4</v>
      </c>
      <c r="F83" s="9">
        <v>0</v>
      </c>
      <c r="G83" s="9">
        <v>0</v>
      </c>
      <c r="N83" s="9">
        <v>0.6852983404404801</v>
      </c>
      <c r="O83" s="9">
        <v>0.16022167220351882</v>
      </c>
      <c r="P83" s="9">
        <v>1.5366940478252227</v>
      </c>
      <c r="Q83" s="9">
        <v>1.7007496497642933</v>
      </c>
      <c r="R83" s="10">
        <v>3.8878965580463726E-5</v>
      </c>
      <c r="S83" s="8">
        <f t="shared" si="6"/>
        <v>1.4701659559519853E-2</v>
      </c>
      <c r="T83" s="8">
        <f t="shared" si="7"/>
        <v>2.21672203518819E-4</v>
      </c>
      <c r="U83" s="8">
        <f t="shared" si="8"/>
        <v>3.4305952174777277E-2</v>
      </c>
      <c r="V83" s="8">
        <f t="shared" si="9"/>
        <v>0.12974964976429337</v>
      </c>
    </row>
    <row r="84" spans="1:22" x14ac:dyDescent="0.25">
      <c r="A84" s="9">
        <v>0.7</v>
      </c>
      <c r="B84" s="9">
        <v>0.2</v>
      </c>
      <c r="C84" s="9">
        <v>1.571</v>
      </c>
      <c r="D84" s="9">
        <v>1.571</v>
      </c>
      <c r="E84" s="9">
        <v>0</v>
      </c>
      <c r="F84" s="9">
        <v>0</v>
      </c>
      <c r="G84" s="9">
        <v>0</v>
      </c>
      <c r="N84" s="9">
        <v>0.84807512109322924</v>
      </c>
      <c r="O84" s="9">
        <v>0.19550359858689864</v>
      </c>
      <c r="P84" s="9">
        <v>1.698870104352519</v>
      </c>
      <c r="Q84" s="9">
        <v>1.8604095314220914</v>
      </c>
      <c r="R84" s="10">
        <v>8.7020909640679643E-4</v>
      </c>
      <c r="S84" s="8">
        <f t="shared" si="6"/>
        <v>0.14807512109322929</v>
      </c>
      <c r="T84" s="8">
        <f t="shared" si="7"/>
        <v>4.4964014131013696E-3</v>
      </c>
      <c r="U84" s="8">
        <f t="shared" si="8"/>
        <v>0.127870104352519</v>
      </c>
      <c r="V84" s="8">
        <f t="shared" si="9"/>
        <v>0.28940953142209147</v>
      </c>
    </row>
    <row r="85" spans="1:22" x14ac:dyDescent="0.25">
      <c r="A85" s="9">
        <v>0.7</v>
      </c>
      <c r="B85" s="9">
        <v>0.06</v>
      </c>
      <c r="C85" s="9">
        <v>3.665</v>
      </c>
      <c r="D85" s="9">
        <v>0.78500000000000003</v>
      </c>
      <c r="E85" s="9">
        <v>0</v>
      </c>
      <c r="F85" s="9">
        <v>0</v>
      </c>
      <c r="G85" s="9">
        <v>0</v>
      </c>
      <c r="N85" s="9">
        <v>0.8142803756107615</v>
      </c>
      <c r="O85" s="9">
        <v>7.5629305925546439E-2</v>
      </c>
      <c r="P85" s="9">
        <v>3.8058823338118217</v>
      </c>
      <c r="Q85" s="9">
        <v>0.74754434885574073</v>
      </c>
      <c r="R85" s="10">
        <v>2.9131475741408331E-4</v>
      </c>
      <c r="S85" s="8">
        <f t="shared" si="6"/>
        <v>0.11428037561076154</v>
      </c>
      <c r="T85" s="8">
        <f t="shared" si="7"/>
        <v>1.5629305925546441E-2</v>
      </c>
      <c r="U85" s="8">
        <f t="shared" si="8"/>
        <v>0.14088233381182169</v>
      </c>
      <c r="V85" s="8">
        <f t="shared" si="9"/>
        <v>3.7455651144259305E-2</v>
      </c>
    </row>
    <row r="86" spans="1:22" x14ac:dyDescent="0.25">
      <c r="A86" s="9">
        <v>0.6</v>
      </c>
      <c r="B86" s="9">
        <v>0.1</v>
      </c>
      <c r="C86" s="9">
        <v>3.665</v>
      </c>
      <c r="D86" s="9">
        <v>0.78500000000000003</v>
      </c>
      <c r="E86" s="9">
        <v>0</v>
      </c>
      <c r="F86" s="9">
        <v>0</v>
      </c>
      <c r="G86" s="9">
        <v>0</v>
      </c>
      <c r="N86" s="9">
        <v>0.78441562098127571</v>
      </c>
      <c r="O86" s="9">
        <v>0.10083647258230843</v>
      </c>
      <c r="P86" s="9">
        <v>3.5809838912378127</v>
      </c>
      <c r="Q86" s="9">
        <v>0.58193164147693754</v>
      </c>
      <c r="R86" s="10">
        <v>2.2220785959213711E-5</v>
      </c>
      <c r="S86" s="8">
        <f t="shared" si="6"/>
        <v>0.18441562098127573</v>
      </c>
      <c r="T86" s="8">
        <f t="shared" si="7"/>
        <v>8.3647258230842847E-4</v>
      </c>
      <c r="U86" s="8">
        <f t="shared" si="8"/>
        <v>8.4016108762187347E-2</v>
      </c>
      <c r="V86" s="8">
        <f t="shared" si="9"/>
        <v>0.20306835852306249</v>
      </c>
    </row>
    <row r="87" spans="1:22" x14ac:dyDescent="0.25">
      <c r="A87" s="9">
        <v>0.8</v>
      </c>
      <c r="B87" s="9">
        <v>0.18</v>
      </c>
      <c r="C87" s="9">
        <v>3.665</v>
      </c>
      <c r="D87" s="9">
        <v>0.78500000000000003</v>
      </c>
      <c r="E87" s="9">
        <v>1.4</v>
      </c>
      <c r="F87" s="9">
        <v>0</v>
      </c>
      <c r="G87" s="9">
        <v>0</v>
      </c>
      <c r="N87" s="9">
        <v>0.81438140602682996</v>
      </c>
      <c r="O87" s="9">
        <v>0.14039999403791273</v>
      </c>
      <c r="P87" s="9">
        <v>3.419506229295338</v>
      </c>
      <c r="Q87" s="9">
        <v>0.83892300406850329</v>
      </c>
      <c r="R87" s="10">
        <v>1.822474026543416E-3</v>
      </c>
      <c r="S87" s="8">
        <f t="shared" si="6"/>
        <v>1.4381406026829913E-2</v>
      </c>
      <c r="T87" s="8">
        <f t="shared" si="7"/>
        <v>3.9600005962087265E-2</v>
      </c>
      <c r="U87" s="8">
        <f t="shared" si="8"/>
        <v>0.24549377070466205</v>
      </c>
      <c r="V87" s="8">
        <f t="shared" si="9"/>
        <v>5.3923004068503255E-2</v>
      </c>
    </row>
    <row r="88" spans="1:22" x14ac:dyDescent="0.25">
      <c r="A88" s="9">
        <v>0.4</v>
      </c>
      <c r="B88" s="9">
        <v>0.2</v>
      </c>
      <c r="C88" s="9">
        <v>3.665</v>
      </c>
      <c r="D88" s="9">
        <v>0.78500000000000003</v>
      </c>
      <c r="E88" s="9">
        <v>1.4</v>
      </c>
      <c r="F88" s="9">
        <v>0</v>
      </c>
      <c r="G88" s="9">
        <v>0</v>
      </c>
      <c r="N88" s="9">
        <v>0.70350460880395649</v>
      </c>
      <c r="O88" s="9">
        <v>0.19999998804544145</v>
      </c>
      <c r="P88" s="9">
        <v>3.653666457636326</v>
      </c>
      <c r="Q88" s="9">
        <v>0.31508945579048508</v>
      </c>
      <c r="R88" s="10">
        <v>1.1815259425866204E-4</v>
      </c>
      <c r="S88" s="8">
        <f t="shared" si="6"/>
        <v>0.30350460880395647</v>
      </c>
      <c r="T88" s="8">
        <f t="shared" si="7"/>
        <v>1.1954558565285822E-8</v>
      </c>
      <c r="U88" s="8">
        <f t="shared" si="8"/>
        <v>1.133354236367401E-2</v>
      </c>
      <c r="V88" s="8">
        <f t="shared" si="9"/>
        <v>0.46991054420951495</v>
      </c>
    </row>
    <row r="89" spans="1:22" x14ac:dyDescent="0.25">
      <c r="A89" s="9">
        <v>0.4</v>
      </c>
      <c r="B89" s="9">
        <v>0.1</v>
      </c>
      <c r="C89" s="9">
        <v>3.665</v>
      </c>
      <c r="D89" s="9">
        <v>1.571</v>
      </c>
      <c r="E89" s="9">
        <v>1.4</v>
      </c>
      <c r="F89" s="9">
        <v>0</v>
      </c>
      <c r="G89" s="9">
        <v>0</v>
      </c>
      <c r="N89" s="9">
        <v>0.45675036199991897</v>
      </c>
      <c r="O89" s="9">
        <v>7.615668947666876E-2</v>
      </c>
      <c r="P89" s="9">
        <v>3.6897771325237874</v>
      </c>
      <c r="Q89" s="9">
        <v>1.3026537568037424</v>
      </c>
      <c r="R89" s="10">
        <v>1.3768462556282624E-6</v>
      </c>
      <c r="S89" s="8">
        <f t="shared" si="6"/>
        <v>5.6750361999918952E-2</v>
      </c>
      <c r="T89" s="8">
        <f t="shared" si="7"/>
        <v>2.3843310523331246E-2</v>
      </c>
      <c r="U89" s="8">
        <f t="shared" si="8"/>
        <v>2.4777132523787326E-2</v>
      </c>
      <c r="V89" s="8">
        <f t="shared" si="9"/>
        <v>0.26834624319625755</v>
      </c>
    </row>
    <row r="90" spans="1:22" x14ac:dyDescent="0.25">
      <c r="A90" s="9">
        <v>0.7</v>
      </c>
      <c r="B90" s="9">
        <v>0.1</v>
      </c>
      <c r="C90" s="9">
        <v>3.665</v>
      </c>
      <c r="D90" s="9">
        <v>1.571</v>
      </c>
      <c r="E90" s="9">
        <v>1.4</v>
      </c>
      <c r="F90" s="9">
        <v>0</v>
      </c>
      <c r="G90" s="9">
        <v>0</v>
      </c>
      <c r="N90" s="9">
        <v>0.67782927181487262</v>
      </c>
      <c r="O90" s="9">
        <v>0.13074497669599416</v>
      </c>
      <c r="P90" s="9">
        <v>3.624671504789541</v>
      </c>
      <c r="Q90" s="9">
        <v>1.5886239490409606</v>
      </c>
      <c r="R90" s="10">
        <v>1.1648351777231044E-4</v>
      </c>
      <c r="S90" s="8">
        <f t="shared" si="6"/>
        <v>2.2170728185127331E-2</v>
      </c>
      <c r="T90" s="8">
        <f t="shared" si="7"/>
        <v>3.0744976695994158E-2</v>
      </c>
      <c r="U90" s="8">
        <f t="shared" si="8"/>
        <v>4.0328495210459003E-2</v>
      </c>
      <c r="V90" s="8">
        <f t="shared" si="9"/>
        <v>1.7623949040960651E-2</v>
      </c>
    </row>
    <row r="91" spans="1:22" x14ac:dyDescent="0.25">
      <c r="A91" s="9">
        <v>0.4</v>
      </c>
      <c r="B91" s="9">
        <v>0.16</v>
      </c>
      <c r="C91" s="9">
        <v>3.665</v>
      </c>
      <c r="D91" s="9">
        <v>1.571</v>
      </c>
      <c r="E91" s="9">
        <v>0</v>
      </c>
      <c r="F91" s="9">
        <v>0</v>
      </c>
      <c r="G91" s="9">
        <v>0</v>
      </c>
      <c r="N91" s="9">
        <v>0.36776512695133101</v>
      </c>
      <c r="O91" s="9">
        <v>0.17943018673987801</v>
      </c>
      <c r="P91" s="9">
        <v>3.7903614336876017</v>
      </c>
      <c r="Q91" s="9">
        <v>1.800216711350116</v>
      </c>
      <c r="R91" s="10">
        <v>3.6521261566066358E-4</v>
      </c>
      <c r="S91" s="8">
        <f t="shared" si="6"/>
        <v>3.223487304866901E-2</v>
      </c>
      <c r="T91" s="8">
        <f t="shared" si="7"/>
        <v>1.9430186739878008E-2</v>
      </c>
      <c r="U91" s="8">
        <f t="shared" si="8"/>
        <v>0.12536143368760166</v>
      </c>
      <c r="V91" s="8">
        <f t="shared" si="9"/>
        <v>0.22921671135011601</v>
      </c>
    </row>
    <row r="92" spans="1:22" x14ac:dyDescent="0.25">
      <c r="A92" s="9">
        <v>0.3</v>
      </c>
      <c r="B92" s="9">
        <v>0.18</v>
      </c>
      <c r="C92" s="9">
        <v>3.665</v>
      </c>
      <c r="D92" s="9">
        <v>1.571</v>
      </c>
      <c r="E92" s="9">
        <v>0</v>
      </c>
      <c r="F92" s="9">
        <v>0</v>
      </c>
      <c r="G92" s="9">
        <v>0</v>
      </c>
      <c r="N92" s="9">
        <v>0.22601782259050368</v>
      </c>
      <c r="O92" s="9">
        <v>0.19922167067428298</v>
      </c>
      <c r="P92" s="9">
        <v>3.3569235444728625</v>
      </c>
      <c r="Q92" s="9">
        <v>1.2169243907488123</v>
      </c>
      <c r="R92" s="10">
        <v>4.1979769514865827E-4</v>
      </c>
      <c r="S92" s="8">
        <f t="shared" si="6"/>
        <v>7.3982177409496308E-2</v>
      </c>
      <c r="T92" s="8">
        <f t="shared" si="7"/>
        <v>1.9221670674282987E-2</v>
      </c>
      <c r="U92" s="8">
        <f t="shared" si="8"/>
        <v>0.30807645552713758</v>
      </c>
      <c r="V92" s="8">
        <f t="shared" si="9"/>
        <v>0.35407560925118764</v>
      </c>
    </row>
    <row r="93" spans="1:22" x14ac:dyDescent="0.25">
      <c r="A93" s="9">
        <v>0.3</v>
      </c>
      <c r="B93" s="9">
        <v>0.08</v>
      </c>
      <c r="C93" s="9">
        <v>1.571</v>
      </c>
      <c r="D93" s="9">
        <v>0.78500000000000003</v>
      </c>
      <c r="E93" s="9">
        <v>1.4</v>
      </c>
      <c r="F93" s="9">
        <v>0</v>
      </c>
      <c r="G93" s="9">
        <v>0</v>
      </c>
      <c r="N93" s="9">
        <v>0.51734746846539426</v>
      </c>
      <c r="O93" s="9">
        <v>5.7021762482869616E-2</v>
      </c>
      <c r="P93" s="9">
        <v>1.53328161905038</v>
      </c>
      <c r="Q93" s="9">
        <v>0.39244969966055632</v>
      </c>
      <c r="R93" s="10">
        <v>5.8249376982417484E-6</v>
      </c>
      <c r="S93" s="8">
        <f t="shared" si="6"/>
        <v>0.21734746846539427</v>
      </c>
      <c r="T93" s="8">
        <f t="shared" si="7"/>
        <v>2.2978237517130386E-2</v>
      </c>
      <c r="U93" s="8">
        <f t="shared" si="8"/>
        <v>3.771838094961999E-2</v>
      </c>
      <c r="V93" s="8">
        <f t="shared" si="9"/>
        <v>0.39255030033944371</v>
      </c>
    </row>
    <row r="94" spans="1:22" x14ac:dyDescent="0.25">
      <c r="A94" s="9">
        <v>0.4</v>
      </c>
      <c r="B94" s="9">
        <v>0.14000000000000001</v>
      </c>
      <c r="C94" s="9">
        <v>1.571</v>
      </c>
      <c r="D94" s="9">
        <v>0.78500000000000003</v>
      </c>
      <c r="E94" s="9">
        <v>0</v>
      </c>
      <c r="F94" s="9">
        <v>0</v>
      </c>
      <c r="G94" s="9">
        <v>0</v>
      </c>
      <c r="N94" s="9">
        <v>0.32066945630321436</v>
      </c>
      <c r="O94" s="9">
        <v>0.19959059140731578</v>
      </c>
      <c r="P94" s="9">
        <v>1.8752680788357756</v>
      </c>
      <c r="Q94" s="9">
        <v>0.51814238735116958</v>
      </c>
      <c r="R94" s="10">
        <v>4.1094575848942818E-4</v>
      </c>
      <c r="S94" s="8">
        <f t="shared" si="6"/>
        <v>7.933054369678566E-2</v>
      </c>
      <c r="T94" s="8">
        <f t="shared" si="7"/>
        <v>5.9590591407315763E-2</v>
      </c>
      <c r="U94" s="8">
        <f t="shared" si="8"/>
        <v>0.30426807883577567</v>
      </c>
      <c r="V94" s="8">
        <f t="shared" si="9"/>
        <v>0.26685761264883046</v>
      </c>
    </row>
    <row r="95" spans="1:22" x14ac:dyDescent="0.25">
      <c r="A95" s="9">
        <v>0.6</v>
      </c>
      <c r="B95" s="9">
        <v>0.16</v>
      </c>
      <c r="C95" s="9">
        <v>1.571</v>
      </c>
      <c r="D95" s="9">
        <v>0.78500000000000003</v>
      </c>
      <c r="E95" s="9">
        <v>1.4</v>
      </c>
      <c r="F95" s="9">
        <v>0</v>
      </c>
      <c r="G95" s="9">
        <v>0</v>
      </c>
      <c r="N95" s="9">
        <v>0.67236878769052855</v>
      </c>
      <c r="O95" s="9">
        <v>0.17424875403791035</v>
      </c>
      <c r="P95" s="9">
        <v>1.7918594333161519</v>
      </c>
      <c r="Q95" s="9">
        <v>0.52595106037017159</v>
      </c>
      <c r="R95" s="10">
        <v>6.5044014575202396E-5</v>
      </c>
      <c r="S95" s="8">
        <f t="shared" si="6"/>
        <v>7.2368787690528569E-2</v>
      </c>
      <c r="T95" s="8">
        <f t="shared" si="7"/>
        <v>1.4248754037910344E-2</v>
      </c>
      <c r="U95" s="8">
        <f t="shared" si="8"/>
        <v>0.22085943331615199</v>
      </c>
      <c r="V95" s="8">
        <f t="shared" si="9"/>
        <v>0.25904893962982845</v>
      </c>
    </row>
    <row r="96" spans="1:22" x14ac:dyDescent="0.25">
      <c r="A96" s="9">
        <v>0.4</v>
      </c>
      <c r="B96" s="9">
        <v>0.06</v>
      </c>
      <c r="C96" s="9">
        <v>1.571</v>
      </c>
      <c r="D96" s="9">
        <v>1.571</v>
      </c>
      <c r="E96" s="9">
        <v>1.4</v>
      </c>
      <c r="F96" s="9">
        <v>0</v>
      </c>
      <c r="G96" s="9">
        <v>0</v>
      </c>
      <c r="N96" s="9">
        <v>0.57426541216258931</v>
      </c>
      <c r="O96" s="9">
        <v>3.0921969131721079E-2</v>
      </c>
      <c r="P96" s="9">
        <v>1.3257000279025326</v>
      </c>
      <c r="Q96" s="9">
        <v>1.7262586014403256</v>
      </c>
      <c r="R96" s="10">
        <v>2.4015886602394502E-4</v>
      </c>
      <c r="S96" s="8">
        <f t="shared" si="6"/>
        <v>0.17426541216258928</v>
      </c>
      <c r="T96" s="8">
        <f t="shared" si="7"/>
        <v>2.9078030868278919E-2</v>
      </c>
      <c r="U96" s="8">
        <f t="shared" si="8"/>
        <v>0.24529997209746734</v>
      </c>
      <c r="V96" s="8">
        <f t="shared" si="9"/>
        <v>0.15525860144032566</v>
      </c>
    </row>
    <row r="97" spans="1:22" x14ac:dyDescent="0.25">
      <c r="A97" s="9">
        <v>0.8</v>
      </c>
      <c r="B97" s="9">
        <v>0.08</v>
      </c>
      <c r="C97" s="9">
        <v>1.571</v>
      </c>
      <c r="D97" s="9">
        <v>1.571</v>
      </c>
      <c r="E97" s="9">
        <v>0</v>
      </c>
      <c r="F97" s="9">
        <v>0</v>
      </c>
      <c r="G97" s="9">
        <v>0</v>
      </c>
      <c r="N97" s="9">
        <v>0.93775330207655672</v>
      </c>
      <c r="O97" s="9">
        <v>7.9089316727284836E-2</v>
      </c>
      <c r="P97" s="9">
        <v>1.5991151714452578</v>
      </c>
      <c r="Q97" s="9">
        <v>1.8541836053697691</v>
      </c>
      <c r="R97" s="10">
        <v>3.1848129890225079E-5</v>
      </c>
      <c r="S97" s="8">
        <f t="shared" si="6"/>
        <v>0.13775330207655667</v>
      </c>
      <c r="T97" s="8">
        <f t="shared" si="7"/>
        <v>9.1068327271516536E-4</v>
      </c>
      <c r="U97" s="8">
        <f t="shared" si="8"/>
        <v>2.811517144525788E-2</v>
      </c>
      <c r="V97" s="8">
        <f t="shared" si="9"/>
        <v>0.28318360536976916</v>
      </c>
    </row>
    <row r="98" spans="1:22" x14ac:dyDescent="0.25">
      <c r="A98" s="9">
        <v>0.7</v>
      </c>
      <c r="B98" s="9">
        <v>0.16</v>
      </c>
      <c r="C98" s="9">
        <v>1.571</v>
      </c>
      <c r="D98" s="9">
        <v>1.571</v>
      </c>
      <c r="E98" s="9">
        <v>1.4</v>
      </c>
      <c r="F98" s="9">
        <v>0</v>
      </c>
      <c r="G98" s="9">
        <v>0</v>
      </c>
      <c r="N98" s="9">
        <v>0.6026818434201604</v>
      </c>
      <c r="O98" s="9">
        <v>0.18693788266804531</v>
      </c>
      <c r="P98" s="9">
        <v>1.4881098974236779</v>
      </c>
      <c r="Q98" s="9">
        <v>1.6438166733319806</v>
      </c>
      <c r="R98" s="10">
        <v>1.1362834362731403E-4</v>
      </c>
      <c r="S98" s="8">
        <f t="shared" si="6"/>
        <v>9.7318156579839554E-2</v>
      </c>
      <c r="T98" s="8">
        <f t="shared" si="7"/>
        <v>2.693788266804531E-2</v>
      </c>
      <c r="U98" s="8">
        <f t="shared" si="8"/>
        <v>8.2890102576322011E-2</v>
      </c>
      <c r="V98" s="8">
        <f t="shared" si="9"/>
        <v>7.2816673331980608E-2</v>
      </c>
    </row>
    <row r="99" spans="1:22" x14ac:dyDescent="0.25">
      <c r="A99" s="9">
        <v>0.7</v>
      </c>
      <c r="B99" s="9">
        <v>0.2</v>
      </c>
      <c r="C99" s="9">
        <v>1.571</v>
      </c>
      <c r="D99" s="9">
        <v>1.571</v>
      </c>
      <c r="E99" s="9">
        <v>0</v>
      </c>
      <c r="F99" s="9">
        <v>0</v>
      </c>
      <c r="G99" s="9">
        <v>0</v>
      </c>
      <c r="N99" s="9">
        <v>0.72342579482089409</v>
      </c>
      <c r="O99" s="9">
        <v>0.19904446681139434</v>
      </c>
      <c r="P99" s="9">
        <v>1.3426766377861215</v>
      </c>
      <c r="Q99" s="9">
        <v>1.8792921495985266</v>
      </c>
      <c r="R99" s="10">
        <v>1.4275412968999823E-3</v>
      </c>
      <c r="S99" s="8">
        <f t="shared" si="6"/>
        <v>2.342579482089413E-2</v>
      </c>
      <c r="T99" s="8">
        <f t="shared" si="7"/>
        <v>9.5553318860566727E-4</v>
      </c>
      <c r="U99" s="8">
        <f t="shared" si="8"/>
        <v>0.2283233622138785</v>
      </c>
      <c r="V99" s="8">
        <f t="shared" si="9"/>
        <v>0.30829214959852669</v>
      </c>
    </row>
    <row r="100" spans="1:22" x14ac:dyDescent="0.25">
      <c r="A100" s="9">
        <v>0.7</v>
      </c>
      <c r="B100" s="9">
        <v>0.06</v>
      </c>
      <c r="C100" s="9">
        <v>3.665</v>
      </c>
      <c r="D100" s="9">
        <v>0.78500000000000003</v>
      </c>
      <c r="E100" s="9">
        <v>0</v>
      </c>
      <c r="F100" s="9">
        <v>0</v>
      </c>
      <c r="G100" s="9">
        <v>0</v>
      </c>
      <c r="N100" s="9">
        <v>0.9999086842332402</v>
      </c>
      <c r="O100" s="9">
        <v>6.0130247701893375E-2</v>
      </c>
      <c r="P100" s="9">
        <v>3.5499088574452844</v>
      </c>
      <c r="Q100" s="9">
        <v>0.60071648478706674</v>
      </c>
      <c r="R100" s="10">
        <v>2.1465250880947978E-4</v>
      </c>
      <c r="S100" s="8">
        <f t="shared" si="6"/>
        <v>0.29990868423324024</v>
      </c>
      <c r="T100" s="8">
        <f t="shared" si="7"/>
        <v>1.3024770189337675E-4</v>
      </c>
      <c r="U100" s="8">
        <f t="shared" si="8"/>
        <v>0.11509114255471564</v>
      </c>
      <c r="V100" s="8">
        <f t="shared" si="9"/>
        <v>0.18428351521293329</v>
      </c>
    </row>
    <row r="101" spans="1:22" x14ac:dyDescent="0.25">
      <c r="A101" s="9">
        <v>0.6</v>
      </c>
      <c r="B101" s="9">
        <v>0.1</v>
      </c>
      <c r="C101" s="9">
        <v>3.665</v>
      </c>
      <c r="D101" s="9">
        <v>0.78500000000000003</v>
      </c>
      <c r="E101" s="9">
        <v>0</v>
      </c>
      <c r="F101" s="9">
        <v>0</v>
      </c>
      <c r="G101" s="9">
        <v>0</v>
      </c>
      <c r="N101" s="9">
        <v>0.68028344390729534</v>
      </c>
      <c r="O101" s="9">
        <v>0.12731550433896185</v>
      </c>
      <c r="P101" s="9">
        <v>3.640614671633899</v>
      </c>
      <c r="Q101" s="9">
        <v>0.59209653476904822</v>
      </c>
      <c r="R101" s="10">
        <v>3.5778060433038262E-5</v>
      </c>
      <c r="S101" s="8">
        <f t="shared" si="6"/>
        <v>8.028344390729536E-2</v>
      </c>
      <c r="T101" s="8">
        <f t="shared" si="7"/>
        <v>2.7315504338961849E-2</v>
      </c>
      <c r="U101" s="8">
        <f t="shared" si="8"/>
        <v>2.4385328366101078E-2</v>
      </c>
      <c r="V101" s="8">
        <f t="shared" si="9"/>
        <v>0.19290346523095181</v>
      </c>
    </row>
    <row r="102" spans="1:22" x14ac:dyDescent="0.25">
      <c r="A102" s="9">
        <v>0.8</v>
      </c>
      <c r="B102" s="9">
        <v>0.18</v>
      </c>
      <c r="C102" s="9">
        <v>3.665</v>
      </c>
      <c r="D102" s="9">
        <v>0.78500000000000003</v>
      </c>
      <c r="E102" s="9">
        <v>1.4</v>
      </c>
      <c r="F102" s="9">
        <v>0</v>
      </c>
      <c r="G102" s="9">
        <v>0</v>
      </c>
      <c r="N102" s="9">
        <v>0.78692892899346878</v>
      </c>
      <c r="O102" s="9">
        <v>0.13112845566969186</v>
      </c>
      <c r="P102" s="9">
        <v>3.7333818713808493</v>
      </c>
      <c r="Q102" s="9">
        <v>1.0367493850359735</v>
      </c>
      <c r="R102" s="10">
        <v>1.2731947646637211E-4</v>
      </c>
      <c r="S102" s="8">
        <f t="shared" si="6"/>
        <v>1.3071071006531265E-2</v>
      </c>
      <c r="T102" s="8">
        <f t="shared" si="7"/>
        <v>4.8871544330308131E-2</v>
      </c>
      <c r="U102" s="8">
        <f t="shared" si="8"/>
        <v>6.838187138084928E-2</v>
      </c>
      <c r="V102" s="8">
        <f t="shared" si="9"/>
        <v>0.25174938503597344</v>
      </c>
    </row>
    <row r="103" spans="1:22" x14ac:dyDescent="0.25">
      <c r="A103" s="9">
        <v>0.4</v>
      </c>
      <c r="B103" s="9">
        <v>0.2</v>
      </c>
      <c r="C103" s="9">
        <v>3.665</v>
      </c>
      <c r="D103" s="9">
        <v>0.78500000000000003</v>
      </c>
      <c r="E103" s="9">
        <v>1.4</v>
      </c>
      <c r="F103" s="9">
        <v>0</v>
      </c>
      <c r="G103" s="9">
        <v>0</v>
      </c>
      <c r="N103" s="9">
        <v>0.3958006243649011</v>
      </c>
      <c r="O103" s="9">
        <v>0.16467074212305421</v>
      </c>
      <c r="P103" s="9">
        <v>3.6264468090486188</v>
      </c>
      <c r="Q103" s="9">
        <v>0.72861406219832636</v>
      </c>
      <c r="R103" s="10">
        <v>1.4672117868826325E-5</v>
      </c>
      <c r="S103" s="8">
        <f t="shared" si="6"/>
        <v>4.1993756350989231E-3</v>
      </c>
      <c r="T103" s="8">
        <f t="shared" si="7"/>
        <v>3.5329257876945797E-2</v>
      </c>
      <c r="U103" s="8">
        <f t="shared" si="8"/>
        <v>3.8553190951381211E-2</v>
      </c>
      <c r="V103" s="8">
        <f t="shared" si="9"/>
        <v>5.6385937801673669E-2</v>
      </c>
    </row>
    <row r="104" spans="1:22" x14ac:dyDescent="0.25">
      <c r="A104" s="9">
        <v>0.4</v>
      </c>
      <c r="B104" s="9">
        <v>0.1</v>
      </c>
      <c r="C104" s="9">
        <v>3.665</v>
      </c>
      <c r="D104" s="9">
        <v>1.571</v>
      </c>
      <c r="E104" s="9">
        <v>1.4</v>
      </c>
      <c r="F104" s="9">
        <v>0</v>
      </c>
      <c r="G104" s="9">
        <v>0</v>
      </c>
      <c r="N104" s="9">
        <v>0.39741649554237429</v>
      </c>
      <c r="O104" s="9">
        <v>0.16114256196356616</v>
      </c>
      <c r="P104" s="9">
        <v>3.4728821880859906</v>
      </c>
      <c r="Q104" s="9">
        <v>2.1700125494703717</v>
      </c>
      <c r="R104" s="10">
        <v>2.4285028424873574E-4</v>
      </c>
      <c r="S104" s="8">
        <f t="shared" si="6"/>
        <v>2.5835044576257293E-3</v>
      </c>
      <c r="T104" s="8">
        <f t="shared" si="7"/>
        <v>6.1142561963566155E-2</v>
      </c>
      <c r="U104" s="8">
        <f t="shared" si="8"/>
        <v>0.19211781191400945</v>
      </c>
      <c r="V104" s="8">
        <f t="shared" si="9"/>
        <v>0.59901254947037175</v>
      </c>
    </row>
    <row r="105" spans="1:22" x14ac:dyDescent="0.25">
      <c r="A105" s="9">
        <v>0.7</v>
      </c>
      <c r="B105" s="9">
        <v>0.1</v>
      </c>
      <c r="C105" s="9">
        <v>3.665</v>
      </c>
      <c r="D105" s="9">
        <v>1.571</v>
      </c>
      <c r="E105" s="9">
        <v>1.4</v>
      </c>
      <c r="F105" s="9">
        <v>0</v>
      </c>
      <c r="G105" s="9">
        <v>0</v>
      </c>
      <c r="N105" s="9">
        <v>0.81625906720486752</v>
      </c>
      <c r="O105" s="9">
        <v>8.3166188776454777E-2</v>
      </c>
      <c r="P105" s="9">
        <v>3.5518974619483634</v>
      </c>
      <c r="Q105" s="9">
        <v>1.6442790779440808</v>
      </c>
      <c r="R105" s="10">
        <v>2.9511694785646308E-4</v>
      </c>
      <c r="S105" s="8">
        <f t="shared" si="6"/>
        <v>0.11625906720486756</v>
      </c>
      <c r="T105" s="8">
        <f t="shared" si="7"/>
        <v>1.6833811223545228E-2</v>
      </c>
      <c r="U105" s="8">
        <f t="shared" si="8"/>
        <v>0.11310253805163661</v>
      </c>
      <c r="V105" s="8">
        <f t="shared" si="9"/>
        <v>7.3279077944080839E-2</v>
      </c>
    </row>
    <row r="106" spans="1:22" x14ac:dyDescent="0.25">
      <c r="A106" s="9">
        <v>0.4</v>
      </c>
      <c r="B106" s="9">
        <v>0.16</v>
      </c>
      <c r="C106" s="9">
        <v>3.665</v>
      </c>
      <c r="D106" s="9">
        <v>1.571</v>
      </c>
      <c r="E106" s="9">
        <v>0</v>
      </c>
      <c r="F106" s="9">
        <v>0</v>
      </c>
      <c r="G106" s="9">
        <v>0</v>
      </c>
      <c r="N106" s="9">
        <v>0.38817302358144312</v>
      </c>
      <c r="O106" s="9">
        <v>0.1588451720777605</v>
      </c>
      <c r="P106" s="9">
        <v>3.7753791333342739</v>
      </c>
      <c r="Q106" s="9">
        <v>1.2222664353322621</v>
      </c>
      <c r="R106" s="10">
        <v>2.9375253498900941E-4</v>
      </c>
      <c r="S106" s="8">
        <f t="shared" si="6"/>
        <v>1.18269764185569E-2</v>
      </c>
      <c r="T106" s="8">
        <f t="shared" si="7"/>
        <v>1.1548279222395041E-3</v>
      </c>
      <c r="U106" s="8">
        <f t="shared" si="8"/>
        <v>0.11037913333427385</v>
      </c>
      <c r="V106" s="8">
        <f t="shared" si="9"/>
        <v>0.34873356466773786</v>
      </c>
    </row>
    <row r="107" spans="1:22" x14ac:dyDescent="0.25">
      <c r="A107" s="9">
        <v>0.3</v>
      </c>
      <c r="B107" s="9">
        <v>0.18</v>
      </c>
      <c r="C107" s="9">
        <v>3.665</v>
      </c>
      <c r="D107" s="9">
        <v>1.571</v>
      </c>
      <c r="E107" s="9">
        <v>0</v>
      </c>
      <c r="F107" s="9">
        <v>0</v>
      </c>
      <c r="G107" s="9">
        <v>0</v>
      </c>
      <c r="N107" s="9">
        <v>0.53934226372508642</v>
      </c>
      <c r="O107" s="9">
        <v>0.1328055141791516</v>
      </c>
      <c r="P107" s="9">
        <v>3.9735315220470819</v>
      </c>
      <c r="Q107" s="9">
        <v>2.5020690860453705</v>
      </c>
      <c r="R107" s="10">
        <v>5.0628408518637224E-4</v>
      </c>
      <c r="S107" s="8">
        <f t="shared" si="6"/>
        <v>0.23934226372508643</v>
      </c>
      <c r="T107" s="8">
        <f t="shared" si="7"/>
        <v>4.7194485820848397E-2</v>
      </c>
      <c r="U107" s="8">
        <f t="shared" si="8"/>
        <v>0.3085315220470819</v>
      </c>
      <c r="V107" s="8">
        <f t="shared" si="9"/>
        <v>0.93106908604537053</v>
      </c>
    </row>
    <row r="108" spans="1:22" x14ac:dyDescent="0.25">
      <c r="A108" s="9">
        <v>0.3</v>
      </c>
      <c r="B108" s="9">
        <v>0.08</v>
      </c>
      <c r="C108" s="9">
        <v>1.571</v>
      </c>
      <c r="D108" s="9">
        <v>0.78500000000000003</v>
      </c>
      <c r="E108" s="9">
        <v>1.4</v>
      </c>
      <c r="F108" s="9">
        <v>0</v>
      </c>
      <c r="G108" s="9">
        <v>0</v>
      </c>
      <c r="N108" s="9">
        <v>0.28484634554718169</v>
      </c>
      <c r="O108" s="9">
        <v>9.6593587307986076E-2</v>
      </c>
      <c r="P108" s="9">
        <v>1.9265471232643367</v>
      </c>
      <c r="Q108" s="9">
        <v>0.8053264397324762</v>
      </c>
      <c r="R108" s="10">
        <v>6.2722013341679419E-5</v>
      </c>
      <c r="S108" s="8">
        <f t="shared" si="6"/>
        <v>1.5153654452818299E-2</v>
      </c>
      <c r="T108" s="8">
        <f t="shared" si="7"/>
        <v>1.6593587307986074E-2</v>
      </c>
      <c r="U108" s="8">
        <f t="shared" si="8"/>
        <v>0.3555471232643368</v>
      </c>
      <c r="V108" s="8">
        <f t="shared" si="9"/>
        <v>2.0326439732476165E-2</v>
      </c>
    </row>
    <row r="109" spans="1:22" x14ac:dyDescent="0.25">
      <c r="A109" s="9">
        <v>0.4</v>
      </c>
      <c r="B109" s="9">
        <v>0.14000000000000001</v>
      </c>
      <c r="C109" s="9">
        <v>1.571</v>
      </c>
      <c r="D109" s="9">
        <v>0.78500000000000003</v>
      </c>
      <c r="E109" s="9">
        <v>0</v>
      </c>
      <c r="F109" s="9">
        <v>0</v>
      </c>
      <c r="G109" s="9">
        <v>0</v>
      </c>
      <c r="N109" s="9">
        <v>0.49552684480506531</v>
      </c>
      <c r="O109" s="9">
        <v>9.8814232685833323E-2</v>
      </c>
      <c r="P109" s="9">
        <v>1.3222740014858745</v>
      </c>
      <c r="Q109" s="9">
        <v>0.70507784364384807</v>
      </c>
      <c r="R109" s="10">
        <v>1.3034861342884317E-4</v>
      </c>
      <c r="S109" s="8">
        <f t="shared" si="6"/>
        <v>9.5526844805065292E-2</v>
      </c>
      <c r="T109" s="8">
        <f t="shared" si="7"/>
        <v>4.1185767314166691E-2</v>
      </c>
      <c r="U109" s="8">
        <f t="shared" si="8"/>
        <v>0.24872599851412547</v>
      </c>
      <c r="V109" s="8">
        <f t="shared" si="9"/>
        <v>7.9922156356151963E-2</v>
      </c>
    </row>
    <row r="110" spans="1:22" x14ac:dyDescent="0.25">
      <c r="A110" s="9">
        <v>0.6</v>
      </c>
      <c r="B110" s="9">
        <v>0.16</v>
      </c>
      <c r="C110" s="9">
        <v>1.571</v>
      </c>
      <c r="D110" s="9">
        <v>0.78500000000000003</v>
      </c>
      <c r="E110" s="9">
        <v>1.4</v>
      </c>
      <c r="F110" s="9">
        <v>0</v>
      </c>
      <c r="G110" s="9">
        <v>0</v>
      </c>
      <c r="N110" s="9">
        <v>0.52698939600580552</v>
      </c>
      <c r="O110" s="9">
        <v>0.16413256299852363</v>
      </c>
      <c r="P110" s="9">
        <v>1.7253033284857531</v>
      </c>
      <c r="Q110" s="9">
        <v>0.89488476578987897</v>
      </c>
      <c r="R110" s="10">
        <v>3.0886509213822186E-5</v>
      </c>
      <c r="S110" s="8">
        <f t="shared" si="6"/>
        <v>7.3010603994194456E-2</v>
      </c>
      <c r="T110" s="8">
        <f t="shared" si="7"/>
        <v>4.1325629985236312E-3</v>
      </c>
      <c r="U110" s="8">
        <f t="shared" si="8"/>
        <v>0.15430332848575312</v>
      </c>
      <c r="V110" s="8">
        <f t="shared" si="9"/>
        <v>0.10988476578987894</v>
      </c>
    </row>
    <row r="111" spans="1:22" x14ac:dyDescent="0.25">
      <c r="A111" s="9">
        <v>0.4</v>
      </c>
      <c r="B111" s="9">
        <v>0.06</v>
      </c>
      <c r="C111" s="9">
        <v>1.571</v>
      </c>
      <c r="D111" s="9">
        <v>1.571</v>
      </c>
      <c r="E111" s="9">
        <v>1.4</v>
      </c>
      <c r="F111" s="9">
        <v>0</v>
      </c>
      <c r="G111" s="9">
        <v>0</v>
      </c>
      <c r="N111" s="9">
        <v>0.4156080611300878</v>
      </c>
      <c r="O111" s="9">
        <v>7.8063933684257861E-2</v>
      </c>
      <c r="P111" s="9">
        <v>1.915761086663194</v>
      </c>
      <c r="Q111" s="9">
        <v>1.1876803789813435</v>
      </c>
      <c r="R111" s="10">
        <v>5.9554510354546143E-4</v>
      </c>
      <c r="S111" s="8">
        <f t="shared" si="6"/>
        <v>1.560806113008778E-2</v>
      </c>
      <c r="T111" s="8">
        <f t="shared" si="7"/>
        <v>1.8063933684257863E-2</v>
      </c>
      <c r="U111" s="8">
        <f t="shared" si="8"/>
        <v>0.34476108666319405</v>
      </c>
      <c r="V111" s="8">
        <f t="shared" si="9"/>
        <v>0.38331962101865646</v>
      </c>
    </row>
    <row r="112" spans="1:22" x14ac:dyDescent="0.25">
      <c r="A112" s="9">
        <v>0.8</v>
      </c>
      <c r="B112" s="9">
        <v>0.08</v>
      </c>
      <c r="C112" s="9">
        <v>1.571</v>
      </c>
      <c r="D112" s="9">
        <v>1.571</v>
      </c>
      <c r="E112" s="9">
        <v>0</v>
      </c>
      <c r="F112" s="9">
        <v>0</v>
      </c>
      <c r="G112" s="9">
        <v>0</v>
      </c>
      <c r="N112" s="9">
        <v>0.88641374336980283</v>
      </c>
      <c r="O112" s="9">
        <v>7.9444277650358178E-2</v>
      </c>
      <c r="P112" s="9">
        <v>1.5441483559222948</v>
      </c>
      <c r="Q112" s="9">
        <v>1.7024913078957344</v>
      </c>
      <c r="R112" s="10">
        <v>1.9506415053718309E-5</v>
      </c>
      <c r="S112" s="8">
        <f t="shared" si="6"/>
        <v>8.6413743369802787E-2</v>
      </c>
      <c r="T112" s="8">
        <f t="shared" si="7"/>
        <v>5.5572234964182399E-4</v>
      </c>
      <c r="U112" s="8">
        <f t="shared" si="8"/>
        <v>2.6851644077705128E-2</v>
      </c>
      <c r="V112" s="8">
        <f t="shared" si="9"/>
        <v>0.13149130789573449</v>
      </c>
    </row>
    <row r="113" spans="1:22" x14ac:dyDescent="0.25">
      <c r="A113" s="9">
        <v>0.7</v>
      </c>
      <c r="B113" s="9">
        <v>0.16</v>
      </c>
      <c r="C113" s="9">
        <v>1.571</v>
      </c>
      <c r="D113" s="9">
        <v>1.571</v>
      </c>
      <c r="E113" s="9">
        <v>1.4</v>
      </c>
      <c r="F113" s="9">
        <v>0</v>
      </c>
      <c r="G113" s="9">
        <v>0</v>
      </c>
      <c r="N113" s="9">
        <v>0.85431929360637004</v>
      </c>
      <c r="O113" s="9">
        <v>0.13230009485393207</v>
      </c>
      <c r="P113" s="9">
        <v>1.617032065628691</v>
      </c>
      <c r="Q113" s="9">
        <v>2.0498146264620707</v>
      </c>
      <c r="R113" s="10">
        <v>6.7561155085043439E-5</v>
      </c>
      <c r="S113" s="8">
        <f t="shared" si="6"/>
        <v>0.15431929360637009</v>
      </c>
      <c r="T113" s="8">
        <f t="shared" si="7"/>
        <v>2.7699905146067932E-2</v>
      </c>
      <c r="U113" s="8">
        <f t="shared" si="8"/>
        <v>4.6032065628690999E-2</v>
      </c>
      <c r="V113" s="8">
        <f t="shared" si="9"/>
        <v>0.47881462646207074</v>
      </c>
    </row>
    <row r="114" spans="1:22" x14ac:dyDescent="0.25">
      <c r="A114" s="9">
        <v>0.7</v>
      </c>
      <c r="B114" s="9">
        <v>0.2</v>
      </c>
      <c r="C114" s="9">
        <v>1.571</v>
      </c>
      <c r="D114" s="9">
        <v>1.571</v>
      </c>
      <c r="E114" s="9">
        <v>0</v>
      </c>
      <c r="F114" s="9">
        <v>0</v>
      </c>
      <c r="G114" s="9">
        <v>0</v>
      </c>
      <c r="N114" s="9">
        <v>0.66566634090626864</v>
      </c>
      <c r="O114" s="9">
        <v>0.19994800234933149</v>
      </c>
      <c r="P114" s="9">
        <v>1.447556297945005</v>
      </c>
      <c r="Q114" s="9">
        <v>1.8232612643933883</v>
      </c>
      <c r="R114" s="10">
        <v>8.0687565040253389E-4</v>
      </c>
      <c r="S114" s="8">
        <f t="shared" si="6"/>
        <v>3.4333659093731317E-2</v>
      </c>
      <c r="T114" s="8">
        <f t="shared" si="7"/>
        <v>5.1997650668517137E-5</v>
      </c>
      <c r="U114" s="8">
        <f t="shared" si="8"/>
        <v>0.123443702054995</v>
      </c>
      <c r="V114" s="8">
        <f t="shared" si="9"/>
        <v>0.25226126439338836</v>
      </c>
    </row>
    <row r="115" spans="1:22" x14ac:dyDescent="0.25">
      <c r="A115" s="9">
        <v>0.7</v>
      </c>
      <c r="B115" s="9">
        <v>0.06</v>
      </c>
      <c r="C115" s="9">
        <v>3.665</v>
      </c>
      <c r="D115" s="9">
        <v>0.78500000000000003</v>
      </c>
      <c r="E115" s="9">
        <v>0</v>
      </c>
      <c r="F115" s="9">
        <v>0</v>
      </c>
      <c r="G115" s="9">
        <v>0</v>
      </c>
      <c r="N115" s="9">
        <v>0.87355430384515764</v>
      </c>
      <c r="O115" s="9">
        <v>4.3101277846993635E-2</v>
      </c>
      <c r="P115" s="9">
        <v>3.8298317892022986</v>
      </c>
      <c r="Q115" s="9">
        <v>0.88216044892821932</v>
      </c>
      <c r="R115" s="10">
        <v>4.2725030092319462E-4</v>
      </c>
      <c r="S115" s="8">
        <f t="shared" si="6"/>
        <v>0.17355430384515769</v>
      </c>
      <c r="T115" s="8">
        <f t="shared" si="7"/>
        <v>1.6898722153006362E-2</v>
      </c>
      <c r="U115" s="8">
        <f t="shared" si="8"/>
        <v>0.16483178920229857</v>
      </c>
      <c r="V115" s="8">
        <f t="shared" si="9"/>
        <v>9.716044892821929E-2</v>
      </c>
    </row>
    <row r="116" spans="1:22" x14ac:dyDescent="0.25">
      <c r="A116" s="9">
        <v>0.6</v>
      </c>
      <c r="B116" s="9">
        <v>0.1</v>
      </c>
      <c r="C116" s="9">
        <v>3.665</v>
      </c>
      <c r="D116" s="9">
        <v>0.78500000000000003</v>
      </c>
      <c r="E116" s="9">
        <v>0</v>
      </c>
      <c r="F116" s="9">
        <v>0</v>
      </c>
      <c r="G116" s="9">
        <v>0</v>
      </c>
      <c r="N116" s="9">
        <v>0.80728091015488623</v>
      </c>
      <c r="O116" s="9">
        <v>7.4346070916976162E-2</v>
      </c>
      <c r="P116" s="9">
        <v>3.5540714970394558</v>
      </c>
      <c r="Q116" s="9">
        <v>0.71705189037186023</v>
      </c>
      <c r="R116" s="10">
        <v>1.5490263757799748E-4</v>
      </c>
      <c r="S116" s="8">
        <f t="shared" si="6"/>
        <v>0.20728091015488626</v>
      </c>
      <c r="T116" s="8">
        <f t="shared" si="7"/>
        <v>2.5653929083023844E-2</v>
      </c>
      <c r="U116" s="8">
        <f t="shared" si="8"/>
        <v>0.11092850296054424</v>
      </c>
      <c r="V116" s="8">
        <f t="shared" si="9"/>
        <v>6.7948109628139797E-2</v>
      </c>
    </row>
    <row r="117" spans="1:22" x14ac:dyDescent="0.25">
      <c r="A117" s="9">
        <v>0.8</v>
      </c>
      <c r="B117" s="9">
        <v>0.18</v>
      </c>
      <c r="C117" s="9">
        <v>3.665</v>
      </c>
      <c r="D117" s="9">
        <v>0.78500000000000003</v>
      </c>
      <c r="E117" s="9">
        <v>1.4</v>
      </c>
      <c r="F117" s="9">
        <v>0</v>
      </c>
      <c r="G117" s="9">
        <v>0</v>
      </c>
      <c r="N117" s="9">
        <v>0.71621011022062042</v>
      </c>
      <c r="O117" s="9">
        <v>0.19977038182416801</v>
      </c>
      <c r="P117" s="9">
        <v>3.6396368934056538</v>
      </c>
      <c r="Q117" s="9">
        <v>0.60924047535399539</v>
      </c>
      <c r="R117" s="10">
        <v>3.7017905356023101E-4</v>
      </c>
      <c r="S117" s="8">
        <f t="shared" si="6"/>
        <v>8.3789889779379623E-2</v>
      </c>
      <c r="T117" s="8">
        <f t="shared" si="7"/>
        <v>1.9770381824168015E-2</v>
      </c>
      <c r="U117" s="8">
        <f t="shared" si="8"/>
        <v>2.5363106594346263E-2</v>
      </c>
      <c r="V117" s="8">
        <f t="shared" si="9"/>
        <v>0.17575952464600464</v>
      </c>
    </row>
    <row r="118" spans="1:22" x14ac:dyDescent="0.25">
      <c r="A118" s="9">
        <v>0.4</v>
      </c>
      <c r="B118" s="9">
        <v>0.2</v>
      </c>
      <c r="C118" s="9">
        <v>3.665</v>
      </c>
      <c r="D118" s="9">
        <v>0.78500000000000003</v>
      </c>
      <c r="E118" s="9">
        <v>1.4</v>
      </c>
      <c r="F118" s="9">
        <v>0</v>
      </c>
      <c r="G118" s="9">
        <v>0</v>
      </c>
      <c r="N118" s="9">
        <v>0.2912274388110549</v>
      </c>
      <c r="O118" s="9">
        <v>0.13270559090463838</v>
      </c>
      <c r="P118" s="9">
        <v>3.7085268861774296</v>
      </c>
      <c r="Q118" s="9">
        <v>1.3983074817543293</v>
      </c>
      <c r="R118" s="10">
        <v>2.5396540568767194E-5</v>
      </c>
      <c r="S118" s="8">
        <f t="shared" si="6"/>
        <v>0.10877256118894513</v>
      </c>
      <c r="T118" s="8">
        <f t="shared" si="7"/>
        <v>6.7294409095361635E-2</v>
      </c>
      <c r="U118" s="8">
        <f t="shared" si="8"/>
        <v>4.3526886177429613E-2</v>
      </c>
      <c r="V118" s="8">
        <f t="shared" si="9"/>
        <v>0.61330748175432925</v>
      </c>
    </row>
    <row r="119" spans="1:22" x14ac:dyDescent="0.25">
      <c r="A119" s="9">
        <v>0.4</v>
      </c>
      <c r="B119" s="9">
        <v>0.1</v>
      </c>
      <c r="C119" s="9">
        <v>3.665</v>
      </c>
      <c r="D119" s="9">
        <v>1.571</v>
      </c>
      <c r="E119" s="9">
        <v>1.4</v>
      </c>
      <c r="F119" s="9">
        <v>0</v>
      </c>
      <c r="G119" s="9">
        <v>0</v>
      </c>
      <c r="N119" s="9">
        <v>0.47576180485231928</v>
      </c>
      <c r="O119" s="9">
        <v>7.2892653448893549E-2</v>
      </c>
      <c r="P119" s="9">
        <v>3.7179834848591753</v>
      </c>
      <c r="Q119" s="9">
        <v>1.3655314689380693</v>
      </c>
      <c r="R119" s="10">
        <v>1.1000031900683754E-5</v>
      </c>
      <c r="S119" s="8">
        <f t="shared" si="6"/>
        <v>7.5761804852319259E-2</v>
      </c>
      <c r="T119" s="8">
        <f t="shared" si="7"/>
        <v>2.7107346551106457E-2</v>
      </c>
      <c r="U119" s="8">
        <f t="shared" si="8"/>
        <v>5.2983484859175256E-2</v>
      </c>
      <c r="V119" s="8">
        <f t="shared" si="9"/>
        <v>0.20546853106193064</v>
      </c>
    </row>
    <row r="120" spans="1:22" x14ac:dyDescent="0.25">
      <c r="A120" s="9">
        <v>0.7</v>
      </c>
      <c r="B120" s="9">
        <v>0.1</v>
      </c>
      <c r="C120" s="9">
        <v>3.665</v>
      </c>
      <c r="D120" s="9">
        <v>1.571</v>
      </c>
      <c r="E120" s="9">
        <v>1.4</v>
      </c>
      <c r="F120" s="9">
        <v>0</v>
      </c>
      <c r="G120" s="9">
        <v>0</v>
      </c>
      <c r="N120" s="9">
        <v>0.70359308974684165</v>
      </c>
      <c r="O120" s="9">
        <v>0.12024478802990519</v>
      </c>
      <c r="P120" s="9">
        <v>3.6361268248569552</v>
      </c>
      <c r="Q120" s="9">
        <v>1.6511678872024897</v>
      </c>
      <c r="R120" s="10">
        <v>1.3777447753957597E-6</v>
      </c>
      <c r="S120" s="8">
        <f t="shared" si="6"/>
        <v>3.5930897468416934E-3</v>
      </c>
      <c r="T120" s="8">
        <f t="shared" si="7"/>
        <v>2.0244788029905189E-2</v>
      </c>
      <c r="U120" s="8">
        <f t="shared" si="8"/>
        <v>2.8873175143044882E-2</v>
      </c>
      <c r="V120" s="8">
        <f t="shared" si="9"/>
        <v>8.0167887202489796E-2</v>
      </c>
    </row>
    <row r="121" spans="1:22" x14ac:dyDescent="0.25">
      <c r="A121" s="9">
        <v>0.4</v>
      </c>
      <c r="B121" s="9">
        <v>0.16</v>
      </c>
      <c r="C121" s="9">
        <v>3.665</v>
      </c>
      <c r="D121" s="9">
        <v>1.571</v>
      </c>
      <c r="E121" s="9">
        <v>0</v>
      </c>
      <c r="F121" s="9">
        <v>0</v>
      </c>
      <c r="G121" s="9">
        <v>0</v>
      </c>
      <c r="N121" s="9">
        <v>0.35081542220761502</v>
      </c>
      <c r="O121" s="9">
        <v>0.17808281338477314</v>
      </c>
      <c r="P121" s="9">
        <v>3.442428777660298</v>
      </c>
      <c r="Q121" s="9">
        <v>1.5482518668455589</v>
      </c>
      <c r="R121" s="10">
        <v>2.6633648871995637E-4</v>
      </c>
      <c r="S121" s="8">
        <f t="shared" si="6"/>
        <v>4.9184577792384998E-2</v>
      </c>
      <c r="T121" s="8">
        <f t="shared" si="7"/>
        <v>1.8082813384773133E-2</v>
      </c>
      <c r="U121" s="8">
        <f t="shared" si="8"/>
        <v>0.22257122233970206</v>
      </c>
      <c r="V121" s="8">
        <f t="shared" si="9"/>
        <v>2.2748133154441019E-2</v>
      </c>
    </row>
    <row r="122" spans="1:22" x14ac:dyDescent="0.25">
      <c r="A122" s="9">
        <v>0.3</v>
      </c>
      <c r="B122" s="9">
        <v>0.18</v>
      </c>
      <c r="C122" s="9">
        <v>3.665</v>
      </c>
      <c r="D122" s="9">
        <v>1.571</v>
      </c>
      <c r="E122" s="9">
        <v>0</v>
      </c>
      <c r="F122" s="9">
        <v>0</v>
      </c>
      <c r="G122" s="9">
        <v>0</v>
      </c>
      <c r="N122" s="9">
        <v>0.236286909151318</v>
      </c>
      <c r="O122" s="9">
        <v>0.19969254559237309</v>
      </c>
      <c r="P122" s="9">
        <v>4.0273096269885951</v>
      </c>
      <c r="Q122" s="9">
        <v>0.60370686422388176</v>
      </c>
      <c r="R122" s="10">
        <v>1.3615879502201667E-3</v>
      </c>
      <c r="S122" s="8">
        <f t="shared" si="6"/>
        <v>6.3713090848681986E-2</v>
      </c>
      <c r="T122" s="8">
        <f t="shared" si="7"/>
        <v>1.9692545592373101E-2</v>
      </c>
      <c r="U122" s="8">
        <f t="shared" si="8"/>
        <v>0.36230962698859503</v>
      </c>
      <c r="V122" s="8">
        <f t="shared" si="9"/>
        <v>0.9672931357761182</v>
      </c>
    </row>
    <row r="123" spans="1:22" x14ac:dyDescent="0.25">
      <c r="A123" s="9">
        <v>0.3</v>
      </c>
      <c r="B123" s="9">
        <v>0.08</v>
      </c>
      <c r="C123" s="9">
        <v>1.571</v>
      </c>
      <c r="D123" s="9">
        <v>0.78500000000000003</v>
      </c>
      <c r="E123" s="9">
        <v>1.4</v>
      </c>
      <c r="F123" s="9">
        <v>0</v>
      </c>
      <c r="G123" s="9">
        <v>0</v>
      </c>
      <c r="N123" s="9">
        <v>0.32493656135827298</v>
      </c>
      <c r="O123" s="9">
        <v>3.4056413546353186E-2</v>
      </c>
      <c r="P123" s="9">
        <v>1.9254947604010308</v>
      </c>
      <c r="Q123" s="9">
        <v>0.83375037084779224</v>
      </c>
      <c r="R123" s="10">
        <v>9.8344515083166053E-5</v>
      </c>
      <c r="S123" s="8">
        <f t="shared" si="6"/>
        <v>2.4936561358272991E-2</v>
      </c>
      <c r="T123" s="8">
        <f t="shared" si="7"/>
        <v>4.5943586453646816E-2</v>
      </c>
      <c r="U123" s="8">
        <f t="shared" si="8"/>
        <v>0.3544947604010309</v>
      </c>
      <c r="V123" s="8">
        <f t="shared" si="9"/>
        <v>4.8750370847792213E-2</v>
      </c>
    </row>
    <row r="124" spans="1:22" x14ac:dyDescent="0.25">
      <c r="A124" s="9">
        <v>0.4</v>
      </c>
      <c r="B124" s="9">
        <v>0.14000000000000001</v>
      </c>
      <c r="C124" s="9">
        <v>1.571</v>
      </c>
      <c r="D124" s="9">
        <v>0.78500000000000003</v>
      </c>
      <c r="E124" s="9">
        <v>0</v>
      </c>
      <c r="F124" s="9">
        <v>0</v>
      </c>
      <c r="G124" s="9">
        <v>0</v>
      </c>
      <c r="N124" s="9">
        <v>0.23210980249035418</v>
      </c>
      <c r="O124" s="9">
        <v>0.19663894736102513</v>
      </c>
      <c r="P124" s="9">
        <v>1.4645016518508065</v>
      </c>
      <c r="Q124" s="9">
        <v>1.1375511177959474</v>
      </c>
      <c r="R124" s="10">
        <v>1.4622070435647808E-5</v>
      </c>
      <c r="S124" s="8">
        <f t="shared" si="6"/>
        <v>0.16789019750964584</v>
      </c>
      <c r="T124" s="8">
        <f t="shared" si="7"/>
        <v>5.6638947361025122E-2</v>
      </c>
      <c r="U124" s="8">
        <f t="shared" si="8"/>
        <v>0.10649834814919346</v>
      </c>
      <c r="V124" s="8">
        <f t="shared" si="9"/>
        <v>0.35255111779594739</v>
      </c>
    </row>
    <row r="125" spans="1:22" x14ac:dyDescent="0.25">
      <c r="A125" s="9">
        <v>0.6</v>
      </c>
      <c r="B125" s="9">
        <v>0.16</v>
      </c>
      <c r="C125" s="9">
        <v>1.571</v>
      </c>
      <c r="D125" s="9">
        <v>0.78500000000000003</v>
      </c>
      <c r="E125" s="9">
        <v>1.4</v>
      </c>
      <c r="F125" s="9">
        <v>0</v>
      </c>
      <c r="G125" s="9">
        <v>0</v>
      </c>
      <c r="N125" s="9">
        <v>0.56090514442898232</v>
      </c>
      <c r="O125" s="9">
        <v>0.17476389450961127</v>
      </c>
      <c r="P125" s="9">
        <v>1.7619860029202365</v>
      </c>
      <c r="Q125" s="9">
        <v>0.79191519950818356</v>
      </c>
      <c r="R125" s="10">
        <v>1.8355234079616713E-5</v>
      </c>
      <c r="S125" s="8">
        <f t="shared" si="6"/>
        <v>3.9094855571017662E-2</v>
      </c>
      <c r="T125" s="8">
        <f t="shared" si="7"/>
        <v>1.4763894509611269E-2</v>
      </c>
      <c r="U125" s="8">
        <f t="shared" si="8"/>
        <v>0.1909860029202366</v>
      </c>
      <c r="V125" s="8">
        <f t="shared" si="9"/>
        <v>6.9151995081835338E-3</v>
      </c>
    </row>
    <row r="126" spans="1:22" x14ac:dyDescent="0.25">
      <c r="A126" s="9">
        <v>0.4</v>
      </c>
      <c r="B126" s="9">
        <v>0.06</v>
      </c>
      <c r="C126" s="9">
        <v>1.571</v>
      </c>
      <c r="D126" s="9">
        <v>1.571</v>
      </c>
      <c r="E126" s="9">
        <v>1.4</v>
      </c>
      <c r="F126" s="9">
        <v>0</v>
      </c>
      <c r="G126" s="9">
        <v>0</v>
      </c>
      <c r="N126" s="9">
        <v>0.5488328944762062</v>
      </c>
      <c r="O126" s="9">
        <v>3.4042740972922612E-2</v>
      </c>
      <c r="P126" s="9">
        <v>1.4438960778704664</v>
      </c>
      <c r="Q126" s="9">
        <v>1.3610756533481527</v>
      </c>
      <c r="R126" s="10">
        <v>2.7664992692697518E-5</v>
      </c>
      <c r="S126" s="8">
        <f t="shared" si="6"/>
        <v>0.14883289447620618</v>
      </c>
      <c r="T126" s="8">
        <f t="shared" si="7"/>
        <v>2.5957259027077385E-2</v>
      </c>
      <c r="U126" s="8">
        <f t="shared" si="8"/>
        <v>0.12710392212953359</v>
      </c>
      <c r="V126" s="8">
        <f t="shared" si="9"/>
        <v>0.20992434665184723</v>
      </c>
    </row>
    <row r="127" spans="1:22" x14ac:dyDescent="0.25">
      <c r="A127" s="9">
        <v>0.8</v>
      </c>
      <c r="B127" s="9">
        <v>0.08</v>
      </c>
      <c r="C127" s="9">
        <v>1.571</v>
      </c>
      <c r="D127" s="9">
        <v>1.571</v>
      </c>
      <c r="E127" s="9">
        <v>0</v>
      </c>
      <c r="F127" s="9">
        <v>0</v>
      </c>
      <c r="G127" s="9">
        <v>0</v>
      </c>
      <c r="N127" s="9">
        <v>0.86343812934973796</v>
      </c>
      <c r="O127" s="9">
        <v>8.5088150472645258E-2</v>
      </c>
      <c r="P127" s="9">
        <v>1.5046854377493362</v>
      </c>
      <c r="Q127" s="9">
        <v>1.657470164233587</v>
      </c>
      <c r="R127" s="10">
        <v>1.1164104754035279E-5</v>
      </c>
      <c r="S127" s="8">
        <f t="shared" si="6"/>
        <v>6.3438129349737915E-2</v>
      </c>
      <c r="T127" s="8">
        <f t="shared" si="7"/>
        <v>5.0881504726452559E-3</v>
      </c>
      <c r="U127" s="8">
        <f t="shared" si="8"/>
        <v>6.6314562250663789E-2</v>
      </c>
      <c r="V127" s="8">
        <f t="shared" si="9"/>
        <v>8.6470164233586999E-2</v>
      </c>
    </row>
    <row r="128" spans="1:22" x14ac:dyDescent="0.25">
      <c r="A128" s="9">
        <v>0.7</v>
      </c>
      <c r="B128" s="9">
        <v>0.16</v>
      </c>
      <c r="C128" s="9">
        <v>1.571</v>
      </c>
      <c r="D128" s="9">
        <v>1.571</v>
      </c>
      <c r="E128" s="9">
        <v>1.4</v>
      </c>
      <c r="F128" s="9">
        <v>0</v>
      </c>
      <c r="G128" s="9">
        <v>0</v>
      </c>
      <c r="N128" s="9">
        <v>0.4566046032502678</v>
      </c>
      <c r="O128" s="9">
        <v>0.19999927791788039</v>
      </c>
      <c r="P128" s="9">
        <v>1.7249580158235815</v>
      </c>
      <c r="Q128" s="9">
        <v>1.4124697070350032</v>
      </c>
      <c r="R128" s="10">
        <v>7.3204188057727896E-4</v>
      </c>
      <c r="S128" s="8">
        <f t="shared" si="6"/>
        <v>0.24339539674973215</v>
      </c>
      <c r="T128" s="8">
        <f t="shared" si="7"/>
        <v>3.9999277917880383E-2</v>
      </c>
      <c r="U128" s="8">
        <f t="shared" si="8"/>
        <v>0.1539580158235816</v>
      </c>
      <c r="V128" s="8">
        <f t="shared" si="9"/>
        <v>0.15853029296499677</v>
      </c>
    </row>
    <row r="129" spans="1:22" x14ac:dyDescent="0.25">
      <c r="A129" s="9">
        <v>0.7</v>
      </c>
      <c r="B129" s="9">
        <v>0.2</v>
      </c>
      <c r="C129" s="9">
        <v>1.571</v>
      </c>
      <c r="D129" s="9">
        <v>1.571</v>
      </c>
      <c r="E129" s="9">
        <v>0</v>
      </c>
      <c r="F129" s="9">
        <v>0</v>
      </c>
      <c r="G129" s="9">
        <v>0</v>
      </c>
      <c r="N129" s="9">
        <v>0.63769777359089463</v>
      </c>
      <c r="O129" s="9">
        <v>0.19955145348185452</v>
      </c>
      <c r="P129" s="9">
        <v>1.2831768100970358</v>
      </c>
      <c r="Q129" s="9">
        <v>1.8200522538700941</v>
      </c>
      <c r="R129" s="10">
        <v>2.2872448140907262E-3</v>
      </c>
      <c r="S129" s="8">
        <f t="shared" si="6"/>
        <v>6.2302226409105321E-2</v>
      </c>
      <c r="T129" s="8">
        <f t="shared" si="7"/>
        <v>4.4854651814549285E-4</v>
      </c>
      <c r="U129" s="8">
        <f t="shared" si="8"/>
        <v>0.28782318990296418</v>
      </c>
      <c r="V129" s="8">
        <f t="shared" si="9"/>
        <v>0.24905225387009411</v>
      </c>
    </row>
    <row r="130" spans="1:22" x14ac:dyDescent="0.25">
      <c r="A130" s="9">
        <v>0.7</v>
      </c>
      <c r="B130" s="9">
        <v>0.06</v>
      </c>
      <c r="C130" s="9">
        <v>3.665</v>
      </c>
      <c r="D130" s="9">
        <v>0.78500000000000003</v>
      </c>
      <c r="E130" s="9">
        <v>0</v>
      </c>
      <c r="F130" s="9">
        <v>0</v>
      </c>
      <c r="G130" s="9">
        <v>0</v>
      </c>
      <c r="N130" s="9">
        <v>0.76740690817596413</v>
      </c>
      <c r="O130" s="9">
        <v>6.7086556101090961E-2</v>
      </c>
      <c r="P130" s="9">
        <v>3.5370270392747227</v>
      </c>
      <c r="Q130" s="9">
        <v>0.83220600403105571</v>
      </c>
      <c r="R130" s="10">
        <v>3.7878292355471387E-5</v>
      </c>
      <c r="S130" s="8">
        <f t="shared" si="6"/>
        <v>6.7406908175964175E-2</v>
      </c>
      <c r="T130" s="8">
        <f t="shared" si="7"/>
        <v>7.0865561010909628E-3</v>
      </c>
      <c r="U130" s="8">
        <f t="shared" si="8"/>
        <v>0.12797296072527731</v>
      </c>
      <c r="V130" s="8">
        <f t="shared" si="9"/>
        <v>4.7206004031055682E-2</v>
      </c>
    </row>
    <row r="131" spans="1:22" x14ac:dyDescent="0.25">
      <c r="A131" s="9">
        <v>0.6</v>
      </c>
      <c r="B131" s="9">
        <v>0.1</v>
      </c>
      <c r="C131" s="9">
        <v>3.665</v>
      </c>
      <c r="D131" s="9">
        <v>0.78500000000000003</v>
      </c>
      <c r="E131" s="9">
        <v>0</v>
      </c>
      <c r="F131" s="9">
        <v>0</v>
      </c>
      <c r="G131" s="9">
        <v>0</v>
      </c>
      <c r="N131" s="9">
        <v>0.76688350669214966</v>
      </c>
      <c r="O131" s="9">
        <v>8.0111205337114952E-2</v>
      </c>
      <c r="P131" s="9">
        <v>3.5330708184391666</v>
      </c>
      <c r="Q131" s="9">
        <v>0.70275064416158839</v>
      </c>
      <c r="R131" s="10">
        <v>8.4566425865742806E-5</v>
      </c>
      <c r="S131" s="8">
        <f t="shared" si="6"/>
        <v>0.16688350669214969</v>
      </c>
      <c r="T131" s="8">
        <f t="shared" si="7"/>
        <v>1.9888794662885054E-2</v>
      </c>
      <c r="U131" s="8">
        <f t="shared" si="8"/>
        <v>0.13192918156083344</v>
      </c>
      <c r="V131" s="8">
        <f t="shared" si="9"/>
        <v>8.2249355838411642E-2</v>
      </c>
    </row>
    <row r="132" spans="1:22" x14ac:dyDescent="0.25">
      <c r="A132" s="9">
        <v>0.8</v>
      </c>
      <c r="B132" s="9">
        <v>0.18</v>
      </c>
      <c r="C132" s="9">
        <v>3.665</v>
      </c>
      <c r="D132" s="9">
        <v>0.78500000000000003</v>
      </c>
      <c r="E132" s="9">
        <v>1.4</v>
      </c>
      <c r="F132" s="9">
        <v>0</v>
      </c>
      <c r="G132" s="9">
        <v>0</v>
      </c>
      <c r="N132" s="9">
        <v>0.72263114032507481</v>
      </c>
      <c r="O132" s="9">
        <v>0.18318364920961464</v>
      </c>
      <c r="P132" s="9">
        <v>3.7401135215729391</v>
      </c>
      <c r="Q132" s="9">
        <v>0.77213201381845809</v>
      </c>
      <c r="R132" s="10">
        <v>2.3656003687789828E-4</v>
      </c>
      <c r="S132" s="8">
        <f t="shared" ref="S132:S152" si="10">ABS(N132-A132)</f>
        <v>7.7368859674925239E-2</v>
      </c>
      <c r="T132" s="8">
        <f t="shared" ref="T132:T152" si="11">ABS(O132-B132)</f>
        <v>3.1836492096146418E-3</v>
      </c>
      <c r="U132" s="8">
        <f t="shared" ref="U132:U152" si="12">ABS(P132-C132)</f>
        <v>7.5113521572939046E-2</v>
      </c>
      <c r="V132" s="8">
        <f t="shared" ref="V132:V152" si="13">ABS(Q132-D132)</f>
        <v>1.2867986181541946E-2</v>
      </c>
    </row>
    <row r="133" spans="1:22" x14ac:dyDescent="0.25">
      <c r="A133" s="9">
        <v>0.4</v>
      </c>
      <c r="B133" s="9">
        <v>0.2</v>
      </c>
      <c r="C133" s="9">
        <v>3.665</v>
      </c>
      <c r="D133" s="9">
        <v>0.78500000000000003</v>
      </c>
      <c r="E133" s="9">
        <v>1.4</v>
      </c>
      <c r="F133" s="9">
        <v>0</v>
      </c>
      <c r="G133" s="9">
        <v>0</v>
      </c>
      <c r="N133" s="9">
        <v>0.26808823218867511</v>
      </c>
      <c r="O133" s="9">
        <v>0.17275691677191424</v>
      </c>
      <c r="P133" s="9">
        <v>3.6660707184038515</v>
      </c>
      <c r="Q133" s="9">
        <v>1.6603020596301867</v>
      </c>
      <c r="R133" s="10">
        <v>3.8019215002460093E-5</v>
      </c>
      <c r="S133" s="8">
        <f t="shared" si="10"/>
        <v>0.13191176781132491</v>
      </c>
      <c r="T133" s="8">
        <f t="shared" si="11"/>
        <v>2.7243083228085774E-2</v>
      </c>
      <c r="U133" s="8">
        <f t="shared" si="12"/>
        <v>1.0707184038514228E-3</v>
      </c>
      <c r="V133" s="8">
        <f t="shared" si="13"/>
        <v>0.8753020596301867</v>
      </c>
    </row>
    <row r="134" spans="1:22" x14ac:dyDescent="0.25">
      <c r="A134" s="9">
        <v>0.4</v>
      </c>
      <c r="B134" s="9">
        <v>0.1</v>
      </c>
      <c r="C134" s="9">
        <v>3.665</v>
      </c>
      <c r="D134" s="9">
        <v>1.571</v>
      </c>
      <c r="E134" s="9">
        <v>1.4</v>
      </c>
      <c r="F134" s="9">
        <v>0</v>
      </c>
      <c r="G134" s="9">
        <v>0</v>
      </c>
      <c r="N134" s="9">
        <v>0.27919059567412025</v>
      </c>
      <c r="O134" s="9">
        <v>0.18947071934391591</v>
      </c>
      <c r="P134" s="9">
        <v>3.5431198620686688</v>
      </c>
      <c r="Q134" s="9">
        <v>1.3712623478325316</v>
      </c>
      <c r="R134" s="10">
        <v>7.7513793965980162E-5</v>
      </c>
      <c r="S134" s="8">
        <f t="shared" si="10"/>
        <v>0.12080940432587978</v>
      </c>
      <c r="T134" s="8">
        <f t="shared" si="11"/>
        <v>8.94707193439159E-2</v>
      </c>
      <c r="U134" s="8">
        <f t="shared" si="12"/>
        <v>0.12188013793133123</v>
      </c>
      <c r="V134" s="8">
        <f t="shared" si="13"/>
        <v>0.1997376521674683</v>
      </c>
    </row>
    <row r="135" spans="1:22" x14ac:dyDescent="0.25">
      <c r="A135" s="9">
        <v>0.7</v>
      </c>
      <c r="B135" s="9">
        <v>0.1</v>
      </c>
      <c r="C135" s="9">
        <v>3.665</v>
      </c>
      <c r="D135" s="9">
        <v>1.571</v>
      </c>
      <c r="E135" s="9">
        <v>1.4</v>
      </c>
      <c r="F135" s="9">
        <v>0</v>
      </c>
      <c r="G135" s="9">
        <v>0</v>
      </c>
      <c r="N135" s="9">
        <v>0.7427416849491586</v>
      </c>
      <c r="O135" s="9">
        <v>0.11264186470885698</v>
      </c>
      <c r="P135" s="9">
        <v>3.6391668924512537</v>
      </c>
      <c r="Q135" s="9">
        <v>1.6925752574344846</v>
      </c>
      <c r="R135" s="10">
        <v>1.8238142316096239E-5</v>
      </c>
      <c r="S135" s="8">
        <f t="shared" si="10"/>
        <v>4.2741684949158643E-2</v>
      </c>
      <c r="T135" s="8">
        <f t="shared" si="11"/>
        <v>1.2641864708856976E-2</v>
      </c>
      <c r="U135" s="8">
        <f t="shared" si="12"/>
        <v>2.5833107548746348E-2</v>
      </c>
      <c r="V135" s="8">
        <f t="shared" si="13"/>
        <v>0.12157525743448461</v>
      </c>
    </row>
    <row r="136" spans="1:22" x14ac:dyDescent="0.25">
      <c r="A136" s="9">
        <v>0.4</v>
      </c>
      <c r="B136" s="9">
        <v>0.16</v>
      </c>
      <c r="C136" s="9">
        <v>3.665</v>
      </c>
      <c r="D136" s="9">
        <v>1.571</v>
      </c>
      <c r="E136" s="9">
        <v>0</v>
      </c>
      <c r="F136" s="9">
        <v>0</v>
      </c>
      <c r="G136" s="9">
        <v>0</v>
      </c>
      <c r="N136" s="9">
        <v>0.52468478096216364</v>
      </c>
      <c r="O136" s="9">
        <v>8.6633091529922754E-2</v>
      </c>
      <c r="P136" s="9">
        <v>3.7334529212166681</v>
      </c>
      <c r="Q136" s="9">
        <v>1.5294632827810724</v>
      </c>
      <c r="R136" s="10">
        <v>1.1664039037686726E-4</v>
      </c>
      <c r="S136" s="8">
        <f t="shared" si="10"/>
        <v>0.12468478096216362</v>
      </c>
      <c r="T136" s="8">
        <f t="shared" si="11"/>
        <v>7.3366908470077249E-2</v>
      </c>
      <c r="U136" s="8">
        <f t="shared" si="12"/>
        <v>6.8452921216668017E-2</v>
      </c>
      <c r="V136" s="8">
        <f t="shared" si="13"/>
        <v>4.1536717218927599E-2</v>
      </c>
    </row>
    <row r="137" spans="1:22" x14ac:dyDescent="0.25">
      <c r="A137" s="9">
        <v>0.3</v>
      </c>
      <c r="B137" s="9">
        <v>0.18</v>
      </c>
      <c r="C137" s="9">
        <v>3.665</v>
      </c>
      <c r="D137" s="9">
        <v>1.571</v>
      </c>
      <c r="E137" s="9">
        <v>0</v>
      </c>
      <c r="F137" s="9">
        <v>0</v>
      </c>
      <c r="G137" s="9">
        <v>0</v>
      </c>
      <c r="N137" s="9">
        <v>0.24507364684828087</v>
      </c>
      <c r="O137" s="9">
        <v>0.19999999077210195</v>
      </c>
      <c r="P137" s="9">
        <v>3.8881117718092191</v>
      </c>
      <c r="Q137" s="9">
        <v>0.82836714872040651</v>
      </c>
      <c r="R137" s="10">
        <v>6.1621969418638903E-4</v>
      </c>
      <c r="S137" s="8">
        <f t="shared" si="10"/>
        <v>5.4926353151719121E-2</v>
      </c>
      <c r="T137" s="8">
        <f t="shared" si="11"/>
        <v>1.9999990772101961E-2</v>
      </c>
      <c r="U137" s="8">
        <f t="shared" si="12"/>
        <v>0.22311177180921904</v>
      </c>
      <c r="V137" s="8">
        <f t="shared" si="13"/>
        <v>0.74263285127959344</v>
      </c>
    </row>
    <row r="138" spans="1:22" x14ac:dyDescent="0.25">
      <c r="A138" s="9">
        <v>0.3</v>
      </c>
      <c r="B138" s="9">
        <v>0.08</v>
      </c>
      <c r="C138" s="9">
        <v>1.571</v>
      </c>
      <c r="D138" s="9">
        <v>0.78500000000000003</v>
      </c>
      <c r="E138" s="9">
        <v>1.4</v>
      </c>
      <c r="F138" s="9">
        <v>0</v>
      </c>
      <c r="G138" s="9">
        <v>0</v>
      </c>
      <c r="N138" s="9">
        <v>0.28279311282412223</v>
      </c>
      <c r="O138" s="9">
        <v>3.2196134972411389E-2</v>
      </c>
      <c r="P138" s="9">
        <v>1.7223370841615169</v>
      </c>
      <c r="Q138" s="9">
        <v>1.0215880676274667</v>
      </c>
      <c r="R138" s="10">
        <v>7.2585066293365719E-5</v>
      </c>
      <c r="S138" s="8">
        <f t="shared" si="10"/>
        <v>1.7206887175877761E-2</v>
      </c>
      <c r="T138" s="8">
        <f t="shared" si="11"/>
        <v>4.7803865027588613E-2</v>
      </c>
      <c r="U138" s="8">
        <f t="shared" si="12"/>
        <v>0.15133708416151692</v>
      </c>
      <c r="V138" s="8">
        <f t="shared" si="13"/>
        <v>0.23658806762746665</v>
      </c>
    </row>
    <row r="139" spans="1:22" x14ac:dyDescent="0.25">
      <c r="A139" s="9">
        <v>0.4</v>
      </c>
      <c r="B139" s="9">
        <v>0.14000000000000001</v>
      </c>
      <c r="C139" s="9">
        <v>1.571</v>
      </c>
      <c r="D139" s="9">
        <v>0.78500000000000003</v>
      </c>
      <c r="E139" s="9">
        <v>0</v>
      </c>
      <c r="F139" s="9">
        <v>0</v>
      </c>
      <c r="G139" s="9">
        <v>0</v>
      </c>
      <c r="N139" s="9">
        <v>0.53601073327679105</v>
      </c>
      <c r="O139" s="9">
        <v>6.0073236421764924E-2</v>
      </c>
      <c r="P139" s="9">
        <v>1.5687707599538241</v>
      </c>
      <c r="Q139" s="9">
        <v>0.90130251504899783</v>
      </c>
      <c r="R139" s="10">
        <v>4.6932269772898435E-5</v>
      </c>
      <c r="S139" s="8">
        <f t="shared" si="10"/>
        <v>0.13601073327679103</v>
      </c>
      <c r="T139" s="8">
        <f t="shared" si="11"/>
        <v>7.9926763578235083E-2</v>
      </c>
      <c r="U139" s="8">
        <f t="shared" si="12"/>
        <v>2.2292400461758621E-3</v>
      </c>
      <c r="V139" s="8">
        <f t="shared" si="13"/>
        <v>0.1163025150489978</v>
      </c>
    </row>
    <row r="140" spans="1:22" x14ac:dyDescent="0.25">
      <c r="A140" s="9">
        <v>0.6</v>
      </c>
      <c r="B140" s="9">
        <v>0.16</v>
      </c>
      <c r="C140" s="9">
        <v>1.571</v>
      </c>
      <c r="D140" s="9">
        <v>0.78500000000000003</v>
      </c>
      <c r="E140" s="9">
        <v>1.4</v>
      </c>
      <c r="F140" s="9">
        <v>0</v>
      </c>
      <c r="G140" s="9">
        <v>0</v>
      </c>
      <c r="N140" s="9">
        <v>0.54481523217631289</v>
      </c>
      <c r="O140" s="9">
        <v>0.14559285891950782</v>
      </c>
      <c r="P140" s="9">
        <v>1.4814476129203207</v>
      </c>
      <c r="Q140" s="9">
        <v>1.0310865907312989</v>
      </c>
      <c r="R140" s="10">
        <v>2.8140171823622925E-4</v>
      </c>
      <c r="S140" s="8">
        <f t="shared" si="10"/>
        <v>5.5184767823687086E-2</v>
      </c>
      <c r="T140" s="8">
        <f t="shared" si="11"/>
        <v>1.4407141080492181E-2</v>
      </c>
      <c r="U140" s="8">
        <f t="shared" si="12"/>
        <v>8.9552387079679274E-2</v>
      </c>
      <c r="V140" s="8">
        <f t="shared" si="13"/>
        <v>0.2460865907312989</v>
      </c>
    </row>
    <row r="141" spans="1:22" x14ac:dyDescent="0.25">
      <c r="A141" s="9">
        <v>0.4</v>
      </c>
      <c r="B141" s="9">
        <v>0.06</v>
      </c>
      <c r="C141" s="9">
        <v>1.571</v>
      </c>
      <c r="D141" s="9">
        <v>1.571</v>
      </c>
      <c r="E141" s="9">
        <v>1.4</v>
      </c>
      <c r="F141" s="9">
        <v>0</v>
      </c>
      <c r="G141" s="9">
        <v>0</v>
      </c>
      <c r="N141" s="9">
        <v>0.38928350650882859</v>
      </c>
      <c r="O141" s="9">
        <v>8.1415060570703329E-2</v>
      </c>
      <c r="P141" s="9">
        <v>1.6897649991624648</v>
      </c>
      <c r="Q141" s="9">
        <v>1.6817865956754985</v>
      </c>
      <c r="R141" s="10">
        <v>6.0700353326315361E-5</v>
      </c>
      <c r="S141" s="8">
        <f t="shared" si="10"/>
        <v>1.071649349117143E-2</v>
      </c>
      <c r="T141" s="8">
        <f t="shared" si="11"/>
        <v>2.1415060570703331E-2</v>
      </c>
      <c r="U141" s="8">
        <f t="shared" si="12"/>
        <v>0.11876499916246486</v>
      </c>
      <c r="V141" s="8">
        <f t="shared" si="13"/>
        <v>0.11078659567549853</v>
      </c>
    </row>
    <row r="142" spans="1:22" x14ac:dyDescent="0.25">
      <c r="A142" s="9">
        <v>0.8</v>
      </c>
      <c r="B142" s="9">
        <v>0.08</v>
      </c>
      <c r="C142" s="9">
        <v>1.571</v>
      </c>
      <c r="D142" s="9">
        <v>1.571</v>
      </c>
      <c r="E142" s="9">
        <v>0</v>
      </c>
      <c r="F142" s="9">
        <v>0</v>
      </c>
      <c r="G142" s="9">
        <v>0</v>
      </c>
      <c r="N142" s="9">
        <v>0.87335128867938339</v>
      </c>
      <c r="O142" s="9">
        <v>8.6008970913751412E-2</v>
      </c>
      <c r="P142" s="9">
        <v>1.5136320602080886</v>
      </c>
      <c r="Q142" s="9">
        <v>1.3836717336376188</v>
      </c>
      <c r="R142" s="10">
        <v>2.7105992074933928E-5</v>
      </c>
      <c r="S142" s="8">
        <f t="shared" si="10"/>
        <v>7.3351288679383342E-2</v>
      </c>
      <c r="T142" s="8">
        <f t="shared" si="11"/>
        <v>6.0089709137514102E-3</v>
      </c>
      <c r="U142" s="8">
        <f t="shared" si="12"/>
        <v>5.7367939791911349E-2</v>
      </c>
      <c r="V142" s="8">
        <f t="shared" si="13"/>
        <v>0.1873282663623812</v>
      </c>
    </row>
    <row r="143" spans="1:22" x14ac:dyDescent="0.25">
      <c r="A143" s="9">
        <v>0.7</v>
      </c>
      <c r="B143" s="9">
        <v>0.16</v>
      </c>
      <c r="C143" s="9">
        <v>1.571</v>
      </c>
      <c r="D143" s="9">
        <v>1.571</v>
      </c>
      <c r="E143" s="9">
        <v>1.4</v>
      </c>
      <c r="F143" s="9">
        <v>0</v>
      </c>
      <c r="G143" s="9">
        <v>0</v>
      </c>
      <c r="N143" s="9">
        <v>0.76686116367165724</v>
      </c>
      <c r="O143" s="9">
        <v>0.141420820264683</v>
      </c>
      <c r="P143" s="9">
        <v>1.4700188415133706</v>
      </c>
      <c r="Q143" s="9">
        <v>1.9486941250650225</v>
      </c>
      <c r="R143" s="10">
        <v>1.2117840137647516E-4</v>
      </c>
      <c r="S143" s="8">
        <f t="shared" si="10"/>
        <v>6.6861163671657287E-2</v>
      </c>
      <c r="T143" s="8">
        <f t="shared" si="11"/>
        <v>1.8579179735317003E-2</v>
      </c>
      <c r="U143" s="8">
        <f t="shared" si="12"/>
        <v>0.10098115848662936</v>
      </c>
      <c r="V143" s="8">
        <f t="shared" si="13"/>
        <v>0.37769412506502253</v>
      </c>
    </row>
    <row r="144" spans="1:22" x14ac:dyDescent="0.25">
      <c r="A144" s="9">
        <v>0.7</v>
      </c>
      <c r="B144" s="9">
        <v>0.2</v>
      </c>
      <c r="C144" s="9">
        <v>1.571</v>
      </c>
      <c r="D144" s="9">
        <v>1.571</v>
      </c>
      <c r="E144" s="9">
        <v>0</v>
      </c>
      <c r="F144" s="9">
        <v>0</v>
      </c>
      <c r="G144" s="9">
        <v>0</v>
      </c>
      <c r="N144" s="9">
        <v>0.59739782411071607</v>
      </c>
      <c r="O144" s="9">
        <v>0.19999064460913799</v>
      </c>
      <c r="P144" s="9">
        <v>1.6253272810728934</v>
      </c>
      <c r="Q144" s="9">
        <v>1.833359386149372</v>
      </c>
      <c r="R144" s="10">
        <v>1.2133540838214229E-3</v>
      </c>
      <c r="S144" s="8">
        <f t="shared" si="10"/>
        <v>0.10260217588928389</v>
      </c>
      <c r="T144" s="8">
        <f t="shared" si="11"/>
        <v>9.3553908620258586E-6</v>
      </c>
      <c r="U144" s="8">
        <f t="shared" si="12"/>
        <v>5.4327281072893419E-2</v>
      </c>
      <c r="V144" s="8">
        <f t="shared" si="13"/>
        <v>0.26235938614937204</v>
      </c>
    </row>
    <row r="145" spans="1:22" x14ac:dyDescent="0.25">
      <c r="A145" s="9">
        <v>0.7</v>
      </c>
      <c r="B145" s="9">
        <v>0.06</v>
      </c>
      <c r="C145" s="9">
        <v>3.665</v>
      </c>
      <c r="D145" s="9">
        <v>0.78500000000000003</v>
      </c>
      <c r="E145" s="9">
        <v>0</v>
      </c>
      <c r="F145" s="9">
        <v>0</v>
      </c>
      <c r="G145" s="9">
        <v>0</v>
      </c>
      <c r="N145" s="9">
        <v>0.90095852228170725</v>
      </c>
      <c r="O145" s="9">
        <v>4.4814827788767518E-2</v>
      </c>
      <c r="P145" s="9">
        <v>3.7384415878275576</v>
      </c>
      <c r="Q145" s="9">
        <v>0.77261049000935611</v>
      </c>
      <c r="R145" s="10">
        <v>1.0582848489639386E-4</v>
      </c>
      <c r="S145" s="8">
        <f t="shared" si="10"/>
        <v>0.2009585222817073</v>
      </c>
      <c r="T145" s="8">
        <f t="shared" si="11"/>
        <v>1.518517221123248E-2</v>
      </c>
      <c r="U145" s="8">
        <f t="shared" si="12"/>
        <v>7.3441587827557608E-2</v>
      </c>
      <c r="V145" s="8">
        <f t="shared" si="13"/>
        <v>1.2389509990643921E-2</v>
      </c>
    </row>
    <row r="146" spans="1:22" x14ac:dyDescent="0.25">
      <c r="A146" s="9">
        <v>0.6</v>
      </c>
      <c r="B146" s="9">
        <v>0.1</v>
      </c>
      <c r="C146" s="9">
        <v>3.665</v>
      </c>
      <c r="D146" s="9">
        <v>0.78500000000000003</v>
      </c>
      <c r="E146" s="9">
        <v>0</v>
      </c>
      <c r="F146" s="9">
        <v>0</v>
      </c>
      <c r="G146" s="9">
        <v>0</v>
      </c>
      <c r="N146" s="9">
        <v>0.59698301852781754</v>
      </c>
      <c r="O146" s="9">
        <v>7.4204432259606393E-2</v>
      </c>
      <c r="P146" s="9">
        <v>3.5201047752260348</v>
      </c>
      <c r="Q146" s="9">
        <v>1.17780859779791</v>
      </c>
      <c r="R146" s="10">
        <v>1.4545003139522541E-4</v>
      </c>
      <c r="S146" s="8">
        <f t="shared" si="10"/>
        <v>3.016981472182434E-3</v>
      </c>
      <c r="T146" s="8">
        <f t="shared" si="11"/>
        <v>2.5795567740393613E-2</v>
      </c>
      <c r="U146" s="8">
        <f t="shared" si="12"/>
        <v>0.14489522477396521</v>
      </c>
      <c r="V146" s="8">
        <f t="shared" si="13"/>
        <v>0.39280859779791</v>
      </c>
    </row>
    <row r="147" spans="1:22" x14ac:dyDescent="0.25">
      <c r="A147" s="9">
        <v>0.8</v>
      </c>
      <c r="B147" s="9">
        <v>0.18</v>
      </c>
      <c r="C147" s="9">
        <v>3.665</v>
      </c>
      <c r="D147" s="9">
        <v>0.78500000000000003</v>
      </c>
      <c r="E147" s="9">
        <v>1.4</v>
      </c>
      <c r="F147" s="9">
        <v>0</v>
      </c>
      <c r="G147" s="9">
        <v>0</v>
      </c>
      <c r="N147" s="9">
        <v>0.97352854275701206</v>
      </c>
      <c r="O147" s="9">
        <v>0.1911868872472591</v>
      </c>
      <c r="P147" s="9">
        <v>3.5507036076548313</v>
      </c>
      <c r="Q147" s="9">
        <v>0.42108183647214686</v>
      </c>
      <c r="R147" s="10">
        <v>8.3253480904212215E-4</v>
      </c>
      <c r="S147" s="8">
        <f t="shared" si="10"/>
        <v>0.17352854275701202</v>
      </c>
      <c r="T147" s="8">
        <f t="shared" si="11"/>
        <v>1.1186887247259109E-2</v>
      </c>
      <c r="U147" s="8">
        <f t="shared" si="12"/>
        <v>0.11429639234516875</v>
      </c>
      <c r="V147" s="8">
        <f t="shared" si="13"/>
        <v>0.36391816352785317</v>
      </c>
    </row>
    <row r="148" spans="1:22" x14ac:dyDescent="0.25">
      <c r="A148" s="9">
        <v>0.4</v>
      </c>
      <c r="B148" s="9">
        <v>0.2</v>
      </c>
      <c r="C148" s="9">
        <v>3.665</v>
      </c>
      <c r="D148" s="9">
        <v>0.78500000000000003</v>
      </c>
      <c r="E148" s="9">
        <v>1.4</v>
      </c>
      <c r="F148" s="9">
        <v>0</v>
      </c>
      <c r="G148" s="9">
        <v>0</v>
      </c>
      <c r="N148" s="9">
        <v>0.32680056373998062</v>
      </c>
      <c r="O148" s="9">
        <v>0.19999977390771331</v>
      </c>
      <c r="P148" s="9">
        <v>3.8015234692773188</v>
      </c>
      <c r="Q148" s="9">
        <v>0.61683975958578841</v>
      </c>
      <c r="R148" s="10">
        <v>5.2846704908324172E-4</v>
      </c>
      <c r="S148" s="8">
        <f t="shared" si="10"/>
        <v>7.3199436260019402E-2</v>
      </c>
      <c r="T148" s="8">
        <f t="shared" si="11"/>
        <v>2.2609228669812076E-7</v>
      </c>
      <c r="U148" s="8">
        <f t="shared" si="12"/>
        <v>0.13652346927731873</v>
      </c>
      <c r="V148" s="8">
        <f t="shared" si="13"/>
        <v>0.16816024041421163</v>
      </c>
    </row>
    <row r="149" spans="1:22" x14ac:dyDescent="0.25">
      <c r="A149" s="9">
        <v>0.4</v>
      </c>
      <c r="B149" s="9">
        <v>0.1</v>
      </c>
      <c r="C149" s="9">
        <v>3.665</v>
      </c>
      <c r="D149" s="9">
        <v>1.571</v>
      </c>
      <c r="E149" s="9">
        <v>1.4</v>
      </c>
      <c r="F149" s="9">
        <v>0</v>
      </c>
      <c r="G149" s="9">
        <v>0</v>
      </c>
      <c r="N149" s="9">
        <v>0.4860276722569245</v>
      </c>
      <c r="O149" s="9">
        <v>7.0761752573602996E-2</v>
      </c>
      <c r="P149" s="9">
        <v>3.6736250409851037</v>
      </c>
      <c r="Q149" s="9">
        <v>1.7464034211623283</v>
      </c>
      <c r="R149" s="10">
        <v>5.2401835126056512E-6</v>
      </c>
      <c r="S149" s="8">
        <f t="shared" si="10"/>
        <v>8.6027672256924481E-2</v>
      </c>
      <c r="T149" s="8">
        <f t="shared" si="11"/>
        <v>2.923824742639701E-2</v>
      </c>
      <c r="U149" s="8">
        <f t="shared" si="12"/>
        <v>8.625040985103638E-3</v>
      </c>
      <c r="V149" s="8">
        <f t="shared" si="13"/>
        <v>0.17540342116232832</v>
      </c>
    </row>
    <row r="150" spans="1:22" x14ac:dyDescent="0.25">
      <c r="A150" s="9">
        <v>0.7</v>
      </c>
      <c r="B150" s="9">
        <v>0.1</v>
      </c>
      <c r="C150" s="9">
        <v>3.665</v>
      </c>
      <c r="D150" s="9">
        <v>1.571</v>
      </c>
      <c r="E150" s="9">
        <v>1.4</v>
      </c>
      <c r="F150" s="9">
        <v>0</v>
      </c>
      <c r="G150" s="9">
        <v>0</v>
      </c>
      <c r="N150" s="9">
        <v>0.69620707583662922</v>
      </c>
      <c r="O150" s="9">
        <v>0.13418978361730757</v>
      </c>
      <c r="P150" s="9">
        <v>3.6208526897755706</v>
      </c>
      <c r="Q150" s="9">
        <v>1.2853667910249649</v>
      </c>
      <c r="R150" s="10">
        <v>9.4649173988455053E-5</v>
      </c>
      <c r="S150" s="8">
        <f t="shared" si="10"/>
        <v>3.7929241633707367E-3</v>
      </c>
      <c r="T150" s="8">
        <f t="shared" si="11"/>
        <v>3.4189783617307568E-2</v>
      </c>
      <c r="U150" s="8">
        <f t="shared" si="12"/>
        <v>4.4147310224429415E-2</v>
      </c>
      <c r="V150" s="8">
        <f t="shared" si="13"/>
        <v>0.28563320897503508</v>
      </c>
    </row>
    <row r="151" spans="1:22" x14ac:dyDescent="0.25">
      <c r="A151" s="9">
        <v>0.4</v>
      </c>
      <c r="B151" s="9">
        <v>0.16</v>
      </c>
      <c r="C151" s="9">
        <v>3.665</v>
      </c>
      <c r="D151" s="9">
        <v>1.571</v>
      </c>
      <c r="E151" s="9">
        <v>0</v>
      </c>
      <c r="F151" s="9">
        <v>0</v>
      </c>
      <c r="G151" s="9">
        <v>0</v>
      </c>
      <c r="N151" s="9">
        <v>0.32108783693886389</v>
      </c>
      <c r="O151" s="9">
        <v>0.19999672718827405</v>
      </c>
      <c r="P151" s="9">
        <v>3.8027908641660537</v>
      </c>
      <c r="Q151" s="9">
        <v>2.2201650950284106</v>
      </c>
      <c r="R151" s="10">
        <v>1.6828059552603883E-3</v>
      </c>
      <c r="S151" s="8">
        <f t="shared" si="10"/>
        <v>7.8912163061136131E-2</v>
      </c>
      <c r="T151" s="8">
        <f t="shared" si="11"/>
        <v>3.9996727188274045E-2</v>
      </c>
      <c r="U151" s="8">
        <f t="shared" si="12"/>
        <v>0.13779086416605368</v>
      </c>
      <c r="V151" s="8">
        <f t="shared" si="13"/>
        <v>0.64916509502841069</v>
      </c>
    </row>
    <row r="152" spans="1:22" x14ac:dyDescent="0.25">
      <c r="A152" s="9">
        <v>0.3</v>
      </c>
      <c r="B152" s="9">
        <v>0.18</v>
      </c>
      <c r="C152" s="9">
        <v>3.665</v>
      </c>
      <c r="D152" s="9">
        <v>1.571</v>
      </c>
      <c r="E152" s="9">
        <v>0</v>
      </c>
      <c r="F152" s="9">
        <v>0</v>
      </c>
      <c r="G152" s="9">
        <v>0</v>
      </c>
      <c r="N152" s="9">
        <v>0.24326419270273383</v>
      </c>
      <c r="O152" s="9">
        <v>0.1819023647257991</v>
      </c>
      <c r="P152" s="9">
        <v>3.752375263529939</v>
      </c>
      <c r="Q152" s="9">
        <v>1.4334485748461179</v>
      </c>
      <c r="R152" s="10">
        <v>3.3565184415439104E-5</v>
      </c>
      <c r="S152" s="8">
        <f t="shared" si="10"/>
        <v>5.6735807297266155E-2</v>
      </c>
      <c r="T152" s="8">
        <f t="shared" si="11"/>
        <v>1.902364725799105E-3</v>
      </c>
      <c r="U152" s="8">
        <f t="shared" si="12"/>
        <v>8.7375263529938962E-2</v>
      </c>
      <c r="V152" s="8">
        <f t="shared" si="13"/>
        <v>0.13755142515388208</v>
      </c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592A-0313-4725-9CC2-4DC2A4358306}">
  <dimension ref="A1:AG153"/>
  <sheetViews>
    <sheetView topLeftCell="K1" workbookViewId="0">
      <selection activeCell="AC3" sqref="AC3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33" ht="15.75" x14ac:dyDescent="0.25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33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33" x14ac:dyDescent="0.25">
      <c r="A3" s="9">
        <v>0.3</v>
      </c>
      <c r="B3" s="9">
        <v>0.08</v>
      </c>
      <c r="C3" s="9">
        <v>1.571</v>
      </c>
      <c r="D3" s="9">
        <v>0.78500000000000003</v>
      </c>
      <c r="E3" s="9">
        <v>1.4</v>
      </c>
      <c r="F3" s="9">
        <v>0</v>
      </c>
      <c r="G3" s="9">
        <v>0</v>
      </c>
      <c r="H3" s="9">
        <f>'Proximal Validation (single)'!H3</f>
        <v>2.6342464843764901E-4</v>
      </c>
      <c r="I3" s="9">
        <f>'Proximal Validation (single)'!I3</f>
        <v>-3.2978262752294499E-2</v>
      </c>
      <c r="J3" s="9">
        <f>'Proximal Validation (single)'!J3</f>
        <v>5.6162860710173802E-4</v>
      </c>
      <c r="K3" s="9">
        <f>'Proximal Validation (single)'!K3</f>
        <v>0.185834720730782</v>
      </c>
      <c r="L3" s="9">
        <f>'Proximal Validation (single)'!L3</f>
        <v>1.13257020711899E-3</v>
      </c>
      <c r="M3" s="9">
        <f>'Proximal Validation (single)'!M3</f>
        <v>0.19288232922553999</v>
      </c>
      <c r="N3" s="9">
        <v>0.36966497952763649</v>
      </c>
      <c r="O3" s="9">
        <v>1.9400932907442419E-2</v>
      </c>
      <c r="P3" s="9">
        <v>1.6247245379221127</v>
      </c>
      <c r="Q3" s="9">
        <v>1.8378869230427513</v>
      </c>
      <c r="R3" s="10">
        <v>1.6572261359387778E-4</v>
      </c>
      <c r="S3" s="8">
        <f>ABS(N3-A3)</f>
        <v>6.9664979527636506E-2</v>
      </c>
      <c r="T3" s="8">
        <f t="shared" ref="T3:V3" si="0">ABS(O3-B3)</f>
        <v>6.0599067092557579E-2</v>
      </c>
      <c r="U3" s="8">
        <f t="shared" si="0"/>
        <v>5.3724537922112736E-2</v>
      </c>
      <c r="V3" s="8">
        <f t="shared" si="0"/>
        <v>1.0528869230427511</v>
      </c>
      <c r="W3" s="9">
        <f>AVERAGE(S3:S152)</f>
        <v>0.14060614334831578</v>
      </c>
      <c r="X3" s="9">
        <f t="shared" ref="X3:Z3" si="1">AVERAGE(T3:T152)</f>
        <v>3.9545783372947819E-2</v>
      </c>
      <c r="Y3" s="9">
        <f t="shared" si="1"/>
        <v>0.2610752342721443</v>
      </c>
      <c r="Z3" s="9">
        <f t="shared" si="1"/>
        <v>0.41308953824433475</v>
      </c>
      <c r="AC3" s="8">
        <v>8.2320833068260102E-2</v>
      </c>
      <c r="AD3" s="8">
        <v>5.6116370532338297E-2</v>
      </c>
      <c r="AF3" s="8">
        <f>ABS(AC3-S3)</f>
        <v>1.2655853540623596E-2</v>
      </c>
      <c r="AG3" s="8">
        <f>ABS(AD3-T3)</f>
        <v>4.482696560219282E-3</v>
      </c>
    </row>
    <row r="4" spans="1:33" x14ac:dyDescent="0.25">
      <c r="A4" s="9">
        <v>0.4</v>
      </c>
      <c r="B4" s="9">
        <v>0.14000000000000001</v>
      </c>
      <c r="C4" s="9">
        <v>1.571</v>
      </c>
      <c r="D4" s="9">
        <v>0.78500000000000003</v>
      </c>
      <c r="E4" s="9">
        <v>0</v>
      </c>
      <c r="F4" s="9">
        <v>0</v>
      </c>
      <c r="G4" s="9">
        <v>0</v>
      </c>
      <c r="H4" s="9">
        <f>'Proximal Validation (single)'!H4</f>
        <v>-4.3474312406033299E-4</v>
      </c>
      <c r="I4" s="9">
        <f>'Proximal Validation (single)'!I4</f>
        <v>-6.2425632029771798E-2</v>
      </c>
      <c r="J4" s="9">
        <f>'Proximal Validation (single)'!J4</f>
        <v>2.5845002382993698E-3</v>
      </c>
      <c r="K4" s="9">
        <f>'Proximal Validation (single)'!K4</f>
        <v>0.25303724408149703</v>
      </c>
      <c r="L4" s="9">
        <f>'Proximal Validation (single)'!L4</f>
        <v>1.07369087636471E-2</v>
      </c>
      <c r="M4" s="9">
        <f>'Proximal Validation (single)'!M4</f>
        <v>0.27653545141220098</v>
      </c>
      <c r="N4" s="9">
        <v>0.49760943384111278</v>
      </c>
      <c r="O4" s="9">
        <v>6.1329227211193368E-2</v>
      </c>
      <c r="P4" s="9">
        <v>0.91591914328293988</v>
      </c>
      <c r="Q4" s="9">
        <v>0.66320842548491366</v>
      </c>
      <c r="R4" s="10">
        <v>1.3804236751761487E-3</v>
      </c>
      <c r="S4" s="8">
        <f t="shared" ref="S4:S67" si="2">ABS(N4-A4)</f>
        <v>9.7609433841112758E-2</v>
      </c>
      <c r="T4" s="8">
        <f t="shared" ref="T4:T67" si="3">ABS(O4-B4)</f>
        <v>7.8670772788806645E-2</v>
      </c>
      <c r="U4" s="8">
        <f t="shared" ref="U4:U67" si="4">ABS(P4-C4)</f>
        <v>0.65508085671706007</v>
      </c>
      <c r="V4" s="8">
        <f t="shared" ref="V4:V67" si="5">ABS(Q4-D4)</f>
        <v>0.12179157451508638</v>
      </c>
      <c r="Y4">
        <f>DEGREES(Y3)</f>
        <v>14.958509059183093</v>
      </c>
      <c r="Z4">
        <f>DEGREES(Z3)</f>
        <v>23.668287102408392</v>
      </c>
      <c r="AC4" s="8">
        <v>7.9210469405677941E-2</v>
      </c>
      <c r="AD4" s="8">
        <v>6.9390296094429149E-2</v>
      </c>
      <c r="AF4" s="8">
        <f t="shared" ref="AF4:AF67" si="6">ABS(AC4-S4)</f>
        <v>1.8398964435434817E-2</v>
      </c>
      <c r="AG4" s="8">
        <f t="shared" ref="AG4:AG67" si="7">ABS(AD4-T4)</f>
        <v>9.2804766943774958E-3</v>
      </c>
    </row>
    <row r="5" spans="1:33" x14ac:dyDescent="0.25">
      <c r="A5" s="9">
        <v>0.6</v>
      </c>
      <c r="B5" s="9">
        <v>0.16</v>
      </c>
      <c r="C5" s="9">
        <v>1.571</v>
      </c>
      <c r="D5" s="9">
        <v>0.78500000000000003</v>
      </c>
      <c r="E5" s="9">
        <v>1.4</v>
      </c>
      <c r="F5" s="9">
        <v>0</v>
      </c>
      <c r="G5" s="9">
        <v>0</v>
      </c>
      <c r="H5" s="9">
        <f>'Proximal Validation (single)'!H5</f>
        <v>5.3234044462442398E-3</v>
      </c>
      <c r="I5" s="9">
        <f>'Proximal Validation (single)'!I5</f>
        <v>-0.12275674194097499</v>
      </c>
      <c r="J5" s="9">
        <f>'Proximal Validation (single)'!J5</f>
        <v>-8.3989212289452605E-3</v>
      </c>
      <c r="K5" s="9">
        <f>'Proximal Validation (single)'!K5</f>
        <v>0.26806160807609603</v>
      </c>
      <c r="L5" s="9">
        <f>'Proximal Validation (single)'!L5</f>
        <v>-2.4467468261718799E-2</v>
      </c>
      <c r="M5" s="9">
        <f>'Proximal Validation (single)'!M5</f>
        <v>0.52633810043335005</v>
      </c>
      <c r="N5" s="9">
        <v>0.81133860913628297</v>
      </c>
      <c r="O5" s="9">
        <v>0.1912555361107687</v>
      </c>
      <c r="P5" s="9">
        <v>2.3250311172355302</v>
      </c>
      <c r="Q5" s="9">
        <v>0.27594525216988863</v>
      </c>
      <c r="R5" s="10">
        <v>1.4122186307795666E-3</v>
      </c>
      <c r="S5" s="8">
        <f t="shared" si="2"/>
        <v>0.211338609136283</v>
      </c>
      <c r="T5" s="8">
        <f t="shared" si="3"/>
        <v>3.12555361107687E-2</v>
      </c>
      <c r="U5" s="8">
        <f t="shared" si="4"/>
        <v>0.75403111723553029</v>
      </c>
      <c r="V5" s="8">
        <f t="shared" si="5"/>
        <v>0.5090547478301114</v>
      </c>
      <c r="AC5" s="8">
        <v>4.3528818302611016E-2</v>
      </c>
      <c r="AD5" s="8">
        <v>2.7363474088917983E-2</v>
      </c>
      <c r="AF5" s="8">
        <f t="shared" si="6"/>
        <v>0.16780979083367198</v>
      </c>
      <c r="AG5" s="8">
        <f t="shared" si="7"/>
        <v>3.8920620218507174E-3</v>
      </c>
    </row>
    <row r="6" spans="1:33" x14ac:dyDescent="0.25">
      <c r="A6" s="9">
        <v>0.4</v>
      </c>
      <c r="B6" s="9">
        <v>0.06</v>
      </c>
      <c r="C6" s="9">
        <v>1.571</v>
      </c>
      <c r="D6" s="9">
        <v>1.571</v>
      </c>
      <c r="E6" s="9">
        <v>1.4</v>
      </c>
      <c r="F6" s="9">
        <v>0</v>
      </c>
      <c r="G6" s="9">
        <v>0</v>
      </c>
      <c r="H6" s="9">
        <f>'Proximal Validation (single)'!H6</f>
        <v>6.7002582363784302E-4</v>
      </c>
      <c r="I6" s="9">
        <f>'Proximal Validation (single)'!I6</f>
        <v>-6.6750191152095795E-2</v>
      </c>
      <c r="J6" s="9">
        <f>'Proximal Validation (single)'!J6</f>
        <v>1.6002767952158999E-3</v>
      </c>
      <c r="K6" s="9">
        <f>'Proximal Validation (single)'!K6</f>
        <v>-3.97013984620571E-2</v>
      </c>
      <c r="L6" s="9">
        <f>'Proximal Validation (single)'!L6</f>
        <v>7.3561742901802098E-3</v>
      </c>
      <c r="M6" s="9">
        <f>'Proximal Validation (single)'!M6</f>
        <v>0.423814177513123</v>
      </c>
      <c r="N6" s="9">
        <v>0.48793983596818946</v>
      </c>
      <c r="O6" s="9">
        <v>4.9498427183628901E-2</v>
      </c>
      <c r="P6" s="9">
        <v>1.433924858344154</v>
      </c>
      <c r="Q6" s="9">
        <v>1.7433202260846863</v>
      </c>
      <c r="R6" s="10">
        <v>3.4942064960575973E-4</v>
      </c>
      <c r="S6" s="8">
        <f t="shared" si="2"/>
        <v>8.7939835968189439E-2</v>
      </c>
      <c r="T6" s="8">
        <f t="shared" si="3"/>
        <v>1.0501572816371096E-2</v>
      </c>
      <c r="U6" s="8">
        <f t="shared" si="4"/>
        <v>0.137075141655846</v>
      </c>
      <c r="V6" s="8">
        <f t="shared" si="5"/>
        <v>0.17232022608468633</v>
      </c>
      <c r="W6" s="12">
        <f>AVERAGE(S3:S17)</f>
        <v>0.13952985645725915</v>
      </c>
      <c r="X6" s="12">
        <f t="shared" ref="X6:Z6" si="8">AVERAGE(T3:T17)</f>
        <v>3.3652151768106556E-2</v>
      </c>
      <c r="Y6" s="12">
        <f t="shared" si="8"/>
        <v>0.28194926815444793</v>
      </c>
      <c r="Z6" s="12">
        <f t="shared" si="8"/>
        <v>0.39917021454154161</v>
      </c>
      <c r="AC6" s="8">
        <v>1.6197440099138316E-2</v>
      </c>
      <c r="AD6" s="8">
        <v>1.1557917123391249E-2</v>
      </c>
      <c r="AF6" s="8">
        <f t="shared" si="6"/>
        <v>7.1742395869051123E-2</v>
      </c>
      <c r="AG6" s="8">
        <f t="shared" si="7"/>
        <v>1.0563443070201531E-3</v>
      </c>
    </row>
    <row r="7" spans="1:33" x14ac:dyDescent="0.25">
      <c r="A7" s="9">
        <v>0.8</v>
      </c>
      <c r="B7" s="9">
        <v>0.08</v>
      </c>
      <c r="C7" s="9">
        <v>1.571</v>
      </c>
      <c r="D7" s="9">
        <v>1.571</v>
      </c>
      <c r="E7" s="9">
        <v>0</v>
      </c>
      <c r="F7" s="9">
        <v>0</v>
      </c>
      <c r="G7" s="9">
        <v>0</v>
      </c>
      <c r="H7" s="9">
        <f>'Proximal Validation (single)'!H7</f>
        <v>7.4092089198529699E-4</v>
      </c>
      <c r="I7" s="9">
        <f>'Proximal Validation (single)'!I7</f>
        <v>-0.14775538444519001</v>
      </c>
      <c r="J7" s="9">
        <f>'Proximal Validation (single)'!J7</f>
        <v>3.4220633096993E-3</v>
      </c>
      <c r="K7" s="9">
        <f>'Proximal Validation (single)'!K7</f>
        <v>-0.161362335085869</v>
      </c>
      <c r="L7" s="9">
        <f>'Proximal Validation (single)'!L7</f>
        <v>2.0262047648429898E-2</v>
      </c>
      <c r="M7" s="9">
        <f>'Proximal Validation (single)'!M7</f>
        <v>0.82944488525390603</v>
      </c>
      <c r="N7" s="9">
        <v>0.93802323101554608</v>
      </c>
      <c r="O7" s="9">
        <v>6.6370583578122117E-2</v>
      </c>
      <c r="P7" s="9">
        <v>1.436927353595862</v>
      </c>
      <c r="Q7" s="9">
        <v>1.4045432575675525</v>
      </c>
      <c r="R7" s="10">
        <v>5.0375282021374349E-4</v>
      </c>
      <c r="S7" s="8">
        <f t="shared" si="2"/>
        <v>0.13802323101554603</v>
      </c>
      <c r="T7" s="8">
        <f t="shared" si="3"/>
        <v>1.3629416421877885E-2</v>
      </c>
      <c r="U7" s="8">
        <f t="shared" si="4"/>
        <v>0.13407264640413796</v>
      </c>
      <c r="V7" s="8">
        <f t="shared" si="5"/>
        <v>0.16645674243244746</v>
      </c>
      <c r="W7" s="12">
        <f>AVERAGE(S18:S32)</f>
        <v>0.12109166274792819</v>
      </c>
      <c r="X7" s="12">
        <f t="shared" ref="X7:Z7" si="9">AVERAGE(T18:T32)</f>
        <v>3.9639295847576278E-2</v>
      </c>
      <c r="Y7" s="12">
        <f t="shared" si="9"/>
        <v>0.23549518247506257</v>
      </c>
      <c r="Z7" s="12">
        <f t="shared" si="9"/>
        <v>0.43341014140728229</v>
      </c>
      <c r="AC7" s="8">
        <v>2.7416614536799E-2</v>
      </c>
      <c r="AD7" s="8">
        <v>1.676518028650123E-2</v>
      </c>
      <c r="AF7" s="8">
        <f t="shared" si="6"/>
        <v>0.11060661647874703</v>
      </c>
      <c r="AG7" s="8">
        <f t="shared" si="7"/>
        <v>3.1357638646233449E-3</v>
      </c>
    </row>
    <row r="8" spans="1:33" x14ac:dyDescent="0.25">
      <c r="A8" s="9">
        <v>0.7</v>
      </c>
      <c r="B8" s="9">
        <v>0.16</v>
      </c>
      <c r="C8" s="9">
        <v>1.571</v>
      </c>
      <c r="D8" s="9">
        <v>1.571</v>
      </c>
      <c r="E8" s="9">
        <v>1.4</v>
      </c>
      <c r="F8" s="9">
        <v>0</v>
      </c>
      <c r="G8" s="9">
        <v>0</v>
      </c>
      <c r="H8" s="9">
        <f>'Proximal Validation (single)'!H8</f>
        <v>6.6551081836223602E-3</v>
      </c>
      <c r="I8" s="9">
        <f>'Proximal Validation (single)'!I8</f>
        <v>-0.148307904601097</v>
      </c>
      <c r="J8" s="9">
        <f>'Proximal Validation (single)'!J8</f>
        <v>-1.0527462000027299E-3</v>
      </c>
      <c r="K8" s="9">
        <f>'Proximal Validation (single)'!K8</f>
        <v>-0.444706320762634</v>
      </c>
      <c r="L8" s="9">
        <f>'Proximal Validation (single)'!L8</f>
        <v>-2.19946205615997E-2</v>
      </c>
      <c r="M8" s="9">
        <f>'Proximal Validation (single)'!M8</f>
        <v>0.489793181419373</v>
      </c>
      <c r="N8" s="9">
        <v>0.73932129793995294</v>
      </c>
      <c r="O8" s="9">
        <v>0.19692931177638101</v>
      </c>
      <c r="P8" s="9">
        <v>1.6564443692510049</v>
      </c>
      <c r="Q8" s="9">
        <v>1.6776827141532638</v>
      </c>
      <c r="R8" s="10">
        <v>4.8244428660110602E-4</v>
      </c>
      <c r="S8" s="8">
        <f t="shared" si="2"/>
        <v>3.9321297939952982E-2</v>
      </c>
      <c r="T8" s="8">
        <f t="shared" si="3"/>
        <v>3.6929311776381007E-2</v>
      </c>
      <c r="U8" s="8">
        <f t="shared" si="4"/>
        <v>8.5444369251004959E-2</v>
      </c>
      <c r="V8" s="8">
        <f t="shared" si="5"/>
        <v>0.1066827141532638</v>
      </c>
      <c r="AC8" s="8">
        <v>7.0230204731291157E-2</v>
      </c>
      <c r="AD8" s="8">
        <v>2.1730805654212509E-2</v>
      </c>
      <c r="AF8" s="8">
        <f t="shared" si="6"/>
        <v>3.0908906791338175E-2</v>
      </c>
      <c r="AG8" s="8">
        <f t="shared" si="7"/>
        <v>1.5198506122168498E-2</v>
      </c>
    </row>
    <row r="9" spans="1:33" x14ac:dyDescent="0.25">
      <c r="A9" s="9">
        <v>0.7</v>
      </c>
      <c r="B9" s="9">
        <v>0.2</v>
      </c>
      <c r="C9" s="9">
        <v>1.571</v>
      </c>
      <c r="D9" s="9">
        <v>1.571</v>
      </c>
      <c r="E9" s="9">
        <v>0</v>
      </c>
      <c r="F9" s="9">
        <v>0</v>
      </c>
      <c r="G9" s="9">
        <v>0</v>
      </c>
      <c r="H9" s="9">
        <f>'Proximal Validation (single)'!H9</f>
        <v>8.7637116666883198E-4</v>
      </c>
      <c r="I9" s="9">
        <f>'Proximal Validation (single)'!I9</f>
        <v>-0.164488449692726</v>
      </c>
      <c r="J9" s="9">
        <f>'Proximal Validation (single)'!J9</f>
        <v>3.7763002328574701E-3</v>
      </c>
      <c r="K9" s="9">
        <f>'Proximal Validation (single)'!K9</f>
        <v>-0.58729076385498002</v>
      </c>
      <c r="L9" s="9">
        <f>'Proximal Validation (single)'!L9</f>
        <v>7.8071318566799199E-3</v>
      </c>
      <c r="M9" s="9">
        <f>'Proximal Validation (single)'!M9</f>
        <v>0.38755592703819303</v>
      </c>
      <c r="N9" s="9">
        <v>0.9999999978048324</v>
      </c>
      <c r="O9" s="9">
        <v>0.19999942253863251</v>
      </c>
      <c r="P9" s="9">
        <v>1.4708769865860956</v>
      </c>
      <c r="Q9" s="9">
        <v>2.2165653779183634</v>
      </c>
      <c r="R9" s="10">
        <v>1.4074864648469363E-2</v>
      </c>
      <c r="S9" s="8">
        <f t="shared" si="2"/>
        <v>0.29999999780483244</v>
      </c>
      <c r="T9" s="8">
        <f t="shared" si="3"/>
        <v>5.7746136750136401E-7</v>
      </c>
      <c r="U9" s="8">
        <f t="shared" si="4"/>
        <v>0.10012301341390439</v>
      </c>
      <c r="V9" s="8">
        <f t="shared" si="5"/>
        <v>0.64556537791836344</v>
      </c>
      <c r="AC9" s="8">
        <v>0.29999971445266815</v>
      </c>
      <c r="AD9" s="8">
        <v>1.0572632263939813E-2</v>
      </c>
      <c r="AF9" s="8">
        <f t="shared" si="6"/>
        <v>2.8335216428754251E-7</v>
      </c>
      <c r="AG9" s="8">
        <f t="shared" si="7"/>
        <v>1.0572054802572312E-2</v>
      </c>
    </row>
    <row r="10" spans="1:33" x14ac:dyDescent="0.25">
      <c r="A10" s="9">
        <v>0.7</v>
      </c>
      <c r="B10" s="9">
        <v>0.06</v>
      </c>
      <c r="C10" s="9">
        <v>3.665</v>
      </c>
      <c r="D10" s="9">
        <v>0.78500000000000003</v>
      </c>
      <c r="E10" s="9">
        <v>0</v>
      </c>
      <c r="F10" s="9">
        <v>0</v>
      </c>
      <c r="G10" s="9">
        <v>0</v>
      </c>
      <c r="H10" s="9">
        <f>'Proximal Validation (single)'!H10</f>
        <v>-8.6323916912078901E-4</v>
      </c>
      <c r="I10" s="9">
        <f>'Proximal Validation (single)'!I10</f>
        <v>4.2902048677205998E-2</v>
      </c>
      <c r="J10" s="9">
        <f>'Proximal Validation (single)'!J10</f>
        <v>-8.0319754779338795E-2</v>
      </c>
      <c r="K10" s="9">
        <f>'Proximal Validation (single)'!K10</f>
        <v>0.61245459318161</v>
      </c>
      <c r="L10" s="9">
        <f>'Proximal Validation (single)'!L10</f>
        <v>-0.54026973247528098</v>
      </c>
      <c r="M10" s="9">
        <f>'Proximal Validation (single)'!M10</f>
        <v>-0.28817486763000499</v>
      </c>
      <c r="N10" s="9">
        <v>0.99999459886486042</v>
      </c>
      <c r="O10" s="9">
        <v>1.7761109695902239E-2</v>
      </c>
      <c r="P10" s="9">
        <v>3.5054642666617872</v>
      </c>
      <c r="Q10" s="9">
        <v>0.88147800506365692</v>
      </c>
      <c r="R10" s="10">
        <v>1.0186517359568356E-3</v>
      </c>
      <c r="S10" s="8">
        <f t="shared" si="2"/>
        <v>0.29999459886486046</v>
      </c>
      <c r="T10" s="8">
        <f t="shared" si="3"/>
        <v>4.2238890304097762E-2</v>
      </c>
      <c r="U10" s="8">
        <f t="shared" si="4"/>
        <v>0.1595357333382128</v>
      </c>
      <c r="V10" s="8">
        <f t="shared" si="5"/>
        <v>9.6478005063656891E-2</v>
      </c>
      <c r="AC10" s="8">
        <v>0.26161017746661397</v>
      </c>
      <c r="AD10" s="8">
        <v>4.3213728688969347E-2</v>
      </c>
      <c r="AF10" s="8">
        <f t="shared" si="6"/>
        <v>3.8384421398246493E-2</v>
      </c>
      <c r="AG10" s="8">
        <f t="shared" si="7"/>
        <v>9.748383848715847E-4</v>
      </c>
    </row>
    <row r="11" spans="1:33" x14ac:dyDescent="0.25">
      <c r="A11" s="9">
        <v>0.6</v>
      </c>
      <c r="B11" s="9">
        <v>0.1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(single)'!H11</f>
        <v>-8.0120982602238698E-4</v>
      </c>
      <c r="I11" s="9">
        <f>'Proximal Validation (single)'!I11</f>
        <v>4.2666438966989503E-2</v>
      </c>
      <c r="J11" s="9">
        <f>'Proximal Validation (single)'!J11</f>
        <v>-8.0293677747249603E-2</v>
      </c>
      <c r="K11" s="9">
        <f>'Proximal Validation (single)'!K11</f>
        <v>0.443310797214508</v>
      </c>
      <c r="L11" s="9">
        <f>'Proximal Validation (single)'!L11</f>
        <v>-0.42717015743255599</v>
      </c>
      <c r="M11" s="9">
        <f>'Proximal Validation (single)'!M11</f>
        <v>-0.22529536485672</v>
      </c>
      <c r="N11" s="9">
        <v>0.62872721345525251</v>
      </c>
      <c r="O11" s="9">
        <v>8.3069504998412869E-2</v>
      </c>
      <c r="P11" s="9">
        <v>3.3960182377574593</v>
      </c>
      <c r="Q11" s="9">
        <v>1.0796318245824403</v>
      </c>
      <c r="R11" s="10">
        <v>3.9773547859289321E-4</v>
      </c>
      <c r="S11" s="8">
        <f t="shared" si="2"/>
        <v>2.8727213455252532E-2</v>
      </c>
      <c r="T11" s="8">
        <f t="shared" si="3"/>
        <v>1.6930495001587137E-2</v>
      </c>
      <c r="U11" s="8">
        <f t="shared" si="4"/>
        <v>0.26898176224254078</v>
      </c>
      <c r="V11" s="8">
        <f t="shared" si="5"/>
        <v>0.2946318245824403</v>
      </c>
      <c r="AC11" s="8">
        <v>2.8503364540571785E-2</v>
      </c>
      <c r="AD11" s="8">
        <v>1.8536186559202528E-2</v>
      </c>
      <c r="AF11" s="8">
        <f t="shared" si="6"/>
        <v>2.2384891468074652E-4</v>
      </c>
      <c r="AG11" s="8">
        <f t="shared" si="7"/>
        <v>1.6056915576153907E-3</v>
      </c>
    </row>
    <row r="12" spans="1:33" x14ac:dyDescent="0.25">
      <c r="A12" s="9">
        <v>0.8</v>
      </c>
      <c r="B12" s="9">
        <v>0.18</v>
      </c>
      <c r="C12" s="9">
        <v>3.665</v>
      </c>
      <c r="D12" s="9">
        <v>0.78500000000000003</v>
      </c>
      <c r="E12" s="9">
        <v>1.4</v>
      </c>
      <c r="F12" s="9">
        <v>0</v>
      </c>
      <c r="G12" s="9">
        <v>0</v>
      </c>
      <c r="H12" s="9">
        <f>'Proximal Validation (single)'!H12</f>
        <v>-5.5334065109491301E-5</v>
      </c>
      <c r="I12" s="9">
        <f>'Proximal Validation (single)'!I12</f>
        <v>7.7956624329090105E-2</v>
      </c>
      <c r="J12" s="9">
        <f>'Proximal Validation (single)'!J12</f>
        <v>-0.13737398386001601</v>
      </c>
      <c r="K12" s="9">
        <f>'Proximal Validation (single)'!K12</f>
        <v>0.41918036341667197</v>
      </c>
      <c r="L12" s="9">
        <f>'Proximal Validation (single)'!L12</f>
        <v>-0.55125319957733199</v>
      </c>
      <c r="M12" s="9">
        <f>'Proximal Validation (single)'!M12</f>
        <v>-0.30630308389663702</v>
      </c>
      <c r="N12" s="9">
        <v>0.90136946417112274</v>
      </c>
      <c r="O12" s="9">
        <v>0.19212420766858782</v>
      </c>
      <c r="P12" s="9">
        <v>3.7666246312717098</v>
      </c>
      <c r="Q12" s="9">
        <v>0.49104823024064487</v>
      </c>
      <c r="R12" s="10">
        <v>3.3932588308075242E-4</v>
      </c>
      <c r="S12" s="8">
        <f t="shared" si="2"/>
        <v>0.10136946417112269</v>
      </c>
      <c r="T12" s="8">
        <f t="shared" si="3"/>
        <v>1.2124207668587822E-2</v>
      </c>
      <c r="U12" s="8">
        <f t="shared" si="4"/>
        <v>0.10162463127170973</v>
      </c>
      <c r="V12" s="8">
        <f t="shared" si="5"/>
        <v>0.29395176975935516</v>
      </c>
      <c r="AC12" s="8">
        <v>0.10524211545510154</v>
      </c>
      <c r="AD12" s="8">
        <v>3.9804993461622917E-6</v>
      </c>
      <c r="AF12" s="8">
        <f t="shared" si="6"/>
        <v>3.8726512839788452E-3</v>
      </c>
      <c r="AG12" s="8">
        <f t="shared" si="7"/>
        <v>1.212022716924166E-2</v>
      </c>
    </row>
    <row r="13" spans="1:33" x14ac:dyDescent="0.25">
      <c r="A13" s="9">
        <v>0.4</v>
      </c>
      <c r="B13" s="9">
        <v>0.2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(single)'!H13</f>
        <v>-9.6024014055728899E-5</v>
      </c>
      <c r="I13" s="9">
        <f>'Proximal Validation (single)'!I13</f>
        <v>3.4424368292093298E-2</v>
      </c>
      <c r="J13" s="9">
        <f>'Proximal Validation (single)'!J13</f>
        <v>-6.16564750671387E-2</v>
      </c>
      <c r="K13" s="9">
        <f>'Proximal Validation (single)'!K13</f>
        <v>0.267098218202591</v>
      </c>
      <c r="L13" s="9">
        <f>'Proximal Validation (single)'!L13</f>
        <v>-0.21448078751564001</v>
      </c>
      <c r="M13" s="9">
        <f>'Proximal Validation (single)'!M13</f>
        <v>-0.115060687065125</v>
      </c>
      <c r="N13" s="9">
        <v>0.38931034130049558</v>
      </c>
      <c r="O13" s="9">
        <v>0.19570704248325591</v>
      </c>
      <c r="P13" s="9">
        <v>3.6007063939736685</v>
      </c>
      <c r="Q13" s="9">
        <v>0.68651969714426064</v>
      </c>
      <c r="R13" s="10">
        <v>3.3771303348481533E-5</v>
      </c>
      <c r="S13" s="8">
        <f t="shared" si="2"/>
        <v>1.0689658699504445E-2</v>
      </c>
      <c r="T13" s="8">
        <f t="shared" si="3"/>
        <v>4.2929575167441059E-3</v>
      </c>
      <c r="U13" s="8">
        <f t="shared" si="4"/>
        <v>6.4293606026331496E-2</v>
      </c>
      <c r="V13" s="8">
        <f t="shared" si="5"/>
        <v>9.8480302855739388E-2</v>
      </c>
      <c r="AC13" s="8">
        <v>3.0619863938745717E-2</v>
      </c>
      <c r="AD13" s="8">
        <v>3.3305827012298506E-3</v>
      </c>
      <c r="AF13" s="8">
        <f t="shared" si="6"/>
        <v>1.9930205239241272E-2</v>
      </c>
      <c r="AG13" s="8">
        <f t="shared" si="7"/>
        <v>9.623748155142553E-4</v>
      </c>
    </row>
    <row r="14" spans="1:33" x14ac:dyDescent="0.25">
      <c r="A14" s="9">
        <v>0.4</v>
      </c>
      <c r="B14" s="9">
        <v>0.1</v>
      </c>
      <c r="C14" s="9">
        <v>3.665</v>
      </c>
      <c r="D14" s="9">
        <v>1.571</v>
      </c>
      <c r="E14" s="9">
        <v>1.4</v>
      </c>
      <c r="F14" s="9">
        <v>0</v>
      </c>
      <c r="G14" s="9">
        <v>0</v>
      </c>
      <c r="H14" s="9">
        <f>'Proximal Validation (single)'!H14</f>
        <v>-3.7108035758137698E-4</v>
      </c>
      <c r="I14" s="9">
        <f>'Proximal Validation (single)'!I14</f>
        <v>3.7644270807504703E-2</v>
      </c>
      <c r="J14" s="9">
        <f>'Proximal Validation (single)'!J14</f>
        <v>-6.73996657133102E-2</v>
      </c>
      <c r="K14" s="9">
        <f>'Proximal Validation (single)'!K14</f>
        <v>1.67829748243093E-2</v>
      </c>
      <c r="L14" s="9">
        <f>'Proximal Validation (single)'!L14</f>
        <v>-0.33880779147148099</v>
      </c>
      <c r="M14" s="9">
        <f>'Proximal Validation (single)'!M14</f>
        <v>-0.185297966003418</v>
      </c>
      <c r="N14" s="9">
        <v>0.68063333269924753</v>
      </c>
      <c r="O14" s="9">
        <v>2.6908562459474209E-2</v>
      </c>
      <c r="P14" s="9">
        <v>2.4200510947976759</v>
      </c>
      <c r="Q14" s="9">
        <v>2.7824324940171428</v>
      </c>
      <c r="R14" s="10">
        <v>3.9150891678333098E-3</v>
      </c>
      <c r="S14" s="8">
        <f t="shared" si="2"/>
        <v>0.28063333269924751</v>
      </c>
      <c r="T14" s="8">
        <f t="shared" si="3"/>
        <v>7.30914375405258E-2</v>
      </c>
      <c r="U14" s="8">
        <f t="shared" si="4"/>
        <v>1.2449489052023242</v>
      </c>
      <c r="V14" s="8">
        <f t="shared" si="5"/>
        <v>1.2114324940171428</v>
      </c>
      <c r="AC14" s="8">
        <v>0.30379022379847542</v>
      </c>
      <c r="AD14" s="8">
        <v>8.9909126248384513E-2</v>
      </c>
      <c r="AF14" s="8">
        <f t="shared" si="6"/>
        <v>2.3156891099227916E-2</v>
      </c>
      <c r="AG14" s="8">
        <f t="shared" si="7"/>
        <v>1.6817688707858713E-2</v>
      </c>
    </row>
    <row r="15" spans="1:33" x14ac:dyDescent="0.25">
      <c r="A15" s="9">
        <v>0.7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(single)'!H15</f>
        <v>-1.02429185062647E-3</v>
      </c>
      <c r="I15" s="9">
        <f>'Proximal Validation (single)'!I15</f>
        <v>7.0613205432891804E-2</v>
      </c>
      <c r="J15" s="9">
        <f>'Proximal Validation (single)'!J15</f>
        <v>-0.12678831815719599</v>
      </c>
      <c r="K15" s="9">
        <f>'Proximal Validation (single)'!K15</f>
        <v>-2.9671346768736801E-2</v>
      </c>
      <c r="L15" s="9">
        <f>'Proximal Validation (single)'!L15</f>
        <v>-0.63574087619781505</v>
      </c>
      <c r="M15" s="9">
        <f>'Proximal Validation (single)'!M15</f>
        <v>-0.34651768207549999</v>
      </c>
      <c r="N15" s="9">
        <v>0.70367278249387344</v>
      </c>
      <c r="O15" s="9">
        <v>0.11427228945467316</v>
      </c>
      <c r="P15" s="9">
        <v>3.6035500223116248</v>
      </c>
      <c r="Q15" s="9">
        <v>1.3333255105991741</v>
      </c>
      <c r="R15" s="10">
        <v>4.5367124562194997E-4</v>
      </c>
      <c r="S15" s="8">
        <f t="shared" si="2"/>
        <v>3.6727824938734832E-3</v>
      </c>
      <c r="T15" s="8">
        <f t="shared" si="3"/>
        <v>1.4272289454673154E-2</v>
      </c>
      <c r="U15" s="8">
        <f t="shared" si="4"/>
        <v>6.1449977688375235E-2</v>
      </c>
      <c r="V15" s="8">
        <f t="shared" si="5"/>
        <v>0.23767448940082581</v>
      </c>
      <c r="AC15" s="8">
        <v>6.0187772728298339E-2</v>
      </c>
      <c r="AD15" s="8">
        <v>1.784323694838677E-2</v>
      </c>
      <c r="AF15" s="8">
        <f t="shared" si="6"/>
        <v>5.6514990234424856E-2</v>
      </c>
      <c r="AG15" s="8">
        <f t="shared" si="7"/>
        <v>3.5709474937136165E-3</v>
      </c>
    </row>
    <row r="16" spans="1:33" x14ac:dyDescent="0.25">
      <c r="A16" s="9">
        <v>0.4</v>
      </c>
      <c r="B16" s="9">
        <v>0.16</v>
      </c>
      <c r="C16" s="9">
        <v>3.665</v>
      </c>
      <c r="D16" s="9">
        <v>1.571</v>
      </c>
      <c r="E16" s="9">
        <v>0</v>
      </c>
      <c r="F16" s="9">
        <v>0</v>
      </c>
      <c r="G16" s="9">
        <v>0</v>
      </c>
      <c r="H16" s="9">
        <f>'Proximal Validation (single)'!H16</f>
        <v>-6.0879066586494402E-4</v>
      </c>
      <c r="I16" s="9">
        <f>'Proximal Validation (single)'!I16</f>
        <v>4.7145899385213901E-2</v>
      </c>
      <c r="J16" s="9">
        <f>'Proximal Validation (single)'!J16</f>
        <v>-8.5028916597366305E-2</v>
      </c>
      <c r="K16" s="9">
        <f>'Proximal Validation (single)'!K16</f>
        <v>-7.4065491557121305E-2</v>
      </c>
      <c r="L16" s="9">
        <f>'Proximal Validation (single)'!L16</f>
        <v>-0.31546109914779702</v>
      </c>
      <c r="M16" s="9">
        <f>'Proximal Validation (single)'!M16</f>
        <v>-0.17043319344520599</v>
      </c>
      <c r="N16" s="9">
        <v>0.75782779031058367</v>
      </c>
      <c r="O16" s="9">
        <v>6.1151189028746333E-2</v>
      </c>
      <c r="P16" s="9">
        <v>3.653570726993927</v>
      </c>
      <c r="Q16" s="9">
        <v>2.0811556581595694</v>
      </c>
      <c r="R16" s="10">
        <v>1.338625005136356E-5</v>
      </c>
      <c r="S16" s="8">
        <f t="shared" si="2"/>
        <v>0.35782779031058365</v>
      </c>
      <c r="T16" s="8">
        <f t="shared" si="3"/>
        <v>9.884881097125367E-2</v>
      </c>
      <c r="U16" s="8">
        <f t="shared" si="4"/>
        <v>1.1429273006072993E-2</v>
      </c>
      <c r="V16" s="8">
        <f t="shared" si="5"/>
        <v>0.51015565815956943</v>
      </c>
      <c r="AC16" s="8">
        <v>0.34849542196607219</v>
      </c>
      <c r="AD16" s="8">
        <v>0.10350236280900071</v>
      </c>
      <c r="AF16" s="8">
        <f t="shared" si="6"/>
        <v>9.3323683445114547E-3</v>
      </c>
      <c r="AG16" s="8">
        <f t="shared" si="7"/>
        <v>4.6535518377470442E-3</v>
      </c>
    </row>
    <row r="17" spans="1:33" x14ac:dyDescent="0.25">
      <c r="A17" s="9">
        <v>0.3</v>
      </c>
      <c r="B17" s="9">
        <v>0.18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(single)'!H17</f>
        <v>3.8368394598364803E-5</v>
      </c>
      <c r="I17" s="9">
        <f>'Proximal Validation (single)'!I17</f>
        <v>3.2897148281335803E-2</v>
      </c>
      <c r="J17" s="9">
        <f>'Proximal Validation (single)'!J17</f>
        <v>-5.8571800589561497E-2</v>
      </c>
      <c r="K17" s="9">
        <f>'Proximal Validation (single)'!K17</f>
        <v>-6.3505612313747406E-2</v>
      </c>
      <c r="L17" s="9">
        <f>'Proximal Validation (single)'!L17</f>
        <v>-0.19738522171974199</v>
      </c>
      <c r="M17" s="9">
        <f>'Proximal Validation (single)'!M17</f>
        <v>-0.108248926699162</v>
      </c>
      <c r="N17" s="9">
        <v>0.2338643790691104</v>
      </c>
      <c r="O17" s="9">
        <v>0.19139693359599855</v>
      </c>
      <c r="P17" s="9">
        <v>4.062423450941556</v>
      </c>
      <c r="Q17" s="9">
        <v>2.0409903683076842</v>
      </c>
      <c r="R17" s="10">
        <v>8.4812896532260762E-4</v>
      </c>
      <c r="S17" s="8">
        <f t="shared" si="2"/>
        <v>6.6135620930889594E-2</v>
      </c>
      <c r="T17" s="8">
        <f t="shared" si="3"/>
        <v>1.1396933595998554E-2</v>
      </c>
      <c r="U17" s="8">
        <f t="shared" si="4"/>
        <v>0.39742345094155596</v>
      </c>
      <c r="V17" s="8">
        <f t="shared" si="5"/>
        <v>0.46999036830768426</v>
      </c>
      <c r="AC17" s="8">
        <v>5.4175610238594518E-2</v>
      </c>
      <c r="AD17" s="8">
        <v>6.228510041821067E-4</v>
      </c>
      <c r="AF17" s="8">
        <f t="shared" si="6"/>
        <v>1.1960010692295076E-2</v>
      </c>
      <c r="AG17" s="8">
        <f t="shared" si="7"/>
        <v>1.0774082591816447E-2</v>
      </c>
    </row>
    <row r="18" spans="1:33" x14ac:dyDescent="0.25">
      <c r="A18" s="9">
        <v>0.3</v>
      </c>
      <c r="B18" s="9">
        <v>0.08</v>
      </c>
      <c r="C18" s="9">
        <v>1.571</v>
      </c>
      <c r="D18" s="9">
        <v>0.78500000000000003</v>
      </c>
      <c r="E18" s="9">
        <v>1.4</v>
      </c>
      <c r="F18" s="9">
        <v>0</v>
      </c>
      <c r="G18" s="9">
        <v>0</v>
      </c>
      <c r="N18" s="9">
        <v>0.65070370717231119</v>
      </c>
      <c r="O18" s="9">
        <v>1.0526077851818971E-2</v>
      </c>
      <c r="P18" s="9">
        <v>1.7923442205065128</v>
      </c>
      <c r="Q18" s="9">
        <v>0.55321960112841795</v>
      </c>
      <c r="R18" s="10">
        <v>1.5094479251469463E-4</v>
      </c>
      <c r="S18" s="8">
        <f t="shared" si="2"/>
        <v>0.3507037071723112</v>
      </c>
      <c r="T18" s="8">
        <f t="shared" si="3"/>
        <v>6.947392214818103E-2</v>
      </c>
      <c r="U18" s="8">
        <f t="shared" si="4"/>
        <v>0.22134422050651281</v>
      </c>
      <c r="V18" s="8">
        <f t="shared" si="5"/>
        <v>0.23178039887158208</v>
      </c>
      <c r="AC18" s="8">
        <v>0.3520846897238043</v>
      </c>
      <c r="AD18" s="8">
        <v>6.9819711238703411E-2</v>
      </c>
      <c r="AF18" s="8">
        <f t="shared" si="6"/>
        <v>1.380982551493104E-3</v>
      </c>
      <c r="AG18" s="8">
        <f t="shared" si="7"/>
        <v>3.4578909052238038E-4</v>
      </c>
    </row>
    <row r="19" spans="1:33" x14ac:dyDescent="0.25">
      <c r="A19" s="9">
        <v>0.4</v>
      </c>
      <c r="B19" s="9">
        <v>0.14000000000000001</v>
      </c>
      <c r="C19" s="9">
        <v>1.571</v>
      </c>
      <c r="D19" s="9">
        <v>0.78500000000000003</v>
      </c>
      <c r="E19" s="9">
        <v>0</v>
      </c>
      <c r="F19" s="9">
        <v>0</v>
      </c>
      <c r="G19" s="9">
        <v>0</v>
      </c>
      <c r="N19" s="9">
        <v>0.41110900021469066</v>
      </c>
      <c r="O19" s="9">
        <v>5.0599281061568684E-2</v>
      </c>
      <c r="P19" s="9">
        <v>2.0008429605086335</v>
      </c>
      <c r="Q19" s="9">
        <v>1.9921765197899053</v>
      </c>
      <c r="R19" s="10">
        <v>1.0582880909694138E-3</v>
      </c>
      <c r="S19" s="8">
        <f t="shared" si="2"/>
        <v>1.1109000214690634E-2</v>
      </c>
      <c r="T19" s="8">
        <f t="shared" si="3"/>
        <v>8.9400718938431323E-2</v>
      </c>
      <c r="U19" s="8">
        <f t="shared" si="4"/>
        <v>0.42984296050863358</v>
      </c>
      <c r="V19" s="8">
        <f t="shared" si="5"/>
        <v>1.2071765197899054</v>
      </c>
      <c r="AC19" s="8">
        <v>5.7469320833803572E-2</v>
      </c>
      <c r="AD19" s="8">
        <v>8.8495492587522206E-2</v>
      </c>
      <c r="AF19" s="8">
        <f t="shared" si="6"/>
        <v>4.6360320619112938E-2</v>
      </c>
      <c r="AG19" s="8">
        <f t="shared" si="7"/>
        <v>9.052263509091163E-4</v>
      </c>
    </row>
    <row r="20" spans="1:33" x14ac:dyDescent="0.25">
      <c r="A20" s="9">
        <v>0.6</v>
      </c>
      <c r="B20" s="9">
        <v>0.16</v>
      </c>
      <c r="C20" s="9">
        <v>1.571</v>
      </c>
      <c r="D20" s="9">
        <v>0.78500000000000003</v>
      </c>
      <c r="E20" s="9">
        <v>1.4</v>
      </c>
      <c r="F20" s="9">
        <v>0</v>
      </c>
      <c r="G20" s="9">
        <v>0</v>
      </c>
      <c r="N20" s="9">
        <v>0.53174509912690948</v>
      </c>
      <c r="O20" s="9">
        <v>0.19994662685376671</v>
      </c>
      <c r="P20" s="9">
        <v>1.7930801384465029</v>
      </c>
      <c r="Q20" s="9">
        <v>0.49683736039544357</v>
      </c>
      <c r="R20" s="10">
        <v>8.5673909806126259E-4</v>
      </c>
      <c r="S20" s="8">
        <f t="shared" si="2"/>
        <v>6.8254900873090496E-2</v>
      </c>
      <c r="T20" s="8">
        <f t="shared" si="3"/>
        <v>3.9946626853766709E-2</v>
      </c>
      <c r="U20" s="8">
        <f t="shared" si="4"/>
        <v>0.22208013844650298</v>
      </c>
      <c r="V20" s="8">
        <f t="shared" si="5"/>
        <v>0.28816263960455646</v>
      </c>
      <c r="AC20" s="8">
        <v>0.1448481998046442</v>
      </c>
      <c r="AD20" s="8">
        <v>3.9993773940360439E-2</v>
      </c>
      <c r="AF20" s="8">
        <f t="shared" si="6"/>
        <v>7.6593298931553699E-2</v>
      </c>
      <c r="AG20" s="8">
        <f t="shared" si="7"/>
        <v>4.714708659372957E-5</v>
      </c>
    </row>
    <row r="21" spans="1:33" x14ac:dyDescent="0.25">
      <c r="A21" s="9">
        <v>0.4</v>
      </c>
      <c r="B21" s="9">
        <v>0.06</v>
      </c>
      <c r="C21" s="9">
        <v>1.571</v>
      </c>
      <c r="D21" s="9">
        <v>1.571</v>
      </c>
      <c r="E21" s="9">
        <v>1.4</v>
      </c>
      <c r="F21" s="9">
        <v>0</v>
      </c>
      <c r="G21" s="9">
        <v>0</v>
      </c>
      <c r="N21" s="9">
        <v>0.47308478986134195</v>
      </c>
      <c r="O21" s="9">
        <v>7.5205951467434154E-2</v>
      </c>
      <c r="P21" s="9">
        <v>1.6950059475324166</v>
      </c>
      <c r="Q21" s="9">
        <v>0.97504984477550294</v>
      </c>
      <c r="R21" s="10">
        <v>4.6527806115835801E-4</v>
      </c>
      <c r="S21" s="8">
        <f t="shared" si="2"/>
        <v>7.3084789861341926E-2</v>
      </c>
      <c r="T21" s="8">
        <f t="shared" si="3"/>
        <v>1.5205951467434156E-2</v>
      </c>
      <c r="U21" s="8">
        <f t="shared" si="4"/>
        <v>0.12400594753241667</v>
      </c>
      <c r="V21" s="8">
        <f t="shared" si="5"/>
        <v>0.59595015522449701</v>
      </c>
      <c r="AC21" s="8">
        <v>1.9310560718430625E-2</v>
      </c>
      <c r="AD21" s="8">
        <v>1.129768240050591E-2</v>
      </c>
      <c r="AF21" s="8">
        <f t="shared" si="6"/>
        <v>5.3774229142911301E-2</v>
      </c>
      <c r="AG21" s="8">
        <f t="shared" si="7"/>
        <v>3.9082690669282466E-3</v>
      </c>
    </row>
    <row r="22" spans="1:33" x14ac:dyDescent="0.25">
      <c r="A22" s="9">
        <v>0.8</v>
      </c>
      <c r="B22" s="9">
        <v>0.08</v>
      </c>
      <c r="C22" s="9">
        <v>1.571</v>
      </c>
      <c r="D22" s="9">
        <v>1.571</v>
      </c>
      <c r="E22" s="9">
        <v>0</v>
      </c>
      <c r="F22" s="9">
        <v>0</v>
      </c>
      <c r="G22" s="9">
        <v>0</v>
      </c>
      <c r="N22" s="9">
        <v>0.99999999483395074</v>
      </c>
      <c r="O22" s="9">
        <v>5.4818441860836176E-2</v>
      </c>
      <c r="P22" s="9">
        <v>1.4335684027659819</v>
      </c>
      <c r="Q22" s="9">
        <v>1.8000005077725119</v>
      </c>
      <c r="R22" s="10">
        <v>5.2476994976128569E-3</v>
      </c>
      <c r="S22" s="8">
        <f t="shared" si="2"/>
        <v>0.1999999948339507</v>
      </c>
      <c r="T22" s="8">
        <f t="shared" si="3"/>
        <v>2.5181558139163826E-2</v>
      </c>
      <c r="U22" s="8">
        <f t="shared" si="4"/>
        <v>0.1374315972340181</v>
      </c>
      <c r="V22" s="8">
        <f t="shared" si="5"/>
        <v>0.22900050777251191</v>
      </c>
      <c r="AC22" s="8">
        <v>0.12324618594550119</v>
      </c>
      <c r="AD22" s="8">
        <v>4.1008019785894995E-2</v>
      </c>
      <c r="AF22" s="8">
        <f t="shared" si="6"/>
        <v>7.6753808888449515E-2</v>
      </c>
      <c r="AG22" s="8">
        <f t="shared" si="7"/>
        <v>1.5826461646731169E-2</v>
      </c>
    </row>
    <row r="23" spans="1:33" x14ac:dyDescent="0.25">
      <c r="A23" s="9">
        <v>0.7</v>
      </c>
      <c r="B23" s="9">
        <v>0.16</v>
      </c>
      <c r="C23" s="9">
        <v>1.571</v>
      </c>
      <c r="D23" s="9">
        <v>1.571</v>
      </c>
      <c r="E23" s="9">
        <v>1.4</v>
      </c>
      <c r="F23" s="9">
        <v>0</v>
      </c>
      <c r="G23" s="9">
        <v>0</v>
      </c>
      <c r="N23" s="9">
        <v>0.51980070312204019</v>
      </c>
      <c r="O23" s="9">
        <v>0.19994295713982158</v>
      </c>
      <c r="P23" s="9">
        <v>1.5741435216641855</v>
      </c>
      <c r="Q23" s="9">
        <v>0.86743186481741319</v>
      </c>
      <c r="R23" s="10">
        <v>9.8796763892161719E-4</v>
      </c>
      <c r="S23" s="8">
        <f t="shared" si="2"/>
        <v>0.18019929687795977</v>
      </c>
      <c r="T23" s="8">
        <f t="shared" si="3"/>
        <v>3.9942957139821572E-2</v>
      </c>
      <c r="U23" s="8">
        <f t="shared" si="4"/>
        <v>3.1435216641855224E-3</v>
      </c>
      <c r="V23" s="8">
        <f t="shared" si="5"/>
        <v>0.70356813518258676</v>
      </c>
      <c r="AC23" s="8">
        <v>0.33873974678998631</v>
      </c>
      <c r="AD23" s="8">
        <v>3.9999814058988031E-2</v>
      </c>
      <c r="AF23" s="8">
        <f t="shared" si="6"/>
        <v>0.15854044991202654</v>
      </c>
      <c r="AG23" s="8">
        <f t="shared" si="7"/>
        <v>5.6856919166459186E-5</v>
      </c>
    </row>
    <row r="24" spans="1:33" x14ac:dyDescent="0.25">
      <c r="A24" s="9">
        <v>0.7</v>
      </c>
      <c r="B24" s="9">
        <v>0.2</v>
      </c>
      <c r="C24" s="9">
        <v>1.571</v>
      </c>
      <c r="D24" s="9">
        <v>1.571</v>
      </c>
      <c r="E24" s="9">
        <v>0</v>
      </c>
      <c r="F24" s="9">
        <v>0</v>
      </c>
      <c r="G24" s="9">
        <v>0</v>
      </c>
      <c r="N24" s="9">
        <v>0.66985467112554453</v>
      </c>
      <c r="O24" s="9">
        <v>0.19999998813600453</v>
      </c>
      <c r="P24" s="9">
        <v>1.8934477502811711</v>
      </c>
      <c r="Q24" s="9">
        <v>2.2598348230878278</v>
      </c>
      <c r="R24" s="10">
        <v>7.9023620547099618E-3</v>
      </c>
      <c r="S24" s="8">
        <f t="shared" si="2"/>
        <v>3.0145328874455424E-2</v>
      </c>
      <c r="T24" s="8">
        <f t="shared" si="3"/>
        <v>1.1863995480476675E-8</v>
      </c>
      <c r="U24" s="8">
        <f t="shared" si="4"/>
        <v>0.32244775028117112</v>
      </c>
      <c r="V24" s="8">
        <f t="shared" si="5"/>
        <v>0.68883482308782784</v>
      </c>
      <c r="AC24" s="8">
        <v>3.2858836419766724E-2</v>
      </c>
      <c r="AD24" s="8">
        <v>0.18999999910367874</v>
      </c>
      <c r="AF24" s="8">
        <f t="shared" si="6"/>
        <v>2.7135075453113E-3</v>
      </c>
      <c r="AG24" s="8">
        <f t="shared" si="7"/>
        <v>0.18999998723968325</v>
      </c>
    </row>
    <row r="25" spans="1:33" x14ac:dyDescent="0.25">
      <c r="A25" s="9">
        <v>0.7</v>
      </c>
      <c r="B25" s="9">
        <v>0.06</v>
      </c>
      <c r="C25" s="9">
        <v>3.665</v>
      </c>
      <c r="D25" s="9">
        <v>0.78500000000000003</v>
      </c>
      <c r="E25" s="9">
        <v>0</v>
      </c>
      <c r="F25" s="9">
        <v>0</v>
      </c>
      <c r="G25" s="9">
        <v>0</v>
      </c>
      <c r="N25" s="9">
        <v>0.59615178072494635</v>
      </c>
      <c r="O25" s="9">
        <v>0.11781635341757957</v>
      </c>
      <c r="P25" s="9">
        <v>3.9603789059785042</v>
      </c>
      <c r="Q25" s="9">
        <v>0.78772279476811857</v>
      </c>
      <c r="R25" s="10">
        <v>1.0840807208981401E-3</v>
      </c>
      <c r="S25" s="8">
        <f t="shared" si="2"/>
        <v>0.10384821927505361</v>
      </c>
      <c r="T25" s="8">
        <f t="shared" si="3"/>
        <v>5.7816353417579569E-2</v>
      </c>
      <c r="U25" s="8">
        <f t="shared" si="4"/>
        <v>0.29537890597850414</v>
      </c>
      <c r="V25" s="8">
        <f t="shared" si="5"/>
        <v>2.7227947681185416E-3</v>
      </c>
      <c r="AC25" s="8">
        <v>0.15317642070686843</v>
      </c>
      <c r="AD25" s="8">
        <v>6.0092369596376816E-2</v>
      </c>
      <c r="AF25" s="8">
        <f t="shared" si="6"/>
        <v>4.9328201431814822E-2</v>
      </c>
      <c r="AG25" s="8">
        <f t="shared" si="7"/>
        <v>2.2760161787972466E-3</v>
      </c>
    </row>
    <row r="26" spans="1:33" x14ac:dyDescent="0.25">
      <c r="A26" s="9">
        <v>0.6</v>
      </c>
      <c r="B26" s="9">
        <v>0.1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0.75435680903069635</v>
      </c>
      <c r="O26" s="9">
        <v>0.10853339278204019</v>
      </c>
      <c r="P26" s="9">
        <v>3.4062899892095175</v>
      </c>
      <c r="Q26" s="9">
        <v>0.54553291024540584</v>
      </c>
      <c r="R26" s="10">
        <v>7.8904983890271769E-4</v>
      </c>
      <c r="S26" s="8">
        <f t="shared" si="2"/>
        <v>0.15435680903069637</v>
      </c>
      <c r="T26" s="8">
        <f t="shared" si="3"/>
        <v>8.5333927820401834E-3</v>
      </c>
      <c r="U26" s="8">
        <f t="shared" si="4"/>
        <v>0.2587100107904825</v>
      </c>
      <c r="V26" s="8">
        <f t="shared" si="5"/>
        <v>0.23946708975459419</v>
      </c>
      <c r="AC26" s="8">
        <v>9.8701440448485389E-2</v>
      </c>
      <c r="AD26" s="8">
        <v>1.5184338018228896E-2</v>
      </c>
      <c r="AF26" s="8">
        <f t="shared" si="6"/>
        <v>5.5655368582210984E-2</v>
      </c>
      <c r="AG26" s="8">
        <f t="shared" si="7"/>
        <v>6.6509452361887128E-3</v>
      </c>
    </row>
    <row r="27" spans="1:33" x14ac:dyDescent="0.25">
      <c r="A27" s="9">
        <v>0.8</v>
      </c>
      <c r="B27" s="9">
        <v>0.18</v>
      </c>
      <c r="C27" s="9">
        <v>3.665</v>
      </c>
      <c r="D27" s="9">
        <v>0.78500000000000003</v>
      </c>
      <c r="E27" s="9">
        <v>1.4</v>
      </c>
      <c r="F27" s="9">
        <v>0</v>
      </c>
      <c r="G27" s="9">
        <v>0</v>
      </c>
      <c r="N27" s="9">
        <v>0.82826824623479689</v>
      </c>
      <c r="O27" s="9">
        <v>0.12471050677203932</v>
      </c>
      <c r="P27" s="9">
        <v>3.5992341270938928</v>
      </c>
      <c r="Q27" s="9">
        <v>1.0199881023107789</v>
      </c>
      <c r="R27" s="10">
        <v>7.4426760340703349E-4</v>
      </c>
      <c r="S27" s="8">
        <f t="shared" si="2"/>
        <v>2.8268246234796846E-2</v>
      </c>
      <c r="T27" s="8">
        <f t="shared" si="3"/>
        <v>5.5289493227960673E-2</v>
      </c>
      <c r="U27" s="8">
        <f t="shared" si="4"/>
        <v>6.5765872906107248E-2</v>
      </c>
      <c r="V27" s="8">
        <f t="shared" si="5"/>
        <v>0.23498810231077882</v>
      </c>
      <c r="AC27" s="8">
        <v>9.8472200891196238E-2</v>
      </c>
      <c r="AD27" s="8">
        <v>6.9236063436336009E-2</v>
      </c>
      <c r="AF27" s="8">
        <f t="shared" si="6"/>
        <v>7.0203954656399392E-2</v>
      </c>
      <c r="AG27" s="8">
        <f t="shared" si="7"/>
        <v>1.3946570208375336E-2</v>
      </c>
    </row>
    <row r="28" spans="1:33" x14ac:dyDescent="0.25">
      <c r="A28" s="9">
        <v>0.4</v>
      </c>
      <c r="B28" s="9">
        <v>0.2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0.61162714633257109</v>
      </c>
      <c r="O28" s="9">
        <v>0.19841746124329521</v>
      </c>
      <c r="P28" s="9">
        <v>3.2420642702443576</v>
      </c>
      <c r="Q28" s="9">
        <v>0.28109667745032763</v>
      </c>
      <c r="R28" s="10">
        <v>1.3479842152292294E-3</v>
      </c>
      <c r="S28" s="8">
        <f t="shared" si="2"/>
        <v>0.21162714633257107</v>
      </c>
      <c r="T28" s="8">
        <f t="shared" si="3"/>
        <v>1.5825387567048044E-3</v>
      </c>
      <c r="U28" s="8">
        <f t="shared" si="4"/>
        <v>0.42293572975564242</v>
      </c>
      <c r="V28" s="8">
        <f t="shared" si="5"/>
        <v>0.50390332254967241</v>
      </c>
      <c r="AC28" s="8">
        <v>0.1454978512459657</v>
      </c>
      <c r="AD28" s="8">
        <v>1.6200188311832342E-5</v>
      </c>
      <c r="AF28" s="8">
        <f t="shared" si="6"/>
        <v>6.6129295086605366E-2</v>
      </c>
      <c r="AG28" s="8">
        <f t="shared" si="7"/>
        <v>1.566338568392972E-3</v>
      </c>
    </row>
    <row r="29" spans="1:33" x14ac:dyDescent="0.25">
      <c r="A29" s="9">
        <v>0.4</v>
      </c>
      <c r="B29" s="9">
        <v>0.1</v>
      </c>
      <c r="C29" s="9">
        <v>3.665</v>
      </c>
      <c r="D29" s="9">
        <v>1.571</v>
      </c>
      <c r="E29" s="9">
        <v>1.4</v>
      </c>
      <c r="F29" s="9">
        <v>0</v>
      </c>
      <c r="G29" s="9">
        <v>0</v>
      </c>
      <c r="N29" s="9">
        <v>0.41176321310030534</v>
      </c>
      <c r="O29" s="9">
        <v>0.11497843921478046</v>
      </c>
      <c r="P29" s="9">
        <v>3.4927293523913554</v>
      </c>
      <c r="Q29" s="9">
        <v>1.2864985442740091</v>
      </c>
      <c r="R29" s="10">
        <v>1.0413455307178248E-4</v>
      </c>
      <c r="S29" s="8">
        <f t="shared" si="2"/>
        <v>1.1763213100305314E-2</v>
      </c>
      <c r="T29" s="8">
        <f t="shared" si="3"/>
        <v>1.4978439214780453E-2</v>
      </c>
      <c r="U29" s="8">
        <f t="shared" si="4"/>
        <v>0.17227064760864463</v>
      </c>
      <c r="V29" s="8">
        <f t="shared" si="5"/>
        <v>0.28450145572599084</v>
      </c>
      <c r="AC29" s="8">
        <v>4.5521640725175394E-2</v>
      </c>
      <c r="AD29" s="8">
        <v>1.7416819262430702E-2</v>
      </c>
      <c r="AF29" s="8">
        <f t="shared" si="6"/>
        <v>3.375842762487008E-2</v>
      </c>
      <c r="AG29" s="8">
        <f t="shared" si="7"/>
        <v>2.4383800476502487E-3</v>
      </c>
    </row>
    <row r="30" spans="1:33" x14ac:dyDescent="0.25">
      <c r="A30" s="9">
        <v>0.7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0.79165294359117466</v>
      </c>
      <c r="O30" s="9">
        <v>0.11499562666195778</v>
      </c>
      <c r="P30" s="9">
        <v>3.9083414492353432</v>
      </c>
      <c r="Q30" s="9">
        <v>1.9666758887354938</v>
      </c>
      <c r="R30" s="10">
        <v>9.2844766463467618E-4</v>
      </c>
      <c r="S30" s="8">
        <f t="shared" si="2"/>
        <v>9.1652943591174707E-2</v>
      </c>
      <c r="T30" s="8">
        <f t="shared" si="3"/>
        <v>1.4995626661957778E-2</v>
      </c>
      <c r="U30" s="8">
        <f t="shared" si="4"/>
        <v>0.24334144923534318</v>
      </c>
      <c r="V30" s="8">
        <f t="shared" si="5"/>
        <v>0.39567588873549386</v>
      </c>
      <c r="AC30" s="8">
        <v>0.13737450163868237</v>
      </c>
      <c r="AD30" s="8">
        <v>6.4986772442864604E-3</v>
      </c>
      <c r="AF30" s="8">
        <f t="shared" si="6"/>
        <v>4.572155804750766E-2</v>
      </c>
      <c r="AG30" s="8">
        <f t="shared" si="7"/>
        <v>8.4969494176713178E-3</v>
      </c>
    </row>
    <row r="31" spans="1:33" x14ac:dyDescent="0.25">
      <c r="A31" s="9">
        <v>0.4</v>
      </c>
      <c r="B31" s="9">
        <v>0.16</v>
      </c>
      <c r="C31" s="9">
        <v>3.665</v>
      </c>
      <c r="D31" s="9">
        <v>1.571</v>
      </c>
      <c r="E31" s="9">
        <v>0</v>
      </c>
      <c r="F31" s="9">
        <v>0</v>
      </c>
      <c r="G31" s="9">
        <v>0</v>
      </c>
      <c r="N31" s="9">
        <v>0.41152201145387851</v>
      </c>
      <c r="O31" s="9">
        <v>0.12887867642843112</v>
      </c>
      <c r="P31" s="9">
        <v>3.7851701866298955</v>
      </c>
      <c r="Q31" s="9">
        <v>1.158803303919218</v>
      </c>
      <c r="R31" s="10">
        <v>8.5475260013046308E-4</v>
      </c>
      <c r="S31" s="8">
        <f t="shared" si="2"/>
        <v>1.1522011453878489E-2</v>
      </c>
      <c r="T31" s="8">
        <f t="shared" si="3"/>
        <v>3.1121323571568882E-2</v>
      </c>
      <c r="U31" s="8">
        <f t="shared" si="4"/>
        <v>0.12017018662989543</v>
      </c>
      <c r="V31" s="8">
        <f t="shared" si="5"/>
        <v>0.41219669608078191</v>
      </c>
      <c r="AC31" s="8">
        <v>8.0873118299001623E-2</v>
      </c>
      <c r="AD31" s="8">
        <v>2.8874301934202845E-2</v>
      </c>
      <c r="AF31" s="8">
        <f t="shared" si="6"/>
        <v>6.9351106845123134E-2</v>
      </c>
      <c r="AG31" s="8">
        <f t="shared" si="7"/>
        <v>2.2470216373660368E-3</v>
      </c>
    </row>
    <row r="32" spans="1:33" x14ac:dyDescent="0.25">
      <c r="A32" s="9">
        <v>0.3</v>
      </c>
      <c r="B32" s="9">
        <v>0.18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0.5898393334926465</v>
      </c>
      <c r="O32" s="9">
        <v>4.8879476469742326E-2</v>
      </c>
      <c r="P32" s="9">
        <v>3.1714412019521214</v>
      </c>
      <c r="Q32" s="9">
        <v>2.0542235916503357</v>
      </c>
      <c r="R32" s="10">
        <v>9.750005491998288E-4</v>
      </c>
      <c r="S32" s="8">
        <f t="shared" si="2"/>
        <v>0.28983933349264651</v>
      </c>
      <c r="T32" s="8">
        <f t="shared" si="3"/>
        <v>0.13112052353025766</v>
      </c>
      <c r="U32" s="8">
        <f t="shared" si="4"/>
        <v>0.49355879804787861</v>
      </c>
      <c r="V32" s="8">
        <f t="shared" si="5"/>
        <v>0.48322359165033579</v>
      </c>
      <c r="AC32" s="8">
        <v>0.28459281694186472</v>
      </c>
      <c r="AD32" s="8">
        <v>0.1309646477364482</v>
      </c>
      <c r="AF32" s="8">
        <f t="shared" si="6"/>
        <v>5.2465165507817879E-3</v>
      </c>
      <c r="AG32" s="8">
        <f t="shared" si="7"/>
        <v>1.5587579380946237E-4</v>
      </c>
    </row>
    <row r="33" spans="1:33" x14ac:dyDescent="0.25">
      <c r="A33" s="9">
        <v>0.3</v>
      </c>
      <c r="B33" s="9">
        <v>0.08</v>
      </c>
      <c r="C33" s="9">
        <v>1.571</v>
      </c>
      <c r="D33" s="9">
        <v>0.78500000000000003</v>
      </c>
      <c r="E33" s="9">
        <v>1.4</v>
      </c>
      <c r="F33" s="9">
        <v>0</v>
      </c>
      <c r="G33" s="9">
        <v>0</v>
      </c>
      <c r="N33" s="9">
        <v>0.27922752344845869</v>
      </c>
      <c r="O33" s="9">
        <v>3.9917019945713589E-2</v>
      </c>
      <c r="P33" s="9">
        <v>1.1746975095388481</v>
      </c>
      <c r="Q33" s="9">
        <v>0.89396029727796789</v>
      </c>
      <c r="R33" s="10">
        <v>4.5778426599995957E-5</v>
      </c>
      <c r="S33" s="8">
        <f t="shared" si="2"/>
        <v>2.0772476551541297E-2</v>
      </c>
      <c r="T33" s="8">
        <f t="shared" si="3"/>
        <v>4.0082980054286413E-2</v>
      </c>
      <c r="U33" s="8">
        <f t="shared" si="4"/>
        <v>0.39630249046115185</v>
      </c>
      <c r="V33" s="8">
        <f t="shared" si="5"/>
        <v>0.10896029727796785</v>
      </c>
      <c r="AC33" s="8">
        <v>1.9069143656441023E-2</v>
      </c>
      <c r="AD33" s="8">
        <v>3.8532202775672514E-2</v>
      </c>
      <c r="AF33" s="8">
        <f t="shared" si="6"/>
        <v>1.7033328951002735E-3</v>
      </c>
      <c r="AG33" s="8">
        <f t="shared" si="7"/>
        <v>1.550777278613899E-3</v>
      </c>
    </row>
    <row r="34" spans="1:33" x14ac:dyDescent="0.25">
      <c r="A34" s="9">
        <v>0.4</v>
      </c>
      <c r="B34" s="9">
        <v>0.14000000000000001</v>
      </c>
      <c r="C34" s="9">
        <v>1.571</v>
      </c>
      <c r="D34" s="9">
        <v>0.78500000000000003</v>
      </c>
      <c r="E34" s="9">
        <v>0</v>
      </c>
      <c r="F34" s="9">
        <v>0</v>
      </c>
      <c r="G34" s="9">
        <v>0</v>
      </c>
      <c r="N34" s="9">
        <v>0.87313400044515699</v>
      </c>
      <c r="O34" s="9">
        <v>0.19993990727873856</v>
      </c>
      <c r="P34" s="9">
        <v>2.4489825435675932</v>
      </c>
      <c r="Q34" s="9">
        <v>4.5712439301740793E-2</v>
      </c>
      <c r="R34" s="10">
        <v>3.3312650418849134E-3</v>
      </c>
      <c r="S34" s="8">
        <f t="shared" si="2"/>
        <v>0.47313400044515697</v>
      </c>
      <c r="T34" s="8">
        <f t="shared" si="3"/>
        <v>5.9939907278738547E-2</v>
      </c>
      <c r="U34" s="8">
        <f t="shared" si="4"/>
        <v>0.8779825435675932</v>
      </c>
      <c r="V34" s="8">
        <f t="shared" si="5"/>
        <v>0.73928756069825918</v>
      </c>
      <c r="AC34" s="8">
        <v>0.43575616342455048</v>
      </c>
      <c r="AD34" s="8">
        <v>5.6237993109567341E-2</v>
      </c>
      <c r="AF34" s="8">
        <f t="shared" si="6"/>
        <v>3.7377837020606486E-2</v>
      </c>
      <c r="AG34" s="8">
        <f t="shared" si="7"/>
        <v>3.7019141691712054E-3</v>
      </c>
    </row>
    <row r="35" spans="1:33" x14ac:dyDescent="0.25">
      <c r="A35" s="9">
        <v>0.6</v>
      </c>
      <c r="B35" s="9">
        <v>0.16</v>
      </c>
      <c r="C35" s="9">
        <v>1.571</v>
      </c>
      <c r="D35" s="9">
        <v>0.78500000000000003</v>
      </c>
      <c r="E35" s="9">
        <v>1.4</v>
      </c>
      <c r="F35" s="9">
        <v>0</v>
      </c>
      <c r="G35" s="9">
        <v>0</v>
      </c>
      <c r="N35" s="9">
        <v>0.61081409181500046</v>
      </c>
      <c r="O35" s="9">
        <v>0.11788730774396902</v>
      </c>
      <c r="P35" s="9">
        <v>1.9212655816738409</v>
      </c>
      <c r="Q35" s="9">
        <v>1.8021468556708489</v>
      </c>
      <c r="R35" s="10">
        <v>1.9733626200479303E-3</v>
      </c>
      <c r="S35" s="8">
        <f t="shared" si="2"/>
        <v>1.0814091815000482E-2</v>
      </c>
      <c r="T35" s="8">
        <f t="shared" si="3"/>
        <v>4.2112692256030981E-2</v>
      </c>
      <c r="U35" s="8">
        <f t="shared" si="4"/>
        <v>0.35026558167384092</v>
      </c>
      <c r="V35" s="8">
        <f t="shared" si="5"/>
        <v>1.0171468556708487</v>
      </c>
      <c r="AC35" s="8">
        <v>0.1667906414080339</v>
      </c>
      <c r="AD35" s="8">
        <v>5.4757719628678966E-2</v>
      </c>
      <c r="AF35" s="8">
        <f t="shared" si="6"/>
        <v>0.15597654959303342</v>
      </c>
      <c r="AG35" s="8">
        <f t="shared" si="7"/>
        <v>1.2645027372647985E-2</v>
      </c>
    </row>
    <row r="36" spans="1:33" x14ac:dyDescent="0.25">
      <c r="A36" s="9">
        <v>0.4</v>
      </c>
      <c r="B36" s="9">
        <v>0.06</v>
      </c>
      <c r="C36" s="9">
        <v>1.571</v>
      </c>
      <c r="D36" s="9">
        <v>1.571</v>
      </c>
      <c r="E36" s="9">
        <v>1.4</v>
      </c>
      <c r="F36" s="9">
        <v>0</v>
      </c>
      <c r="G36" s="9">
        <v>0</v>
      </c>
      <c r="N36" s="9">
        <v>0.65781234855132098</v>
      </c>
      <c r="O36" s="9">
        <v>1.0163764286821171E-2</v>
      </c>
      <c r="P36" s="9">
        <v>1.5276578126303453</v>
      </c>
      <c r="Q36" s="9">
        <v>1.5802958129381068</v>
      </c>
      <c r="R36" s="10">
        <v>3.1619174631295091E-5</v>
      </c>
      <c r="S36" s="8">
        <f t="shared" si="2"/>
        <v>0.25781234855132096</v>
      </c>
      <c r="T36" s="8">
        <f t="shared" si="3"/>
        <v>4.9836235713178828E-2</v>
      </c>
      <c r="U36" s="8">
        <f t="shared" si="4"/>
        <v>4.3342187369654672E-2</v>
      </c>
      <c r="V36" s="8">
        <f t="shared" si="5"/>
        <v>9.2958129381068844E-3</v>
      </c>
      <c r="AC36" s="8">
        <v>0.18608111103730807</v>
      </c>
      <c r="AD36" s="8">
        <v>4.9999989958571238E-2</v>
      </c>
      <c r="AF36" s="8">
        <f t="shared" si="6"/>
        <v>7.1731237514012891E-2</v>
      </c>
      <c r="AG36" s="8">
        <f t="shared" si="7"/>
        <v>1.6375424539240985E-4</v>
      </c>
    </row>
    <row r="37" spans="1:33" x14ac:dyDescent="0.25">
      <c r="A37" s="9">
        <v>0.8</v>
      </c>
      <c r="B37" s="9">
        <v>0.08</v>
      </c>
      <c r="C37" s="9">
        <v>1.571</v>
      </c>
      <c r="D37" s="9">
        <v>1.571</v>
      </c>
      <c r="E37" s="9">
        <v>0</v>
      </c>
      <c r="F37" s="9">
        <v>0</v>
      </c>
      <c r="G37" s="9">
        <v>0</v>
      </c>
      <c r="N37" s="9">
        <v>0.90663965033245397</v>
      </c>
      <c r="O37" s="9">
        <v>7.2747795396470596E-2</v>
      </c>
      <c r="P37" s="9">
        <v>1.6119810742936644</v>
      </c>
      <c r="Q37" s="9">
        <v>1.3914627632269667</v>
      </c>
      <c r="R37" s="10">
        <v>1.2982592163772992E-4</v>
      </c>
      <c r="S37" s="8">
        <f t="shared" si="2"/>
        <v>0.10663965033245393</v>
      </c>
      <c r="T37" s="8">
        <f t="shared" si="3"/>
        <v>7.2522046035294052E-3</v>
      </c>
      <c r="U37" s="8">
        <f t="shared" si="4"/>
        <v>4.0981074293664488E-2</v>
      </c>
      <c r="V37" s="8">
        <f t="shared" si="5"/>
        <v>0.17953723677303324</v>
      </c>
      <c r="AC37" s="8">
        <v>5.5472653784795378E-2</v>
      </c>
      <c r="AD37" s="8">
        <v>9.436318489204093E-3</v>
      </c>
      <c r="AF37" s="8">
        <f t="shared" si="6"/>
        <v>5.116699654765855E-2</v>
      </c>
      <c r="AG37" s="8">
        <f t="shared" si="7"/>
        <v>2.1841138856746878E-3</v>
      </c>
    </row>
    <row r="38" spans="1:33" x14ac:dyDescent="0.25">
      <c r="A38" s="9">
        <v>0.7</v>
      </c>
      <c r="B38" s="9">
        <v>0.16</v>
      </c>
      <c r="C38" s="9">
        <v>1.571</v>
      </c>
      <c r="D38" s="9">
        <v>1.571</v>
      </c>
      <c r="E38" s="9">
        <v>1.4</v>
      </c>
      <c r="F38" s="9">
        <v>0</v>
      </c>
      <c r="G38" s="9">
        <v>0</v>
      </c>
      <c r="N38" s="9">
        <v>0.73104058152947948</v>
      </c>
      <c r="O38" s="9">
        <v>0.18551216398519299</v>
      </c>
      <c r="P38" s="9">
        <v>1.2968267927000205</v>
      </c>
      <c r="Q38" s="9">
        <v>1.8002763789146761</v>
      </c>
      <c r="R38" s="10">
        <v>2.5438657847180585E-3</v>
      </c>
      <c r="S38" s="8">
        <f t="shared" si="2"/>
        <v>3.1040581529479527E-2</v>
      </c>
      <c r="T38" s="8">
        <f t="shared" si="3"/>
        <v>2.5512163985192987E-2</v>
      </c>
      <c r="U38" s="8">
        <f t="shared" si="4"/>
        <v>0.2741732072999794</v>
      </c>
      <c r="V38" s="8">
        <f t="shared" si="5"/>
        <v>0.22927637891467612</v>
      </c>
      <c r="AC38" s="8">
        <v>5.9486540029146995E-2</v>
      </c>
      <c r="AD38" s="8">
        <v>7.0188895761313097E-3</v>
      </c>
      <c r="AF38" s="8">
        <f t="shared" si="6"/>
        <v>2.8445958499667467E-2</v>
      </c>
      <c r="AG38" s="8">
        <f t="shared" si="7"/>
        <v>1.8493274409061677E-2</v>
      </c>
    </row>
    <row r="39" spans="1:33" x14ac:dyDescent="0.25">
      <c r="A39" s="9">
        <v>0.7</v>
      </c>
      <c r="B39" s="9">
        <v>0.2</v>
      </c>
      <c r="C39" s="9">
        <v>1.571</v>
      </c>
      <c r="D39" s="9">
        <v>1.571</v>
      </c>
      <c r="E39" s="9">
        <v>0</v>
      </c>
      <c r="F39" s="9">
        <v>0</v>
      </c>
      <c r="G39" s="9">
        <v>0</v>
      </c>
      <c r="N39" s="9">
        <v>0.39681987709609406</v>
      </c>
      <c r="O39" s="9">
        <v>0.19998177107476159</v>
      </c>
      <c r="P39" s="9">
        <v>1.3894588410821342</v>
      </c>
      <c r="Q39" s="9">
        <v>1.5711006805045191</v>
      </c>
      <c r="R39" s="10">
        <v>3.0297422964415048E-3</v>
      </c>
      <c r="S39" s="8">
        <f t="shared" si="2"/>
        <v>0.30318012290390589</v>
      </c>
      <c r="T39" s="8">
        <f t="shared" si="3"/>
        <v>1.8228925238422677E-5</v>
      </c>
      <c r="U39" s="8">
        <f t="shared" si="4"/>
        <v>0.18154115891786571</v>
      </c>
      <c r="V39" s="8">
        <f t="shared" si="5"/>
        <v>1.0068050451916832E-4</v>
      </c>
      <c r="AC39" s="8">
        <v>0.46622541306268717</v>
      </c>
      <c r="AD39" s="8">
        <v>8.4991055446237418E-7</v>
      </c>
      <c r="AF39" s="8">
        <f t="shared" si="6"/>
        <v>0.16304529015878128</v>
      </c>
      <c r="AG39" s="8">
        <f t="shared" si="7"/>
        <v>1.7379014683960303E-5</v>
      </c>
    </row>
    <row r="40" spans="1:33" x14ac:dyDescent="0.25">
      <c r="A40" s="9">
        <v>0.7</v>
      </c>
      <c r="B40" s="9">
        <v>0.06</v>
      </c>
      <c r="C40" s="9">
        <v>3.665</v>
      </c>
      <c r="D40" s="9">
        <v>0.78500000000000003</v>
      </c>
      <c r="E40" s="9">
        <v>0</v>
      </c>
      <c r="F40" s="9">
        <v>0</v>
      </c>
      <c r="G40" s="9">
        <v>0</v>
      </c>
      <c r="N40" s="9">
        <v>0.86562812666835254</v>
      </c>
      <c r="O40" s="9">
        <v>3.7370106580652457E-2</v>
      </c>
      <c r="P40" s="9">
        <v>3.3900249285503561</v>
      </c>
      <c r="Q40" s="9">
        <v>0.86687910628918752</v>
      </c>
      <c r="R40" s="10">
        <v>4.9053727913458587E-4</v>
      </c>
      <c r="S40" s="8">
        <f t="shared" si="2"/>
        <v>0.16562812666835258</v>
      </c>
      <c r="T40" s="8">
        <f t="shared" si="3"/>
        <v>2.2629893419347541E-2</v>
      </c>
      <c r="U40" s="8">
        <f t="shared" si="4"/>
        <v>0.27497507144964395</v>
      </c>
      <c r="V40" s="8">
        <f t="shared" si="5"/>
        <v>8.1879106289187487E-2</v>
      </c>
      <c r="AC40" s="8">
        <v>0.10636914499722683</v>
      </c>
      <c r="AD40" s="8">
        <v>2.229137036091252E-2</v>
      </c>
      <c r="AF40" s="8">
        <f t="shared" si="6"/>
        <v>5.9258981671125754E-2</v>
      </c>
      <c r="AG40" s="8">
        <f t="shared" si="7"/>
        <v>3.3852305843502101E-4</v>
      </c>
    </row>
    <row r="41" spans="1:33" x14ac:dyDescent="0.25">
      <c r="A41" s="9">
        <v>0.6</v>
      </c>
      <c r="B41" s="9">
        <v>0.1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0.33979444280245097</v>
      </c>
      <c r="O41" s="9">
        <v>0.19999889178235086</v>
      </c>
      <c r="P41" s="9">
        <v>3.8267497743489147</v>
      </c>
      <c r="Q41" s="9">
        <v>0.80494915804937939</v>
      </c>
      <c r="R41" s="10">
        <v>5.6802604637239303E-4</v>
      </c>
      <c r="S41" s="8">
        <f t="shared" si="2"/>
        <v>0.26020555719754901</v>
      </c>
      <c r="T41" s="8">
        <f t="shared" si="3"/>
        <v>9.9998891782350857E-2</v>
      </c>
      <c r="U41" s="8">
        <f t="shared" si="4"/>
        <v>0.16174977434891469</v>
      </c>
      <c r="V41" s="8">
        <f t="shared" si="5"/>
        <v>1.9949158049379356E-2</v>
      </c>
      <c r="AC41" s="8">
        <v>0.2550412643009744</v>
      </c>
      <c r="AD41" s="8">
        <v>8.3444138552395686E-2</v>
      </c>
      <c r="AF41" s="8">
        <f t="shared" si="6"/>
        <v>5.1642928965746071E-3</v>
      </c>
      <c r="AG41" s="8">
        <f t="shared" si="7"/>
        <v>1.6554753229955171E-2</v>
      </c>
    </row>
    <row r="42" spans="1:33" x14ac:dyDescent="0.25">
      <c r="A42" s="9">
        <v>0.8</v>
      </c>
      <c r="B42" s="9">
        <v>0.18</v>
      </c>
      <c r="C42" s="9">
        <v>3.665</v>
      </c>
      <c r="D42" s="9">
        <v>0.78500000000000003</v>
      </c>
      <c r="E42" s="9">
        <v>1.4</v>
      </c>
      <c r="F42" s="9">
        <v>0</v>
      </c>
      <c r="G42" s="9">
        <v>0</v>
      </c>
      <c r="N42" s="9">
        <v>0.92014656632977776</v>
      </c>
      <c r="O42" s="9">
        <v>0.12144569799586426</v>
      </c>
      <c r="P42" s="9">
        <v>3.8177962489799611</v>
      </c>
      <c r="Q42" s="9">
        <v>0.78888388942436238</v>
      </c>
      <c r="R42" s="10">
        <v>4.3885809539283543E-4</v>
      </c>
      <c r="S42" s="8">
        <f t="shared" si="2"/>
        <v>0.12014656632977772</v>
      </c>
      <c r="T42" s="8">
        <f t="shared" si="3"/>
        <v>5.8554302004135736E-2</v>
      </c>
      <c r="U42" s="8">
        <f t="shared" si="4"/>
        <v>0.15279624897996102</v>
      </c>
      <c r="V42" s="8">
        <f t="shared" si="5"/>
        <v>3.8838894243623523E-3</v>
      </c>
      <c r="AC42" s="8">
        <v>0.14815372507113722</v>
      </c>
      <c r="AD42" s="8">
        <v>6.9798031468949848E-2</v>
      </c>
      <c r="AF42" s="8">
        <f t="shared" si="6"/>
        <v>2.8007158741359506E-2</v>
      </c>
      <c r="AG42" s="8">
        <f t="shared" si="7"/>
        <v>1.1243729464814112E-2</v>
      </c>
    </row>
    <row r="43" spans="1:33" x14ac:dyDescent="0.25">
      <c r="A43" s="9">
        <v>0.4</v>
      </c>
      <c r="B43" s="9">
        <v>0.2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0.41043445902096881</v>
      </c>
      <c r="O43" s="9">
        <v>0.10526696701945222</v>
      </c>
      <c r="P43" s="9">
        <v>3.8968499849167815</v>
      </c>
      <c r="Q43" s="9">
        <v>1.0878571715663738</v>
      </c>
      <c r="R43" s="10">
        <v>1.0535788228018561E-3</v>
      </c>
      <c r="S43" s="8">
        <f t="shared" si="2"/>
        <v>1.0434459020968789E-2</v>
      </c>
      <c r="T43" s="8">
        <f t="shared" si="3"/>
        <v>9.4733032980547791E-2</v>
      </c>
      <c r="U43" s="8">
        <f t="shared" si="4"/>
        <v>0.23184998491678144</v>
      </c>
      <c r="V43" s="8">
        <f t="shared" si="5"/>
        <v>0.30285717156637382</v>
      </c>
      <c r="AC43" s="8">
        <v>2.096910112929129E-2</v>
      </c>
      <c r="AD43" s="8">
        <v>8.8827537923987274E-2</v>
      </c>
      <c r="AF43" s="8">
        <f t="shared" si="6"/>
        <v>1.0534642108322501E-2</v>
      </c>
      <c r="AG43" s="8">
        <f t="shared" si="7"/>
        <v>5.9054950565605169E-3</v>
      </c>
    </row>
    <row r="44" spans="1:33" x14ac:dyDescent="0.25">
      <c r="A44" s="9">
        <v>0.4</v>
      </c>
      <c r="B44" s="9">
        <v>0.1</v>
      </c>
      <c r="C44" s="9">
        <v>3.665</v>
      </c>
      <c r="D44" s="9">
        <v>1.571</v>
      </c>
      <c r="E44" s="9">
        <v>1.4</v>
      </c>
      <c r="F44" s="9">
        <v>0</v>
      </c>
      <c r="G44" s="9">
        <v>0</v>
      </c>
      <c r="N44" s="9">
        <v>0.45791439152456559</v>
      </c>
      <c r="O44" s="9">
        <v>0.19994041146127317</v>
      </c>
      <c r="P44" s="9">
        <v>3.7231979875007157</v>
      </c>
      <c r="Q44" s="9">
        <v>0.5295337927469933</v>
      </c>
      <c r="R44" s="10">
        <v>1.1238351478977542E-4</v>
      </c>
      <c r="S44" s="8">
        <f t="shared" si="2"/>
        <v>5.7914391524565567E-2</v>
      </c>
      <c r="T44" s="8">
        <f t="shared" si="3"/>
        <v>9.9940411461273165E-2</v>
      </c>
      <c r="U44" s="8">
        <f t="shared" si="4"/>
        <v>5.8197987500715698E-2</v>
      </c>
      <c r="V44" s="8">
        <f t="shared" si="5"/>
        <v>1.0414662072530065</v>
      </c>
      <c r="AC44" s="8">
        <v>5.1785949314768209E-3</v>
      </c>
      <c r="AD44" s="8">
        <v>9.9997980571618239E-2</v>
      </c>
      <c r="AF44" s="8">
        <f t="shared" si="6"/>
        <v>5.2735796593088746E-2</v>
      </c>
      <c r="AG44" s="8">
        <f t="shared" si="7"/>
        <v>5.7569110345073726E-5</v>
      </c>
    </row>
    <row r="45" spans="1:33" x14ac:dyDescent="0.25">
      <c r="A45" s="9">
        <v>0.7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0.82524053085469029</v>
      </c>
      <c r="O45" s="9">
        <v>8.8015188642235009E-2</v>
      </c>
      <c r="P45" s="9">
        <v>3.4015706735440929</v>
      </c>
      <c r="Q45" s="9">
        <v>1.3986534704434297</v>
      </c>
      <c r="R45" s="10">
        <v>1.9509651134208938E-3</v>
      </c>
      <c r="S45" s="8">
        <f t="shared" si="2"/>
        <v>0.12524053085469034</v>
      </c>
      <c r="T45" s="8">
        <f t="shared" si="3"/>
        <v>1.1984811357764996E-2</v>
      </c>
      <c r="U45" s="8">
        <f t="shared" si="4"/>
        <v>0.26342932645590711</v>
      </c>
      <c r="V45" s="8">
        <f t="shared" si="5"/>
        <v>0.17234652955657026</v>
      </c>
      <c r="AC45" s="8">
        <v>6.3240560874291529E-2</v>
      </c>
      <c r="AD45" s="8">
        <v>1.2045314967416398E-2</v>
      </c>
      <c r="AF45" s="8">
        <f t="shared" si="6"/>
        <v>6.1999969980398806E-2</v>
      </c>
      <c r="AG45" s="8">
        <f t="shared" si="7"/>
        <v>6.0503609651402224E-5</v>
      </c>
    </row>
    <row r="46" spans="1:33" x14ac:dyDescent="0.25">
      <c r="A46" s="9">
        <v>0.4</v>
      </c>
      <c r="B46" s="9">
        <v>0.16</v>
      </c>
      <c r="C46" s="9">
        <v>3.665</v>
      </c>
      <c r="D46" s="9">
        <v>1.571</v>
      </c>
      <c r="E46" s="9">
        <v>0</v>
      </c>
      <c r="F46" s="9">
        <v>0</v>
      </c>
      <c r="G46" s="9">
        <v>0</v>
      </c>
      <c r="N46" s="9">
        <v>0.53615767559021932</v>
      </c>
      <c r="O46" s="9">
        <v>0.14797936233391834</v>
      </c>
      <c r="P46" s="9">
        <v>3.7711737841852977</v>
      </c>
      <c r="Q46" s="9">
        <v>2.2023461927657855</v>
      </c>
      <c r="R46" s="10">
        <v>1.3225170721095674E-4</v>
      </c>
      <c r="S46" s="8">
        <f t="shared" si="2"/>
        <v>0.1361576755902193</v>
      </c>
      <c r="T46" s="8">
        <f t="shared" si="3"/>
        <v>1.2020637666081663E-2</v>
      </c>
      <c r="U46" s="8">
        <f t="shared" si="4"/>
        <v>0.10617378418529766</v>
      </c>
      <c r="V46" s="8">
        <f t="shared" si="5"/>
        <v>0.63134619276578552</v>
      </c>
      <c r="AC46" s="8">
        <v>0.16786506135577928</v>
      </c>
      <c r="AD46" s="8">
        <v>2.495416252049068E-2</v>
      </c>
      <c r="AF46" s="8">
        <f t="shared" si="6"/>
        <v>3.1707385765559981E-2</v>
      </c>
      <c r="AG46" s="8">
        <f t="shared" si="7"/>
        <v>1.2933524854409018E-2</v>
      </c>
    </row>
    <row r="47" spans="1:33" x14ac:dyDescent="0.25">
      <c r="A47" s="9">
        <v>0.3</v>
      </c>
      <c r="B47" s="9">
        <v>0.18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0.52313140591164187</v>
      </c>
      <c r="O47" s="9">
        <v>1.0000055929812473E-2</v>
      </c>
      <c r="P47" s="9">
        <v>4.7903453894568591</v>
      </c>
      <c r="Q47" s="9">
        <v>1.67581226328341</v>
      </c>
      <c r="R47" s="10">
        <v>3.2282287123409593E-3</v>
      </c>
      <c r="S47" s="8">
        <f t="shared" si="2"/>
        <v>0.22313140591164188</v>
      </c>
      <c r="T47" s="8">
        <f t="shared" si="3"/>
        <v>0.16999994407018751</v>
      </c>
      <c r="U47" s="8">
        <f t="shared" si="4"/>
        <v>1.125345389456859</v>
      </c>
      <c r="V47" s="8">
        <f t="shared" si="5"/>
        <v>0.10481226328341009</v>
      </c>
      <c r="AC47" s="8">
        <v>0.22212933910042371</v>
      </c>
      <c r="AD47" s="8">
        <v>0.16999992158049734</v>
      </c>
      <c r="AF47" s="8">
        <f t="shared" si="6"/>
        <v>1.0020668112181719E-3</v>
      </c>
      <c r="AG47" s="8">
        <f t="shared" si="7"/>
        <v>2.248969016571678E-8</v>
      </c>
    </row>
    <row r="48" spans="1:33" x14ac:dyDescent="0.25">
      <c r="A48" s="9">
        <v>0.3</v>
      </c>
      <c r="B48" s="9">
        <v>0.08</v>
      </c>
      <c r="C48" s="9">
        <v>1.571</v>
      </c>
      <c r="D48" s="9">
        <v>0.78500000000000003</v>
      </c>
      <c r="E48" s="9">
        <v>1.4</v>
      </c>
      <c r="F48" s="9">
        <v>0</v>
      </c>
      <c r="G48" s="9">
        <v>0</v>
      </c>
      <c r="N48" s="9">
        <v>0.53496421043320319</v>
      </c>
      <c r="O48" s="9">
        <v>0.12287383186529831</v>
      </c>
      <c r="P48" s="9">
        <v>1.4680224191967366</v>
      </c>
      <c r="Q48" s="9">
        <v>2.6554934383000797</v>
      </c>
      <c r="R48" s="10">
        <v>7.2276057378810735E-6</v>
      </c>
      <c r="S48" s="8">
        <f t="shared" si="2"/>
        <v>0.2349642104332032</v>
      </c>
      <c r="T48" s="8">
        <f t="shared" si="3"/>
        <v>4.2873831865298306E-2</v>
      </c>
      <c r="U48" s="8">
        <f t="shared" si="4"/>
        <v>0.10297758080326336</v>
      </c>
      <c r="V48" s="8">
        <f t="shared" si="5"/>
        <v>1.8704934383000795</v>
      </c>
      <c r="AC48" s="8">
        <v>0.24519075053032385</v>
      </c>
      <c r="AD48" s="8">
        <v>2.4399916411302514E-2</v>
      </c>
      <c r="AF48" s="8">
        <f t="shared" si="6"/>
        <v>1.0226540097120651E-2</v>
      </c>
      <c r="AG48" s="8">
        <f t="shared" si="7"/>
        <v>1.8473915453995793E-2</v>
      </c>
    </row>
    <row r="49" spans="1:33" x14ac:dyDescent="0.25">
      <c r="A49" s="9">
        <v>0.4</v>
      </c>
      <c r="B49" s="9">
        <v>0.14000000000000001</v>
      </c>
      <c r="C49" s="9">
        <v>1.571</v>
      </c>
      <c r="D49" s="9">
        <v>0.78500000000000003</v>
      </c>
      <c r="E49" s="9">
        <v>0</v>
      </c>
      <c r="F49" s="9">
        <v>0</v>
      </c>
      <c r="G49" s="9">
        <v>0</v>
      </c>
      <c r="N49" s="9">
        <v>0.37591475998233853</v>
      </c>
      <c r="O49" s="9">
        <v>8.7465959986108288E-2</v>
      </c>
      <c r="P49" s="9">
        <v>1.3437264934921596</v>
      </c>
      <c r="Q49" s="9">
        <v>1.3521850923799941</v>
      </c>
      <c r="R49" s="10">
        <v>9.6726180742513873E-5</v>
      </c>
      <c r="S49" s="8">
        <f t="shared" si="2"/>
        <v>2.4085240017661491E-2</v>
      </c>
      <c r="T49" s="8">
        <f t="shared" si="3"/>
        <v>5.2534040013891725E-2</v>
      </c>
      <c r="U49" s="8">
        <f t="shared" si="4"/>
        <v>0.22727350650784039</v>
      </c>
      <c r="V49" s="8">
        <f t="shared" si="5"/>
        <v>0.56718509237999404</v>
      </c>
      <c r="AC49" s="8">
        <v>1.1992956879882666E-3</v>
      </c>
      <c r="AD49" s="8">
        <v>5.4046260297190007E-2</v>
      </c>
      <c r="AF49" s="8">
        <f t="shared" si="6"/>
        <v>2.2885944329673225E-2</v>
      </c>
      <c r="AG49" s="8">
        <f t="shared" si="7"/>
        <v>1.5122202832982823E-3</v>
      </c>
    </row>
    <row r="50" spans="1:33" x14ac:dyDescent="0.25">
      <c r="A50" s="9">
        <v>0.6</v>
      </c>
      <c r="B50" s="9">
        <v>0.16</v>
      </c>
      <c r="C50" s="9">
        <v>1.571</v>
      </c>
      <c r="D50" s="9">
        <v>0.78500000000000003</v>
      </c>
      <c r="E50" s="9">
        <v>1.4</v>
      </c>
      <c r="F50" s="9">
        <v>0</v>
      </c>
      <c r="G50" s="9">
        <v>0</v>
      </c>
      <c r="N50" s="9">
        <v>0.66558717637608167</v>
      </c>
      <c r="O50" s="9">
        <v>0.18163780791113329</v>
      </c>
      <c r="P50" s="9">
        <v>2.0614438227084362</v>
      </c>
      <c r="Q50" s="9">
        <v>0.44290803709278653</v>
      </c>
      <c r="R50" s="10">
        <v>6.5249738008881972E-4</v>
      </c>
      <c r="S50" s="8">
        <f t="shared" si="2"/>
        <v>6.5587176376081691E-2</v>
      </c>
      <c r="T50" s="8">
        <f t="shared" si="3"/>
        <v>2.1637807911133289E-2</v>
      </c>
      <c r="U50" s="8">
        <f t="shared" si="4"/>
        <v>0.49044382270843623</v>
      </c>
      <c r="V50" s="8">
        <f t="shared" si="5"/>
        <v>0.3420919629072135</v>
      </c>
      <c r="AC50" s="8">
        <v>5.1548275247115471E-2</v>
      </c>
      <c r="AD50" s="8">
        <v>2.5733287980970021E-2</v>
      </c>
      <c r="AF50" s="8">
        <f t="shared" si="6"/>
        <v>1.4038901128966219E-2</v>
      </c>
      <c r="AG50" s="8">
        <f t="shared" si="7"/>
        <v>4.0954800698367322E-3</v>
      </c>
    </row>
    <row r="51" spans="1:33" x14ac:dyDescent="0.25">
      <c r="A51" s="9">
        <v>0.4</v>
      </c>
      <c r="B51" s="9">
        <v>0.06</v>
      </c>
      <c r="C51" s="9">
        <v>1.571</v>
      </c>
      <c r="D51" s="9">
        <v>1.571</v>
      </c>
      <c r="E51" s="9">
        <v>1.4</v>
      </c>
      <c r="F51" s="9">
        <v>0</v>
      </c>
      <c r="G51" s="9">
        <v>0</v>
      </c>
      <c r="N51" s="9">
        <v>0.42971860028485348</v>
      </c>
      <c r="O51" s="9">
        <v>9.6652205670396937E-2</v>
      </c>
      <c r="P51" s="9">
        <v>1.5927498553356532</v>
      </c>
      <c r="Q51" s="9">
        <v>2.2365895447037127</v>
      </c>
      <c r="R51" s="10">
        <v>1.7619198273902012E-4</v>
      </c>
      <c r="S51" s="8">
        <f t="shared" si="2"/>
        <v>2.9718600284853458E-2</v>
      </c>
      <c r="T51" s="8">
        <f t="shared" si="3"/>
        <v>3.665220567039694E-2</v>
      </c>
      <c r="U51" s="8">
        <f t="shared" si="4"/>
        <v>2.1749855335653212E-2</v>
      </c>
      <c r="V51" s="8">
        <f t="shared" si="5"/>
        <v>0.66558954470371279</v>
      </c>
      <c r="AC51" s="8">
        <v>2.0679285179560747E-2</v>
      </c>
      <c r="AD51" s="8">
        <v>3.6468719127141183E-2</v>
      </c>
      <c r="AF51" s="8">
        <f t="shared" si="6"/>
        <v>9.0393151052927112E-3</v>
      </c>
      <c r="AG51" s="8">
        <f t="shared" si="7"/>
        <v>1.8348654325575642E-4</v>
      </c>
    </row>
    <row r="52" spans="1:33" x14ac:dyDescent="0.25">
      <c r="A52" s="9">
        <v>0.8</v>
      </c>
      <c r="B52" s="9">
        <v>0.08</v>
      </c>
      <c r="C52" s="9">
        <v>1.571</v>
      </c>
      <c r="D52" s="9">
        <v>1.571</v>
      </c>
      <c r="E52" s="9">
        <v>0</v>
      </c>
      <c r="F52" s="9">
        <v>0</v>
      </c>
      <c r="G52" s="9">
        <v>0</v>
      </c>
      <c r="N52" s="9">
        <v>0.91055229059499787</v>
      </c>
      <c r="O52" s="9">
        <v>7.157426732908391E-2</v>
      </c>
      <c r="P52" s="9">
        <v>1.3671347033931904</v>
      </c>
      <c r="Q52" s="9">
        <v>1.4908559066486899</v>
      </c>
      <c r="R52" s="10">
        <v>1.0082740981879684E-3</v>
      </c>
      <c r="S52" s="8">
        <f t="shared" si="2"/>
        <v>0.11055229059499783</v>
      </c>
      <c r="T52" s="8">
        <f t="shared" si="3"/>
        <v>8.4257326709160918E-3</v>
      </c>
      <c r="U52" s="8">
        <f t="shared" si="4"/>
        <v>0.20386529660680952</v>
      </c>
      <c r="V52" s="8">
        <f t="shared" si="5"/>
        <v>8.0144093351310008E-2</v>
      </c>
      <c r="AC52" s="8">
        <v>5.1850935053127434E-2</v>
      </c>
      <c r="AD52" s="8">
        <v>1.1600252683662687E-2</v>
      </c>
      <c r="AF52" s="8">
        <f t="shared" si="6"/>
        <v>5.8701355541870393E-2</v>
      </c>
      <c r="AG52" s="8">
        <f t="shared" si="7"/>
        <v>3.1745200127465956E-3</v>
      </c>
    </row>
    <row r="53" spans="1:33" x14ac:dyDescent="0.25">
      <c r="A53" s="9">
        <v>0.7</v>
      </c>
      <c r="B53" s="9">
        <v>0.16</v>
      </c>
      <c r="C53" s="9">
        <v>1.571</v>
      </c>
      <c r="D53" s="9">
        <v>1.571</v>
      </c>
      <c r="E53" s="9">
        <v>1.4</v>
      </c>
      <c r="F53" s="9">
        <v>0</v>
      </c>
      <c r="G53" s="9">
        <v>0</v>
      </c>
      <c r="N53" s="9">
        <v>0.69877934056819691</v>
      </c>
      <c r="O53" s="9">
        <v>0.12900777244032682</v>
      </c>
      <c r="P53" s="9">
        <v>1.7861088348719572</v>
      </c>
      <c r="Q53" s="9">
        <v>1.2313321422209305</v>
      </c>
      <c r="R53" s="10">
        <v>2.1835787548175104E-3</v>
      </c>
      <c r="S53" s="8">
        <f t="shared" si="2"/>
        <v>1.2206594318030506E-3</v>
      </c>
      <c r="T53" s="8">
        <f t="shared" si="3"/>
        <v>3.099222755967318E-2</v>
      </c>
      <c r="U53" s="8">
        <f t="shared" si="4"/>
        <v>0.2151088348719572</v>
      </c>
      <c r="V53" s="8">
        <f t="shared" si="5"/>
        <v>0.33966785777906949</v>
      </c>
      <c r="AC53" s="8">
        <v>0.14599387377589335</v>
      </c>
      <c r="AD53" s="8">
        <v>9.2779149726559262E-3</v>
      </c>
      <c r="AF53" s="8">
        <f t="shared" si="6"/>
        <v>0.1447732143440903</v>
      </c>
      <c r="AG53" s="8">
        <f t="shared" si="7"/>
        <v>2.1714312587017254E-2</v>
      </c>
    </row>
    <row r="54" spans="1:33" x14ac:dyDescent="0.25">
      <c r="A54" s="9">
        <v>0.7</v>
      </c>
      <c r="B54" s="9">
        <v>0.2</v>
      </c>
      <c r="C54" s="9">
        <v>1.571</v>
      </c>
      <c r="D54" s="9">
        <v>1.571</v>
      </c>
      <c r="E54" s="9">
        <v>0</v>
      </c>
      <c r="F54" s="9">
        <v>0</v>
      </c>
      <c r="G54" s="9">
        <v>0</v>
      </c>
      <c r="N54" s="9">
        <v>0.73198120108906872</v>
      </c>
      <c r="O54" s="9">
        <v>0.19971802849063164</v>
      </c>
      <c r="P54" s="9">
        <v>1.4296098274827214</v>
      </c>
      <c r="Q54" s="9">
        <v>1.8542285533692922</v>
      </c>
      <c r="R54" s="10">
        <v>7.0988647020004964E-4</v>
      </c>
      <c r="S54" s="8">
        <f t="shared" si="2"/>
        <v>3.1981201089068767E-2</v>
      </c>
      <c r="T54" s="8">
        <f t="shared" si="3"/>
        <v>2.8197150936837279E-4</v>
      </c>
      <c r="U54" s="8">
        <f t="shared" si="4"/>
        <v>0.14139017251727859</v>
      </c>
      <c r="V54" s="8">
        <f t="shared" si="5"/>
        <v>0.2832285533692922</v>
      </c>
      <c r="AC54" s="8">
        <v>2.9773457735682851E-2</v>
      </c>
      <c r="AD54" s="8">
        <v>7.3496473592266076E-4</v>
      </c>
      <c r="AF54" s="8">
        <f t="shared" si="6"/>
        <v>2.2077433533859159E-3</v>
      </c>
      <c r="AG54" s="8">
        <f t="shared" si="7"/>
        <v>4.5299322655428798E-4</v>
      </c>
    </row>
    <row r="55" spans="1:33" x14ac:dyDescent="0.25">
      <c r="A55" s="9">
        <v>0.7</v>
      </c>
      <c r="B55" s="9">
        <v>0.06</v>
      </c>
      <c r="C55" s="9">
        <v>3.665</v>
      </c>
      <c r="D55" s="9">
        <v>0.78500000000000003</v>
      </c>
      <c r="E55" s="9">
        <v>0</v>
      </c>
      <c r="F55" s="9">
        <v>0</v>
      </c>
      <c r="G55" s="9">
        <v>0</v>
      </c>
      <c r="N55" s="9">
        <v>0.99999999959482599</v>
      </c>
      <c r="O55" s="9">
        <v>5.987671234779042E-2</v>
      </c>
      <c r="P55" s="9">
        <v>3.9617243435382474</v>
      </c>
      <c r="Q55" s="9">
        <v>0.59522255636663668</v>
      </c>
      <c r="R55" s="10">
        <v>1.1857339039965257E-2</v>
      </c>
      <c r="S55" s="8">
        <f t="shared" si="2"/>
        <v>0.29999999959482604</v>
      </c>
      <c r="T55" s="8">
        <f t="shared" si="3"/>
        <v>1.2328765220957771E-4</v>
      </c>
      <c r="U55" s="8">
        <f t="shared" si="4"/>
        <v>0.29672434353824739</v>
      </c>
      <c r="V55" s="8">
        <f t="shared" si="5"/>
        <v>0.18977744363336335</v>
      </c>
      <c r="AC55" s="8">
        <v>0.29997464961012776</v>
      </c>
      <c r="AD55" s="8">
        <v>1.1156707650387232E-2</v>
      </c>
      <c r="AF55" s="8">
        <f t="shared" si="6"/>
        <v>2.5349984698275208E-5</v>
      </c>
      <c r="AG55" s="8">
        <f t="shared" si="7"/>
        <v>1.1033419998177654E-2</v>
      </c>
    </row>
    <row r="56" spans="1:33" x14ac:dyDescent="0.25">
      <c r="A56" s="9">
        <v>0.6</v>
      </c>
      <c r="B56" s="9">
        <v>0.1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0.61927647447972722</v>
      </c>
      <c r="O56" s="9">
        <v>7.6343375853603554E-2</v>
      </c>
      <c r="P56" s="9">
        <v>3.5399005420601104</v>
      </c>
      <c r="Q56" s="9">
        <v>0.99651461960901999</v>
      </c>
      <c r="R56" s="10">
        <v>5.0338036981609398E-4</v>
      </c>
      <c r="S56" s="8">
        <f t="shared" si="2"/>
        <v>1.9276474479727246E-2</v>
      </c>
      <c r="T56" s="8">
        <f t="shared" si="3"/>
        <v>2.3656624146396452E-2</v>
      </c>
      <c r="U56" s="8">
        <f t="shared" si="4"/>
        <v>0.12509945793988964</v>
      </c>
      <c r="V56" s="8">
        <f t="shared" si="5"/>
        <v>0.21151461960901996</v>
      </c>
      <c r="AC56" s="8">
        <v>1.0057088733336106E-2</v>
      </c>
      <c r="AD56" s="8">
        <v>2.4934288820145895E-2</v>
      </c>
      <c r="AF56" s="8">
        <f t="shared" si="6"/>
        <v>9.2193857463911399E-3</v>
      </c>
      <c r="AG56" s="8">
        <f t="shared" si="7"/>
        <v>1.2776646737494429E-3</v>
      </c>
    </row>
    <row r="57" spans="1:33" x14ac:dyDescent="0.25">
      <c r="A57" s="9">
        <v>0.8</v>
      </c>
      <c r="B57" s="9">
        <v>0.18</v>
      </c>
      <c r="C57" s="9">
        <v>3.665</v>
      </c>
      <c r="D57" s="9">
        <v>0.78500000000000003</v>
      </c>
      <c r="E57" s="9">
        <v>1.4</v>
      </c>
      <c r="F57" s="9">
        <v>0</v>
      </c>
      <c r="G57" s="9">
        <v>0</v>
      </c>
      <c r="N57" s="9">
        <v>0.57504013353246286</v>
      </c>
      <c r="O57" s="9">
        <v>0.1999830786266151</v>
      </c>
      <c r="P57" s="9">
        <v>3.5107243539042803</v>
      </c>
      <c r="Q57" s="9">
        <v>1.1659630182869913</v>
      </c>
      <c r="R57" s="10">
        <v>7.1970931310048859E-4</v>
      </c>
      <c r="S57" s="8">
        <f t="shared" si="2"/>
        <v>0.22495986646753718</v>
      </c>
      <c r="T57" s="8">
        <f t="shared" si="3"/>
        <v>1.9983078626615108E-2</v>
      </c>
      <c r="U57" s="8">
        <f t="shared" si="4"/>
        <v>0.15427564609571975</v>
      </c>
      <c r="V57" s="8">
        <f t="shared" si="5"/>
        <v>0.38096301828699131</v>
      </c>
      <c r="AC57" s="8">
        <v>0.10005456621198738</v>
      </c>
      <c r="AD57" s="8">
        <v>1.1078506158412438E-2</v>
      </c>
      <c r="AF57" s="8">
        <f t="shared" si="6"/>
        <v>0.1249053002555498</v>
      </c>
      <c r="AG57" s="8">
        <f t="shared" si="7"/>
        <v>8.9045724682026706E-3</v>
      </c>
    </row>
    <row r="58" spans="1:33" x14ac:dyDescent="0.25">
      <c r="A58" s="9">
        <v>0.4</v>
      </c>
      <c r="B58" s="9">
        <v>0.2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0.57218220515427087</v>
      </c>
      <c r="O58" s="9">
        <v>5.1161423158969939E-2</v>
      </c>
      <c r="P58" s="9">
        <v>3.5269102891173842</v>
      </c>
      <c r="Q58" s="9">
        <v>0.97152712202954294</v>
      </c>
      <c r="R58" s="10">
        <v>2.196732494984547E-4</v>
      </c>
      <c r="S58" s="8">
        <f t="shared" si="2"/>
        <v>0.17218220515427085</v>
      </c>
      <c r="T58" s="8">
        <f t="shared" si="3"/>
        <v>0.14883857684103008</v>
      </c>
      <c r="U58" s="8">
        <f t="shared" si="4"/>
        <v>0.13808971088261579</v>
      </c>
      <c r="V58" s="8">
        <f t="shared" si="5"/>
        <v>0.18652712202954291</v>
      </c>
      <c r="AC58" s="8">
        <v>0.16530810673208629</v>
      </c>
      <c r="AD58" s="8">
        <v>0.14223810696126987</v>
      </c>
      <c r="AF58" s="8">
        <f t="shared" si="6"/>
        <v>6.8740984221845602E-3</v>
      </c>
      <c r="AG58" s="8">
        <f t="shared" si="7"/>
        <v>6.6004698797602068E-3</v>
      </c>
    </row>
    <row r="59" spans="1:33" x14ac:dyDescent="0.25">
      <c r="A59" s="9">
        <v>0.4</v>
      </c>
      <c r="B59" s="9">
        <v>0.1</v>
      </c>
      <c r="C59" s="9">
        <v>3.665</v>
      </c>
      <c r="D59" s="9">
        <v>1.571</v>
      </c>
      <c r="E59" s="9">
        <v>1.4</v>
      </c>
      <c r="F59" s="9">
        <v>0</v>
      </c>
      <c r="G59" s="9">
        <v>0</v>
      </c>
      <c r="N59" s="9">
        <v>0.60770375621226203</v>
      </c>
      <c r="O59" s="9">
        <v>0.19997969556590611</v>
      </c>
      <c r="P59" s="9">
        <v>3.8610627875242569</v>
      </c>
      <c r="Q59" s="9">
        <v>0.36148299143199891</v>
      </c>
      <c r="R59" s="10">
        <v>9.0097329445951385E-4</v>
      </c>
      <c r="S59" s="8">
        <f t="shared" si="2"/>
        <v>0.207703756212262</v>
      </c>
      <c r="T59" s="8">
        <f t="shared" si="3"/>
        <v>9.9979695565906107E-2</v>
      </c>
      <c r="U59" s="8">
        <f t="shared" si="4"/>
        <v>0.19606278752425688</v>
      </c>
      <c r="V59" s="8">
        <f t="shared" si="5"/>
        <v>1.2095170085680009</v>
      </c>
      <c r="AC59" s="8">
        <v>0.16234844755499089</v>
      </c>
      <c r="AD59" s="8">
        <v>9.9983394741499226E-2</v>
      </c>
      <c r="AF59" s="8">
        <f t="shared" si="6"/>
        <v>4.5355308657271109E-2</v>
      </c>
      <c r="AG59" s="8">
        <f t="shared" si="7"/>
        <v>3.6991755931192749E-6</v>
      </c>
    </row>
    <row r="60" spans="1:33" x14ac:dyDescent="0.25">
      <c r="A60" s="9">
        <v>0.7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0.90234689074491259</v>
      </c>
      <c r="O60" s="9">
        <v>8.0734947919110317E-2</v>
      </c>
      <c r="P60" s="9">
        <v>3.8857747331372918</v>
      </c>
      <c r="Q60" s="9">
        <v>1.5594674135031064</v>
      </c>
      <c r="R60" s="10">
        <v>1.1540925220154905E-3</v>
      </c>
      <c r="S60" s="8">
        <f t="shared" si="2"/>
        <v>0.20234689074491263</v>
      </c>
      <c r="T60" s="8">
        <f t="shared" si="3"/>
        <v>1.9265052080889689E-2</v>
      </c>
      <c r="U60" s="8">
        <f t="shared" si="4"/>
        <v>0.22077473313729179</v>
      </c>
      <c r="V60" s="8">
        <f t="shared" si="5"/>
        <v>1.1532586496893593E-2</v>
      </c>
      <c r="AC60" s="8">
        <v>0.16604052721972051</v>
      </c>
      <c r="AD60" s="8">
        <v>2.0695872936230125E-2</v>
      </c>
      <c r="AF60" s="8">
        <f t="shared" si="6"/>
        <v>3.630636352519212E-2</v>
      </c>
      <c r="AG60" s="8">
        <f t="shared" si="7"/>
        <v>1.4308208553404367E-3</v>
      </c>
    </row>
    <row r="61" spans="1:33" x14ac:dyDescent="0.25">
      <c r="A61" s="9">
        <v>0.4</v>
      </c>
      <c r="B61" s="9">
        <v>0.16</v>
      </c>
      <c r="C61" s="9">
        <v>3.665</v>
      </c>
      <c r="D61" s="9">
        <v>1.571</v>
      </c>
      <c r="E61" s="9">
        <v>0</v>
      </c>
      <c r="F61" s="9">
        <v>0</v>
      </c>
      <c r="G61" s="9">
        <v>0</v>
      </c>
      <c r="N61" s="9">
        <v>0.47467435768372185</v>
      </c>
      <c r="O61" s="9">
        <v>0.15080320915641937</v>
      </c>
      <c r="P61" s="9">
        <v>3.8956451710921582</v>
      </c>
      <c r="Q61" s="9">
        <v>2.0612706906969365</v>
      </c>
      <c r="R61" s="10">
        <v>3.658331972721798E-4</v>
      </c>
      <c r="S61" s="8">
        <f t="shared" si="2"/>
        <v>7.4674357683721826E-2</v>
      </c>
      <c r="T61" s="8">
        <f t="shared" si="3"/>
        <v>9.1967908435806323E-3</v>
      </c>
      <c r="U61" s="8">
        <f t="shared" si="4"/>
        <v>0.23064517109215821</v>
      </c>
      <c r="V61" s="8">
        <f t="shared" si="5"/>
        <v>0.49027069069693652</v>
      </c>
      <c r="AC61" s="8">
        <v>9.4396022358495812E-2</v>
      </c>
      <c r="AD61" s="8">
        <v>2.176328537477587E-2</v>
      </c>
      <c r="AF61" s="8">
        <f t="shared" si="6"/>
        <v>1.9721664674773987E-2</v>
      </c>
      <c r="AG61" s="8">
        <f t="shared" si="7"/>
        <v>1.2566494531195238E-2</v>
      </c>
    </row>
    <row r="62" spans="1:33" x14ac:dyDescent="0.25">
      <c r="A62" s="9">
        <v>0.3</v>
      </c>
      <c r="B62" s="9">
        <v>0.18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0.33111105767310062</v>
      </c>
      <c r="O62" s="9">
        <v>0.11374133614209161</v>
      </c>
      <c r="P62" s="9">
        <v>3.211875554075895</v>
      </c>
      <c r="Q62" s="9">
        <v>1.159180834481691</v>
      </c>
      <c r="R62" s="10">
        <v>5.6416702006880119E-4</v>
      </c>
      <c r="S62" s="8">
        <f t="shared" si="2"/>
        <v>3.1111057673100628E-2</v>
      </c>
      <c r="T62" s="8">
        <f t="shared" si="3"/>
        <v>6.6258663857908379E-2</v>
      </c>
      <c r="U62" s="8">
        <f t="shared" si="4"/>
        <v>0.45312444592410506</v>
      </c>
      <c r="V62" s="8">
        <f t="shared" si="5"/>
        <v>0.41181916551830899</v>
      </c>
      <c r="AC62" s="8">
        <v>1.2533657959779898E-2</v>
      </c>
      <c r="AD62" s="8">
        <v>5.7167961979574855E-2</v>
      </c>
      <c r="AF62" s="8">
        <f t="shared" si="6"/>
        <v>1.857739971332073E-2</v>
      </c>
      <c r="AG62" s="8">
        <f t="shared" si="7"/>
        <v>9.0907018783335236E-3</v>
      </c>
    </row>
    <row r="63" spans="1:33" x14ac:dyDescent="0.25">
      <c r="A63" s="9">
        <v>0.3</v>
      </c>
      <c r="B63" s="9">
        <v>0.08</v>
      </c>
      <c r="C63" s="9">
        <v>1.571</v>
      </c>
      <c r="D63" s="9">
        <v>0.78500000000000003</v>
      </c>
      <c r="E63" s="9">
        <v>1.4</v>
      </c>
      <c r="F63" s="9">
        <v>0</v>
      </c>
      <c r="G63" s="9">
        <v>0</v>
      </c>
      <c r="N63" s="9">
        <v>0.32862695147169363</v>
      </c>
      <c r="O63" s="9">
        <v>2.3846694575661433E-2</v>
      </c>
      <c r="P63" s="9">
        <v>1.8210825396618999</v>
      </c>
      <c r="Q63" s="9">
        <v>2.2901836745814648</v>
      </c>
      <c r="R63" s="10">
        <v>1.0949716155360014E-4</v>
      </c>
      <c r="S63" s="8">
        <f t="shared" si="2"/>
        <v>2.862695147169364E-2</v>
      </c>
      <c r="T63" s="8">
        <f t="shared" si="3"/>
        <v>5.6153305424338565E-2</v>
      </c>
      <c r="U63" s="8">
        <f t="shared" si="4"/>
        <v>0.25008253966189997</v>
      </c>
      <c r="V63" s="8">
        <f t="shared" si="5"/>
        <v>1.5051836745814646</v>
      </c>
      <c r="AC63" s="8">
        <v>4.2304185881621603E-2</v>
      </c>
      <c r="AD63" s="8">
        <v>4.625833478926096E-2</v>
      </c>
      <c r="AF63" s="8">
        <f t="shared" si="6"/>
        <v>1.3677234409927963E-2</v>
      </c>
      <c r="AG63" s="8">
        <f t="shared" si="7"/>
        <v>9.8949706350776045E-3</v>
      </c>
    </row>
    <row r="64" spans="1:33" x14ac:dyDescent="0.25">
      <c r="A64" s="9">
        <v>0.4</v>
      </c>
      <c r="B64" s="9">
        <v>0.14000000000000001</v>
      </c>
      <c r="C64" s="9">
        <v>1.571</v>
      </c>
      <c r="D64" s="9">
        <v>0.78500000000000003</v>
      </c>
      <c r="E64" s="9">
        <v>0</v>
      </c>
      <c r="F64" s="9">
        <v>0</v>
      </c>
      <c r="G64" s="9">
        <v>0</v>
      </c>
      <c r="N64" s="9">
        <v>0.37099321814544589</v>
      </c>
      <c r="O64" s="9">
        <v>0.1999780382346715</v>
      </c>
      <c r="P64" s="9">
        <v>0.92049824007410808</v>
      </c>
      <c r="Q64" s="9">
        <v>0.36198039694522038</v>
      </c>
      <c r="R64" s="10">
        <v>1.0947351530749795E-3</v>
      </c>
      <c r="S64" s="8">
        <f t="shared" si="2"/>
        <v>2.9006781854554131E-2</v>
      </c>
      <c r="T64" s="8">
        <f t="shared" si="3"/>
        <v>5.9978038234671488E-2</v>
      </c>
      <c r="U64" s="8">
        <f t="shared" si="4"/>
        <v>0.65050175992589188</v>
      </c>
      <c r="V64" s="8">
        <f t="shared" si="5"/>
        <v>0.42301960305477965</v>
      </c>
      <c r="AC64" s="8">
        <v>5.2488700139208255E-2</v>
      </c>
      <c r="AD64" s="8">
        <v>5.9962870244864241E-2</v>
      </c>
      <c r="AF64" s="8">
        <f t="shared" si="6"/>
        <v>2.3481918284654124E-2</v>
      </c>
      <c r="AG64" s="8">
        <f t="shared" si="7"/>
        <v>1.516798980724654E-5</v>
      </c>
    </row>
    <row r="65" spans="1:33" x14ac:dyDescent="0.25">
      <c r="A65" s="9">
        <v>0.6</v>
      </c>
      <c r="B65" s="9">
        <v>0.16</v>
      </c>
      <c r="C65" s="9">
        <v>1.571</v>
      </c>
      <c r="D65" s="9">
        <v>0.78500000000000003</v>
      </c>
      <c r="E65" s="9">
        <v>1.4</v>
      </c>
      <c r="F65" s="9">
        <v>0</v>
      </c>
      <c r="G65" s="9">
        <v>0</v>
      </c>
      <c r="N65" s="9">
        <v>0.78398255302022846</v>
      </c>
      <c r="O65" s="9">
        <v>0.16188202697031978</v>
      </c>
      <c r="P65" s="9">
        <v>2.1614408956385343</v>
      </c>
      <c r="Q65" s="9">
        <v>0.4914630248099911</v>
      </c>
      <c r="R65" s="10">
        <v>2.1048525421314846E-3</v>
      </c>
      <c r="S65" s="8">
        <f t="shared" si="2"/>
        <v>0.18398255302022848</v>
      </c>
      <c r="T65" s="8">
        <f t="shared" si="3"/>
        <v>1.8820269703197778E-3</v>
      </c>
      <c r="U65" s="8">
        <f t="shared" si="4"/>
        <v>0.5904408956385343</v>
      </c>
      <c r="V65" s="8">
        <f t="shared" si="5"/>
        <v>0.29353697519000893</v>
      </c>
      <c r="AC65" s="8">
        <v>6.3228227470749299E-2</v>
      </c>
      <c r="AD65" s="8">
        <v>7.0015638981770767E-3</v>
      </c>
      <c r="AF65" s="8">
        <f t="shared" si="6"/>
        <v>0.12075432554947918</v>
      </c>
      <c r="AG65" s="8">
        <f t="shared" si="7"/>
        <v>5.1195369278572989E-3</v>
      </c>
    </row>
    <row r="66" spans="1:33" x14ac:dyDescent="0.25">
      <c r="A66" s="9">
        <v>0.4</v>
      </c>
      <c r="B66" s="9">
        <v>0.06</v>
      </c>
      <c r="C66" s="9">
        <v>1.571</v>
      </c>
      <c r="D66" s="9">
        <v>1.571</v>
      </c>
      <c r="E66" s="9">
        <v>1.4</v>
      </c>
      <c r="F66" s="9">
        <v>0</v>
      </c>
      <c r="G66" s="9">
        <v>0</v>
      </c>
      <c r="N66" s="9">
        <v>0.60112827700116023</v>
      </c>
      <c r="O66" s="9">
        <v>2.5130417728047205E-2</v>
      </c>
      <c r="P66" s="9">
        <v>1.5270583337717798</v>
      </c>
      <c r="Q66" s="9">
        <v>1.8363285144322778</v>
      </c>
      <c r="R66" s="10">
        <v>1.0166192491529857E-4</v>
      </c>
      <c r="S66" s="8">
        <f t="shared" si="2"/>
        <v>0.20112827700116021</v>
      </c>
      <c r="T66" s="8">
        <f t="shared" si="3"/>
        <v>3.486958227195279E-2</v>
      </c>
      <c r="U66" s="8">
        <f t="shared" si="4"/>
        <v>4.3941666228220155E-2</v>
      </c>
      <c r="V66" s="8">
        <f t="shared" si="5"/>
        <v>0.2653285144322779</v>
      </c>
      <c r="AC66" s="8">
        <v>0.13161773487439832</v>
      </c>
      <c r="AD66" s="8">
        <v>3.9861448342750461E-2</v>
      </c>
      <c r="AF66" s="8">
        <f t="shared" si="6"/>
        <v>6.9510542126761887E-2</v>
      </c>
      <c r="AG66" s="8">
        <f t="shared" si="7"/>
        <v>4.9918660707976709E-3</v>
      </c>
    </row>
    <row r="67" spans="1:33" x14ac:dyDescent="0.25">
      <c r="A67" s="9">
        <v>0.8</v>
      </c>
      <c r="B67" s="9">
        <v>0.08</v>
      </c>
      <c r="C67" s="9">
        <v>1.571</v>
      </c>
      <c r="D67" s="9">
        <v>1.571</v>
      </c>
      <c r="E67" s="9">
        <v>0</v>
      </c>
      <c r="F67" s="9">
        <v>0</v>
      </c>
      <c r="G67" s="9">
        <v>0</v>
      </c>
      <c r="N67" s="9">
        <v>0.86982028752393914</v>
      </c>
      <c r="O67" s="9">
        <v>7.4731859316442578E-2</v>
      </c>
      <c r="P67" s="9">
        <v>1.3934460425051149</v>
      </c>
      <c r="Q67" s="9">
        <v>1.5312972038736616</v>
      </c>
      <c r="R67" s="10">
        <v>9.6950623780373132E-4</v>
      </c>
      <c r="S67" s="8">
        <f t="shared" si="2"/>
        <v>6.9820287523939095E-2</v>
      </c>
      <c r="T67" s="8">
        <f t="shared" si="3"/>
        <v>5.2681406835574235E-3</v>
      </c>
      <c r="U67" s="8">
        <f t="shared" si="4"/>
        <v>0.17755395749488501</v>
      </c>
      <c r="V67" s="8">
        <f t="shared" si="5"/>
        <v>3.9702796126338313E-2</v>
      </c>
      <c r="AC67" s="8">
        <v>9.1308447261614689E-2</v>
      </c>
      <c r="AD67" s="8">
        <v>7.1469132201581187E-3</v>
      </c>
      <c r="AF67" s="8">
        <f t="shared" si="6"/>
        <v>2.1488159737675594E-2</v>
      </c>
      <c r="AG67" s="8">
        <f t="shared" si="7"/>
        <v>1.8787725366006952E-3</v>
      </c>
    </row>
    <row r="68" spans="1:33" x14ac:dyDescent="0.25">
      <c r="A68" s="9">
        <v>0.7</v>
      </c>
      <c r="B68" s="9">
        <v>0.16</v>
      </c>
      <c r="C68" s="9">
        <v>1.571</v>
      </c>
      <c r="D68" s="9">
        <v>1.571</v>
      </c>
      <c r="E68" s="9">
        <v>1.4</v>
      </c>
      <c r="F68" s="9">
        <v>0</v>
      </c>
      <c r="G68" s="9">
        <v>0</v>
      </c>
      <c r="N68" s="9">
        <v>0.82047507169018075</v>
      </c>
      <c r="O68" s="9">
        <v>0.19957289888972277</v>
      </c>
      <c r="P68" s="9">
        <v>1.573835851638558</v>
      </c>
      <c r="Q68" s="9">
        <v>1.8483884733540505</v>
      </c>
      <c r="R68" s="10">
        <v>2.312628863656166E-4</v>
      </c>
      <c r="S68" s="8">
        <f t="shared" ref="S68:S131" si="10">ABS(N68-A68)</f>
        <v>0.12047507169018079</v>
      </c>
      <c r="T68" s="8">
        <f t="shared" ref="T68:T131" si="11">ABS(O68-B68)</f>
        <v>3.9572898889722763E-2</v>
      </c>
      <c r="U68" s="8">
        <f t="shared" ref="U68:U131" si="12">ABS(P68-C68)</f>
        <v>2.8358516385580401E-3</v>
      </c>
      <c r="V68" s="8">
        <f t="shared" ref="V68:V131" si="13">ABS(Q68-D68)</f>
        <v>0.27738847335405059</v>
      </c>
      <c r="AC68" s="8">
        <v>0.18428786947925513</v>
      </c>
      <c r="AD68" s="8">
        <v>1.7959638727996829E-2</v>
      </c>
      <c r="AF68" s="8">
        <f t="shared" ref="AF68:AF131" si="14">ABS(AC68-S68)</f>
        <v>6.3812797789074338E-2</v>
      </c>
      <c r="AG68" s="8">
        <f t="shared" ref="AG68:AG131" si="15">ABS(AD68-T68)</f>
        <v>2.1613260161725933E-2</v>
      </c>
    </row>
    <row r="69" spans="1:33" x14ac:dyDescent="0.25">
      <c r="A69" s="9">
        <v>0.7</v>
      </c>
      <c r="B69" s="9">
        <v>0.2</v>
      </c>
      <c r="C69" s="9">
        <v>1.571</v>
      </c>
      <c r="D69" s="9">
        <v>1.571</v>
      </c>
      <c r="E69" s="9">
        <v>0</v>
      </c>
      <c r="F69" s="9">
        <v>0</v>
      </c>
      <c r="G69" s="9">
        <v>0</v>
      </c>
      <c r="N69" s="9">
        <v>0.74784067205756499</v>
      </c>
      <c r="O69" s="9">
        <v>0.1999969777957715</v>
      </c>
      <c r="P69" s="9">
        <v>1.4587063156665472</v>
      </c>
      <c r="Q69" s="9">
        <v>1.9317102949820528</v>
      </c>
      <c r="R69" s="10">
        <v>1.0131622592048934E-3</v>
      </c>
      <c r="S69" s="8">
        <f t="shared" si="10"/>
        <v>4.7840672057565037E-2</v>
      </c>
      <c r="T69" s="8">
        <f t="shared" si="11"/>
        <v>3.0222042285144024E-6</v>
      </c>
      <c r="U69" s="8">
        <f t="shared" si="12"/>
        <v>0.11229368433345277</v>
      </c>
      <c r="V69" s="8">
        <f t="shared" si="13"/>
        <v>0.36071029498205287</v>
      </c>
      <c r="AC69" s="8">
        <v>4.1194870554602803E-3</v>
      </c>
      <c r="AD69" s="8">
        <v>4.7457556495711373E-9</v>
      </c>
      <c r="AF69" s="8">
        <f t="shared" si="14"/>
        <v>4.3721185002104757E-2</v>
      </c>
      <c r="AG69" s="8">
        <f t="shared" si="15"/>
        <v>3.0174584728648313E-6</v>
      </c>
    </row>
    <row r="70" spans="1:33" x14ac:dyDescent="0.25">
      <c r="A70" s="9">
        <v>0.7</v>
      </c>
      <c r="B70" s="9">
        <v>0.06</v>
      </c>
      <c r="C70" s="9">
        <v>3.665</v>
      </c>
      <c r="D70" s="9">
        <v>0.78500000000000003</v>
      </c>
      <c r="E70" s="9">
        <v>0</v>
      </c>
      <c r="F70" s="9">
        <v>0</v>
      </c>
      <c r="G70" s="9">
        <v>0</v>
      </c>
      <c r="N70" s="9">
        <v>0.99999999747486634</v>
      </c>
      <c r="O70" s="9">
        <v>5.4311439872148946E-2</v>
      </c>
      <c r="P70" s="9">
        <v>3.3886395443807711</v>
      </c>
      <c r="Q70" s="9">
        <v>0.58912242694295969</v>
      </c>
      <c r="R70" s="10">
        <v>5.2548600967077447E-2</v>
      </c>
      <c r="S70" s="8">
        <f t="shared" si="10"/>
        <v>0.29999999747486639</v>
      </c>
      <c r="T70" s="8">
        <f t="shared" si="11"/>
        <v>5.6885601278510514E-3</v>
      </c>
      <c r="U70" s="8">
        <f t="shared" si="12"/>
        <v>0.27636045561922895</v>
      </c>
      <c r="V70" s="8">
        <f t="shared" si="13"/>
        <v>0.19587757305704034</v>
      </c>
      <c r="AC70" s="8">
        <v>0.2999999996935474</v>
      </c>
      <c r="AD70" s="8">
        <v>1.5059731400766864E-2</v>
      </c>
      <c r="AF70" s="8">
        <f t="shared" si="14"/>
        <v>2.218681016685764E-9</v>
      </c>
      <c r="AG70" s="8">
        <f t="shared" si="15"/>
        <v>9.3711712729158125E-3</v>
      </c>
    </row>
    <row r="71" spans="1:33" x14ac:dyDescent="0.25">
      <c r="A71" s="9">
        <v>0.6</v>
      </c>
      <c r="B71" s="9">
        <v>0.1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0.52999764241181924</v>
      </c>
      <c r="O71" s="9">
        <v>9.7146191473168497E-2</v>
      </c>
      <c r="P71" s="9">
        <v>3.4980984952244021</v>
      </c>
      <c r="Q71" s="9">
        <v>0.96148060123433576</v>
      </c>
      <c r="R71" s="10">
        <v>1.3895035942744391E-4</v>
      </c>
      <c r="S71" s="8">
        <f t="shared" si="10"/>
        <v>7.0002357588180741E-2</v>
      </c>
      <c r="T71" s="8">
        <f t="shared" si="11"/>
        <v>2.8538085268315083E-3</v>
      </c>
      <c r="U71" s="8">
        <f t="shared" si="12"/>
        <v>0.16690150477559795</v>
      </c>
      <c r="V71" s="8">
        <f t="shared" si="13"/>
        <v>0.17648060123433573</v>
      </c>
      <c r="AC71" s="8">
        <v>7.8872635926131474E-2</v>
      </c>
      <c r="AD71" s="8">
        <v>5.7234124499848105E-3</v>
      </c>
      <c r="AF71" s="8">
        <f t="shared" si="14"/>
        <v>8.8702783379507322E-3</v>
      </c>
      <c r="AG71" s="8">
        <f t="shared" si="15"/>
        <v>2.8696039231533021E-3</v>
      </c>
    </row>
    <row r="72" spans="1:33" x14ac:dyDescent="0.25">
      <c r="A72" s="9">
        <v>0.8</v>
      </c>
      <c r="B72" s="9">
        <v>0.18</v>
      </c>
      <c r="C72" s="9">
        <v>3.665</v>
      </c>
      <c r="D72" s="9">
        <v>0.78500000000000003</v>
      </c>
      <c r="E72" s="9">
        <v>1.4</v>
      </c>
      <c r="F72" s="9">
        <v>0</v>
      </c>
      <c r="G72" s="9">
        <v>0</v>
      </c>
      <c r="N72" s="9">
        <v>0.81314995457803441</v>
      </c>
      <c r="O72" s="9">
        <v>0.19999999208659247</v>
      </c>
      <c r="P72" s="9">
        <v>3.988691364228238</v>
      </c>
      <c r="Q72" s="9">
        <v>0.43069824370788817</v>
      </c>
      <c r="R72" s="10">
        <v>5.7646863637054006E-3</v>
      </c>
      <c r="S72" s="8">
        <f t="shared" si="10"/>
        <v>1.3149954578034362E-2</v>
      </c>
      <c r="T72" s="8">
        <f t="shared" si="11"/>
        <v>1.9999992086592477E-2</v>
      </c>
      <c r="U72" s="8">
        <f t="shared" si="12"/>
        <v>0.32369136422823797</v>
      </c>
      <c r="V72" s="8">
        <f t="shared" si="13"/>
        <v>0.35430175629211186</v>
      </c>
      <c r="AC72" s="8">
        <v>1.0894708322366831E-2</v>
      </c>
      <c r="AD72" s="8">
        <v>1.4526834213572537E-2</v>
      </c>
      <c r="AF72" s="8">
        <f t="shared" si="14"/>
        <v>2.2552462556675312E-3</v>
      </c>
      <c r="AG72" s="8">
        <f t="shared" si="15"/>
        <v>5.4731578730199404E-3</v>
      </c>
    </row>
    <row r="73" spans="1:33" x14ac:dyDescent="0.25">
      <c r="A73" s="9">
        <v>0.4</v>
      </c>
      <c r="B73" s="9">
        <v>0.2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0.4370945702236721</v>
      </c>
      <c r="O73" s="9">
        <v>0.14791399878134195</v>
      </c>
      <c r="P73" s="9">
        <v>3.5687332908857656</v>
      </c>
      <c r="Q73" s="9">
        <v>0.79252842175450045</v>
      </c>
      <c r="R73" s="10">
        <v>3.8351461889477527E-4</v>
      </c>
      <c r="S73" s="8">
        <f t="shared" si="10"/>
        <v>3.7094570223672074E-2</v>
      </c>
      <c r="T73" s="8">
        <f t="shared" si="11"/>
        <v>5.2086001218658057E-2</v>
      </c>
      <c r="U73" s="8">
        <f t="shared" si="12"/>
        <v>9.6266709114234406E-2</v>
      </c>
      <c r="V73" s="8">
        <f t="shared" si="13"/>
        <v>7.528421754500414E-3</v>
      </c>
      <c r="AC73" s="8">
        <v>2.2433986466373124E-2</v>
      </c>
      <c r="AD73" s="8">
        <v>4.410081623280207E-2</v>
      </c>
      <c r="AF73" s="8">
        <f t="shared" si="14"/>
        <v>1.4660583757298951E-2</v>
      </c>
      <c r="AG73" s="8">
        <f t="shared" si="15"/>
        <v>7.9851849858559865E-3</v>
      </c>
    </row>
    <row r="74" spans="1:33" x14ac:dyDescent="0.25">
      <c r="A74" s="9">
        <v>0.4</v>
      </c>
      <c r="B74" s="9">
        <v>0.1</v>
      </c>
      <c r="C74" s="9">
        <v>3.665</v>
      </c>
      <c r="D74" s="9">
        <v>1.571</v>
      </c>
      <c r="E74" s="9">
        <v>1.4</v>
      </c>
      <c r="F74" s="9">
        <v>0</v>
      </c>
      <c r="G74" s="9">
        <v>0</v>
      </c>
      <c r="N74" s="9">
        <v>0.61945879231506662</v>
      </c>
      <c r="O74" s="9">
        <v>0.16386908987826238</v>
      </c>
      <c r="P74" s="9">
        <v>2.9567722808506938</v>
      </c>
      <c r="Q74" s="9">
        <v>2.580636346922951</v>
      </c>
      <c r="R74" s="10">
        <v>2.2916639510494915E-3</v>
      </c>
      <c r="S74" s="8">
        <f t="shared" si="10"/>
        <v>0.2194587923150666</v>
      </c>
      <c r="T74" s="8">
        <f t="shared" si="11"/>
        <v>6.3869089878262369E-2</v>
      </c>
      <c r="U74" s="8">
        <f t="shared" si="12"/>
        <v>0.70822771914930627</v>
      </c>
      <c r="V74" s="8">
        <f t="shared" si="13"/>
        <v>1.009636346922951</v>
      </c>
      <c r="AC74" s="8">
        <v>0.23092926787909074</v>
      </c>
      <c r="AD74" s="8">
        <v>2.6106820807479031E-2</v>
      </c>
      <c r="AF74" s="8">
        <f t="shared" si="14"/>
        <v>1.1470475564024141E-2</v>
      </c>
      <c r="AG74" s="8">
        <f t="shared" si="15"/>
        <v>3.7762269070783339E-2</v>
      </c>
    </row>
    <row r="75" spans="1:33" x14ac:dyDescent="0.25">
      <c r="A75" s="9">
        <v>0.7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0.69552886505649092</v>
      </c>
      <c r="O75" s="9">
        <v>0.12042999183585765</v>
      </c>
      <c r="P75" s="9">
        <v>3.5339493643093074</v>
      </c>
      <c r="Q75" s="9">
        <v>1.1037962635789165</v>
      </c>
      <c r="R75" s="10">
        <v>1.0897412105067192E-3</v>
      </c>
      <c r="S75" s="8">
        <f t="shared" si="10"/>
        <v>4.4711349435090364E-3</v>
      </c>
      <c r="T75" s="8">
        <f t="shared" si="11"/>
        <v>2.0429991835857642E-2</v>
      </c>
      <c r="U75" s="8">
        <f t="shared" si="12"/>
        <v>0.13105063569069264</v>
      </c>
      <c r="V75" s="8">
        <f t="shared" si="13"/>
        <v>0.46720373642108348</v>
      </c>
      <c r="AC75" s="8">
        <v>0.10415513006347188</v>
      </c>
      <c r="AD75" s="8">
        <v>2.8458963375126517E-2</v>
      </c>
      <c r="AF75" s="8">
        <f t="shared" si="14"/>
        <v>9.9683995119962843E-2</v>
      </c>
      <c r="AG75" s="8">
        <f t="shared" si="15"/>
        <v>8.0289715392688754E-3</v>
      </c>
    </row>
    <row r="76" spans="1:33" x14ac:dyDescent="0.25">
      <c r="A76" s="9">
        <v>0.4</v>
      </c>
      <c r="B76" s="9">
        <v>0.16</v>
      </c>
      <c r="C76" s="9">
        <v>3.665</v>
      </c>
      <c r="D76" s="9">
        <v>1.571</v>
      </c>
      <c r="E76" s="9">
        <v>0</v>
      </c>
      <c r="F76" s="9">
        <v>0</v>
      </c>
      <c r="G76" s="9">
        <v>0</v>
      </c>
      <c r="N76" s="9">
        <v>0.58723920930225459</v>
      </c>
      <c r="O76" s="9">
        <v>8.6442005000370456E-2</v>
      </c>
      <c r="P76" s="9">
        <v>3.5945802571285363</v>
      </c>
      <c r="Q76" s="9">
        <v>1.881846209014995</v>
      </c>
      <c r="R76" s="10">
        <v>1.2832779846943727E-5</v>
      </c>
      <c r="S76" s="8">
        <f t="shared" si="10"/>
        <v>0.18723920930225457</v>
      </c>
      <c r="T76" s="8">
        <f t="shared" si="11"/>
        <v>7.3557994999629547E-2</v>
      </c>
      <c r="U76" s="8">
        <f t="shared" si="12"/>
        <v>7.0419742871463686E-2</v>
      </c>
      <c r="V76" s="8">
        <f t="shared" si="13"/>
        <v>0.31084620901499505</v>
      </c>
      <c r="AC76" s="8">
        <v>0.16056695912303021</v>
      </c>
      <c r="AD76" s="8">
        <v>7.7529425330539678E-2</v>
      </c>
      <c r="AF76" s="8">
        <f t="shared" si="14"/>
        <v>2.6672250179224366E-2</v>
      </c>
      <c r="AG76" s="8">
        <f t="shared" si="15"/>
        <v>3.9714303309101306E-3</v>
      </c>
    </row>
    <row r="77" spans="1:33" x14ac:dyDescent="0.25">
      <c r="A77" s="9">
        <v>0.3</v>
      </c>
      <c r="B77" s="9">
        <v>0.18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0.6261429629523052</v>
      </c>
      <c r="O77" s="9">
        <v>3.8547326227464394E-2</v>
      </c>
      <c r="P77" s="9">
        <v>4.4564181511777035</v>
      </c>
      <c r="Q77" s="9">
        <v>2.5867234097481258</v>
      </c>
      <c r="R77" s="10">
        <v>2.2092549462989601E-3</v>
      </c>
      <c r="S77" s="8">
        <f t="shared" si="10"/>
        <v>0.32614296295230522</v>
      </c>
      <c r="T77" s="8">
        <f t="shared" si="11"/>
        <v>0.14145267377253559</v>
      </c>
      <c r="U77" s="8">
        <f t="shared" si="12"/>
        <v>0.79141815117770342</v>
      </c>
      <c r="V77" s="8">
        <f t="shared" si="13"/>
        <v>1.0157234097481258</v>
      </c>
      <c r="AC77" s="8">
        <v>0.35529577967336584</v>
      </c>
      <c r="AD77" s="8">
        <v>0.14639399686938628</v>
      </c>
      <c r="AF77" s="8">
        <f t="shared" si="14"/>
        <v>2.9152816721060626E-2</v>
      </c>
      <c r="AG77" s="8">
        <f t="shared" si="15"/>
        <v>4.9413230968506916E-3</v>
      </c>
    </row>
    <row r="78" spans="1:33" x14ac:dyDescent="0.25">
      <c r="A78" s="9">
        <v>0.3</v>
      </c>
      <c r="B78" s="9">
        <v>0.08</v>
      </c>
      <c r="C78" s="9">
        <v>1.571</v>
      </c>
      <c r="D78" s="9">
        <v>0.78500000000000003</v>
      </c>
      <c r="E78" s="9">
        <v>1.4</v>
      </c>
      <c r="F78" s="9">
        <v>0</v>
      </c>
      <c r="G78" s="9">
        <v>0</v>
      </c>
      <c r="N78" s="9">
        <v>0.314146192684571</v>
      </c>
      <c r="O78" s="9">
        <v>5.4472477309649929E-2</v>
      </c>
      <c r="P78" s="9">
        <v>1.8412888521580602</v>
      </c>
      <c r="Q78" s="9">
        <v>0.73373033417749711</v>
      </c>
      <c r="R78" s="10">
        <v>5.4413381108493961E-5</v>
      </c>
      <c r="S78" s="8">
        <f t="shared" si="10"/>
        <v>1.4146192684571013E-2</v>
      </c>
      <c r="T78" s="8">
        <f t="shared" si="11"/>
        <v>2.5527522690350073E-2</v>
      </c>
      <c r="U78" s="8">
        <f t="shared" si="12"/>
        <v>0.2702888521580602</v>
      </c>
      <c r="V78" s="8">
        <f t="shared" si="13"/>
        <v>5.1269665822502919E-2</v>
      </c>
      <c r="AC78" s="8">
        <v>1.8472015510007989E-2</v>
      </c>
      <c r="AD78" s="8">
        <v>2.3264549734683386E-2</v>
      </c>
      <c r="AF78" s="8">
        <f t="shared" si="14"/>
        <v>4.3258228254369757E-3</v>
      </c>
      <c r="AG78" s="8">
        <f t="shared" si="15"/>
        <v>2.2629729556666867E-3</v>
      </c>
    </row>
    <row r="79" spans="1:33" x14ac:dyDescent="0.25">
      <c r="A79" s="9">
        <v>0.4</v>
      </c>
      <c r="B79" s="9">
        <v>0.14000000000000001</v>
      </c>
      <c r="C79" s="9">
        <v>1.571</v>
      </c>
      <c r="D79" s="9">
        <v>0.78500000000000003</v>
      </c>
      <c r="E79" s="9">
        <v>0</v>
      </c>
      <c r="F79" s="9">
        <v>0</v>
      </c>
      <c r="G79" s="9">
        <v>0</v>
      </c>
      <c r="N79" s="9">
        <v>0.46349634982917509</v>
      </c>
      <c r="O79" s="9">
        <v>5.2769475076926808E-2</v>
      </c>
      <c r="P79" s="9">
        <v>1.7655846025116728</v>
      </c>
      <c r="Q79" s="9">
        <v>1.5873820072210252</v>
      </c>
      <c r="R79" s="10">
        <v>1.1674434713514765E-4</v>
      </c>
      <c r="S79" s="8">
        <f t="shared" si="10"/>
        <v>6.3496349829175069E-2</v>
      </c>
      <c r="T79" s="8">
        <f t="shared" si="11"/>
        <v>8.7230524923073205E-2</v>
      </c>
      <c r="U79" s="8">
        <f t="shared" si="12"/>
        <v>0.19458460251167287</v>
      </c>
      <c r="V79" s="8">
        <f t="shared" si="13"/>
        <v>0.80238200722102515</v>
      </c>
      <c r="AC79" s="8">
        <v>9.7963968089270992E-2</v>
      </c>
      <c r="AD79" s="8">
        <v>8.6791819485852878E-2</v>
      </c>
      <c r="AF79" s="8">
        <f t="shared" si="14"/>
        <v>3.4467618260095922E-2</v>
      </c>
      <c r="AG79" s="8">
        <f t="shared" si="15"/>
        <v>4.3870543722032695E-4</v>
      </c>
    </row>
    <row r="80" spans="1:33" x14ac:dyDescent="0.25">
      <c r="A80" s="9">
        <v>0.6</v>
      </c>
      <c r="B80" s="9">
        <v>0.16</v>
      </c>
      <c r="C80" s="9">
        <v>1.571</v>
      </c>
      <c r="D80" s="9">
        <v>0.78500000000000003</v>
      </c>
      <c r="E80" s="9">
        <v>1.4</v>
      </c>
      <c r="F80" s="9">
        <v>0</v>
      </c>
      <c r="G80" s="9">
        <v>0</v>
      </c>
      <c r="N80" s="9">
        <v>0.65007921194662344</v>
      </c>
      <c r="O80" s="9">
        <v>0.1823568340569473</v>
      </c>
      <c r="P80" s="9">
        <v>1.6735449728739922</v>
      </c>
      <c r="Q80" s="9">
        <v>0.48154882654695358</v>
      </c>
      <c r="R80" s="10">
        <v>2.3097692770340488E-4</v>
      </c>
      <c r="S80" s="8">
        <f t="shared" si="10"/>
        <v>5.0079211946623459E-2</v>
      </c>
      <c r="T80" s="8">
        <f t="shared" si="11"/>
        <v>2.23568340569473E-2</v>
      </c>
      <c r="U80" s="8">
        <f t="shared" si="12"/>
        <v>0.10254497287399222</v>
      </c>
      <c r="V80" s="8">
        <f t="shared" si="13"/>
        <v>0.30345117345304645</v>
      </c>
      <c r="AC80" s="8">
        <v>4.307580991248261E-2</v>
      </c>
      <c r="AD80" s="8">
        <v>1.7848965316907023E-2</v>
      </c>
      <c r="AF80" s="8">
        <f t="shared" si="14"/>
        <v>7.0034020341408487E-3</v>
      </c>
      <c r="AG80" s="8">
        <f t="shared" si="15"/>
        <v>4.5078687400402773E-3</v>
      </c>
    </row>
    <row r="81" spans="1:33" x14ac:dyDescent="0.25">
      <c r="A81" s="9">
        <v>0.4</v>
      </c>
      <c r="B81" s="9">
        <v>0.06</v>
      </c>
      <c r="C81" s="9">
        <v>1.571</v>
      </c>
      <c r="D81" s="9">
        <v>1.571</v>
      </c>
      <c r="E81" s="9">
        <v>1.4</v>
      </c>
      <c r="F81" s="9">
        <v>0</v>
      </c>
      <c r="G81" s="9">
        <v>0</v>
      </c>
      <c r="N81" s="9">
        <v>0.51178560722175359</v>
      </c>
      <c r="O81" s="9">
        <v>0.13391701296536315</v>
      </c>
      <c r="P81" s="9">
        <v>1.7068792583445833</v>
      </c>
      <c r="Q81" s="9">
        <v>0.49950431473514278</v>
      </c>
      <c r="R81" s="10">
        <v>1.4467093290513254E-5</v>
      </c>
      <c r="S81" s="8">
        <f t="shared" si="10"/>
        <v>0.11178560722175357</v>
      </c>
      <c r="T81" s="8">
        <f t="shared" si="11"/>
        <v>7.3917012965363155E-2</v>
      </c>
      <c r="U81" s="8">
        <f t="shared" si="12"/>
        <v>0.13587925834458336</v>
      </c>
      <c r="V81" s="8">
        <f t="shared" si="13"/>
        <v>1.0714956852648572</v>
      </c>
      <c r="AC81" s="8">
        <v>7.7534183772733467E-2</v>
      </c>
      <c r="AD81" s="8">
        <v>9.2284313062806517E-2</v>
      </c>
      <c r="AF81" s="8">
        <f t="shared" si="14"/>
        <v>3.4251423449020102E-2</v>
      </c>
      <c r="AG81" s="8">
        <f t="shared" si="15"/>
        <v>1.8367300097443362E-2</v>
      </c>
    </row>
    <row r="82" spans="1:33" x14ac:dyDescent="0.25">
      <c r="A82" s="9">
        <v>0.8</v>
      </c>
      <c r="B82" s="9">
        <v>0.08</v>
      </c>
      <c r="C82" s="9">
        <v>1.571</v>
      </c>
      <c r="D82" s="9">
        <v>1.571</v>
      </c>
      <c r="E82" s="9">
        <v>0</v>
      </c>
      <c r="F82" s="9">
        <v>0</v>
      </c>
      <c r="G82" s="9">
        <v>0</v>
      </c>
      <c r="N82" s="9">
        <v>0.94051706640401556</v>
      </c>
      <c r="O82" s="9">
        <v>8.1520265364418865E-2</v>
      </c>
      <c r="P82" s="9">
        <v>1.3151099327882201</v>
      </c>
      <c r="Q82" s="9">
        <v>1.6794168285203037</v>
      </c>
      <c r="R82" s="10">
        <v>1.1179451671716829E-3</v>
      </c>
      <c r="S82" s="8">
        <f t="shared" si="10"/>
        <v>0.14051706640401551</v>
      </c>
      <c r="T82" s="8">
        <f t="shared" si="11"/>
        <v>1.520265364418863E-3</v>
      </c>
      <c r="U82" s="8">
        <f t="shared" si="12"/>
        <v>0.25589006721177987</v>
      </c>
      <c r="V82" s="8">
        <f t="shared" si="13"/>
        <v>0.10841682852030377</v>
      </c>
      <c r="AC82" s="8">
        <v>8.348729245946096E-3</v>
      </c>
      <c r="AD82" s="8">
        <v>1.0410826357761388E-3</v>
      </c>
      <c r="AF82" s="8">
        <f t="shared" si="14"/>
        <v>0.13216833715806942</v>
      </c>
      <c r="AG82" s="8">
        <f t="shared" si="15"/>
        <v>4.7918272864272415E-4</v>
      </c>
    </row>
    <row r="83" spans="1:33" x14ac:dyDescent="0.25">
      <c r="A83" s="9">
        <v>0.7</v>
      </c>
      <c r="B83" s="9">
        <v>0.16</v>
      </c>
      <c r="C83" s="9">
        <v>1.571</v>
      </c>
      <c r="D83" s="9">
        <v>1.571</v>
      </c>
      <c r="E83" s="9">
        <v>1.4</v>
      </c>
      <c r="F83" s="9">
        <v>0</v>
      </c>
      <c r="G83" s="9">
        <v>0</v>
      </c>
      <c r="N83" s="9">
        <v>0.71798495030539589</v>
      </c>
      <c r="O83" s="9">
        <v>0.14553449092715987</v>
      </c>
      <c r="P83" s="9">
        <v>1.5135630917414968</v>
      </c>
      <c r="Q83" s="9">
        <v>1.6782462122610433</v>
      </c>
      <c r="R83" s="10">
        <v>1.8478686130586676E-4</v>
      </c>
      <c r="S83" s="8">
        <f t="shared" si="10"/>
        <v>1.798495030539593E-2</v>
      </c>
      <c r="T83" s="8">
        <f t="shared" si="11"/>
        <v>1.4465509072840138E-2</v>
      </c>
      <c r="U83" s="8">
        <f t="shared" si="12"/>
        <v>5.7436908258503117E-2</v>
      </c>
      <c r="V83" s="8">
        <f t="shared" si="13"/>
        <v>0.10724621226104336</v>
      </c>
      <c r="AC83" s="8">
        <v>4.4627727572396081E-2</v>
      </c>
      <c r="AD83" s="8">
        <v>5.4442889831051999E-3</v>
      </c>
      <c r="AF83" s="8">
        <f t="shared" si="14"/>
        <v>2.6642777267000151E-2</v>
      </c>
      <c r="AG83" s="8">
        <f t="shared" si="15"/>
        <v>9.0212200897349382E-3</v>
      </c>
    </row>
    <row r="84" spans="1:33" x14ac:dyDescent="0.25">
      <c r="A84" s="9">
        <v>0.7</v>
      </c>
      <c r="B84" s="9">
        <v>0.2</v>
      </c>
      <c r="C84" s="9">
        <v>1.571</v>
      </c>
      <c r="D84" s="9">
        <v>1.571</v>
      </c>
      <c r="E84" s="9">
        <v>0</v>
      </c>
      <c r="F84" s="9">
        <v>0</v>
      </c>
      <c r="G84" s="9">
        <v>0</v>
      </c>
      <c r="N84" s="9">
        <v>0.99917790897872494</v>
      </c>
      <c r="O84" s="9">
        <v>0.18082843181805444</v>
      </c>
      <c r="P84" s="9">
        <v>1.8540790273550327</v>
      </c>
      <c r="Q84" s="9">
        <v>2.0569863825737129</v>
      </c>
      <c r="R84" s="10">
        <v>3.5363575001986182E-3</v>
      </c>
      <c r="S84" s="8">
        <f t="shared" si="10"/>
        <v>0.29917790897872498</v>
      </c>
      <c r="T84" s="8">
        <f t="shared" si="11"/>
        <v>1.917156818194557E-2</v>
      </c>
      <c r="U84" s="8">
        <f t="shared" si="12"/>
        <v>0.28307902735503276</v>
      </c>
      <c r="V84" s="8">
        <f t="shared" si="13"/>
        <v>0.48598638257371296</v>
      </c>
      <c r="AC84" s="8">
        <v>0.2796599222172772</v>
      </c>
      <c r="AD84" s="8">
        <v>4.7186644231186348E-2</v>
      </c>
      <c r="AF84" s="8">
        <f t="shared" si="14"/>
        <v>1.9517986761447781E-2</v>
      </c>
      <c r="AG84" s="8">
        <f t="shared" si="15"/>
        <v>2.8015076049240778E-2</v>
      </c>
    </row>
    <row r="85" spans="1:33" x14ac:dyDescent="0.25">
      <c r="A85" s="9">
        <v>0.7</v>
      </c>
      <c r="B85" s="9">
        <v>0.06</v>
      </c>
      <c r="C85" s="9">
        <v>3.665</v>
      </c>
      <c r="D85" s="9">
        <v>0.78500000000000003</v>
      </c>
      <c r="E85" s="9">
        <v>0</v>
      </c>
      <c r="F85" s="9">
        <v>0</v>
      </c>
      <c r="G85" s="9">
        <v>0</v>
      </c>
      <c r="N85" s="9">
        <v>0.77789222575876682</v>
      </c>
      <c r="O85" s="9">
        <v>7.8891504530818488E-2</v>
      </c>
      <c r="P85" s="9">
        <v>3.9878671694525507</v>
      </c>
      <c r="Q85" s="9">
        <v>0.78439752700705823</v>
      </c>
      <c r="R85" s="10">
        <v>1.3305222316653323E-3</v>
      </c>
      <c r="S85" s="8">
        <f t="shared" si="10"/>
        <v>7.7892225758766864E-2</v>
      </c>
      <c r="T85" s="8">
        <f t="shared" si="11"/>
        <v>1.889150453081849E-2</v>
      </c>
      <c r="U85" s="8">
        <f t="shared" si="12"/>
        <v>0.32286716945255067</v>
      </c>
      <c r="V85" s="8">
        <f t="shared" si="13"/>
        <v>6.024729929418049E-4</v>
      </c>
      <c r="AC85" s="8">
        <v>1.7051676029925744E-2</v>
      </c>
      <c r="AD85" s="8">
        <v>1.973518501714501E-2</v>
      </c>
      <c r="AF85" s="8">
        <f t="shared" si="14"/>
        <v>6.084054972884112E-2</v>
      </c>
      <c r="AG85" s="8">
        <f t="shared" si="15"/>
        <v>8.4368048632652015E-4</v>
      </c>
    </row>
    <row r="86" spans="1:33" x14ac:dyDescent="0.25">
      <c r="A86" s="9">
        <v>0.6</v>
      </c>
      <c r="B86" s="9">
        <v>0.1</v>
      </c>
      <c r="C86" s="9">
        <v>3.665</v>
      </c>
      <c r="D86" s="9">
        <v>0.78500000000000003</v>
      </c>
      <c r="E86" s="9">
        <v>0</v>
      </c>
      <c r="F86" s="9">
        <v>0</v>
      </c>
      <c r="G86" s="9">
        <v>0</v>
      </c>
      <c r="N86" s="9">
        <v>0.92707941109290315</v>
      </c>
      <c r="O86" s="9">
        <v>9.6409979782144092E-2</v>
      </c>
      <c r="P86" s="9">
        <v>3.5362137849796524</v>
      </c>
      <c r="Q86" s="9">
        <v>0.48331893179581265</v>
      </c>
      <c r="R86" s="10">
        <v>9.3487102691660034E-5</v>
      </c>
      <c r="S86" s="8">
        <f t="shared" si="10"/>
        <v>0.32707941109290317</v>
      </c>
      <c r="T86" s="8">
        <f t="shared" si="11"/>
        <v>3.5900202178559132E-3</v>
      </c>
      <c r="U86" s="8">
        <f t="shared" si="12"/>
        <v>0.12878621502034759</v>
      </c>
      <c r="V86" s="8">
        <f t="shared" si="13"/>
        <v>0.30168106820418739</v>
      </c>
      <c r="AC86" s="8">
        <v>0.26414620147797419</v>
      </c>
      <c r="AD86" s="8">
        <v>8.4498094798000634E-3</v>
      </c>
      <c r="AF86" s="8">
        <f t="shared" si="14"/>
        <v>6.2933209614928987E-2</v>
      </c>
      <c r="AG86" s="8">
        <f t="shared" si="15"/>
        <v>4.8597892619441502E-3</v>
      </c>
    </row>
    <row r="87" spans="1:33" x14ac:dyDescent="0.25">
      <c r="A87" s="9">
        <v>0.8</v>
      </c>
      <c r="B87" s="9">
        <v>0.18</v>
      </c>
      <c r="C87" s="9">
        <v>3.665</v>
      </c>
      <c r="D87" s="9">
        <v>0.78500000000000003</v>
      </c>
      <c r="E87" s="9">
        <v>1.4</v>
      </c>
      <c r="F87" s="9">
        <v>0</v>
      </c>
      <c r="G87" s="9">
        <v>0</v>
      </c>
      <c r="N87" s="9">
        <v>0.90697402672045146</v>
      </c>
      <c r="O87" s="9">
        <v>8.6089457669315028E-2</v>
      </c>
      <c r="P87" s="9">
        <v>3.2122886745210333</v>
      </c>
      <c r="Q87" s="9">
        <v>1.0205654272227431</v>
      </c>
      <c r="R87" s="10">
        <v>5.506232041060842E-3</v>
      </c>
      <c r="S87" s="8">
        <f t="shared" si="10"/>
        <v>0.10697402672045142</v>
      </c>
      <c r="T87" s="8">
        <f t="shared" si="11"/>
        <v>9.3910542330684965E-2</v>
      </c>
      <c r="U87" s="8">
        <f t="shared" si="12"/>
        <v>0.45271132547896675</v>
      </c>
      <c r="V87" s="8">
        <f t="shared" si="13"/>
        <v>0.2355654272227431</v>
      </c>
      <c r="AC87" s="8">
        <v>0.14743935128629471</v>
      </c>
      <c r="AD87" s="8">
        <v>9.8019387625260274E-2</v>
      </c>
      <c r="AF87" s="8">
        <f t="shared" si="14"/>
        <v>4.0465324565843286E-2</v>
      </c>
      <c r="AG87" s="8">
        <f t="shared" si="15"/>
        <v>4.1088452945753084E-3</v>
      </c>
    </row>
    <row r="88" spans="1:33" x14ac:dyDescent="0.25">
      <c r="A88" s="9">
        <v>0.4</v>
      </c>
      <c r="B88" s="9">
        <v>0.2</v>
      </c>
      <c r="C88" s="9">
        <v>3.665</v>
      </c>
      <c r="D88" s="9">
        <v>0.78500000000000003</v>
      </c>
      <c r="E88" s="9">
        <v>1.4</v>
      </c>
      <c r="F88" s="9">
        <v>0</v>
      </c>
      <c r="G88" s="9">
        <v>0</v>
      </c>
      <c r="N88" s="9">
        <v>0.99999998785639432</v>
      </c>
      <c r="O88" s="9">
        <v>0.1999999999992991</v>
      </c>
      <c r="P88" s="9">
        <v>3.6615740730288802</v>
      </c>
      <c r="Q88" s="9">
        <v>0.21281754501832451</v>
      </c>
      <c r="R88" s="10">
        <v>6.8224942922235771E-3</v>
      </c>
      <c r="S88" s="8">
        <f t="shared" si="10"/>
        <v>0.5999999878563943</v>
      </c>
      <c r="T88" s="8">
        <f t="shared" si="11"/>
        <v>7.0091155102147695E-13</v>
      </c>
      <c r="U88" s="8">
        <f t="shared" si="12"/>
        <v>3.4259269711198748E-3</v>
      </c>
      <c r="V88" s="8">
        <f t="shared" si="13"/>
        <v>0.57218245498167553</v>
      </c>
      <c r="AC88" s="8">
        <v>0.5999977142571411</v>
      </c>
      <c r="AD88" s="8">
        <v>1.8115850190809357E-3</v>
      </c>
      <c r="AF88" s="8">
        <f t="shared" si="14"/>
        <v>2.2735992531996985E-6</v>
      </c>
      <c r="AG88" s="8">
        <f t="shared" si="15"/>
        <v>1.8115850183800242E-3</v>
      </c>
    </row>
    <row r="89" spans="1:33" x14ac:dyDescent="0.25">
      <c r="A89" s="9">
        <v>0.4</v>
      </c>
      <c r="B89" s="9">
        <v>0.1</v>
      </c>
      <c r="C89" s="9">
        <v>3.665</v>
      </c>
      <c r="D89" s="9">
        <v>1.571</v>
      </c>
      <c r="E89" s="9">
        <v>1.4</v>
      </c>
      <c r="F89" s="9">
        <v>0</v>
      </c>
      <c r="G89" s="9">
        <v>0</v>
      </c>
      <c r="N89" s="9">
        <v>0.54264708928641736</v>
      </c>
      <c r="O89" s="9">
        <v>4.945223538467608E-2</v>
      </c>
      <c r="P89" s="9">
        <v>3.726851756927914</v>
      </c>
      <c r="Q89" s="9">
        <v>1.1633270556557618</v>
      </c>
      <c r="R89" s="10">
        <v>3.2689044600312812E-6</v>
      </c>
      <c r="S89" s="8">
        <f t="shared" si="10"/>
        <v>0.14264708928641734</v>
      </c>
      <c r="T89" s="8">
        <f t="shared" si="11"/>
        <v>5.0547764615323926E-2</v>
      </c>
      <c r="U89" s="8">
        <f t="shared" si="12"/>
        <v>6.1851756927914003E-2</v>
      </c>
      <c r="V89" s="8">
        <f t="shared" si="13"/>
        <v>0.40767294434423818</v>
      </c>
      <c r="AC89" s="8">
        <v>8.2780257035003746E-2</v>
      </c>
      <c r="AD89" s="8">
        <v>5.6818382722886557E-2</v>
      </c>
      <c r="AF89" s="8">
        <f t="shared" si="14"/>
        <v>5.9866832251413593E-2</v>
      </c>
      <c r="AG89" s="8">
        <f t="shared" si="15"/>
        <v>6.270618107562631E-3</v>
      </c>
    </row>
    <row r="90" spans="1:33" x14ac:dyDescent="0.25">
      <c r="A90" s="9">
        <v>0.7</v>
      </c>
      <c r="B90" s="9">
        <v>0.1</v>
      </c>
      <c r="C90" s="9">
        <v>3.665</v>
      </c>
      <c r="D90" s="9">
        <v>1.571</v>
      </c>
      <c r="E90" s="9">
        <v>1.4</v>
      </c>
      <c r="F90" s="9">
        <v>0</v>
      </c>
      <c r="G90" s="9">
        <v>0</v>
      </c>
      <c r="N90" s="9">
        <v>0.64997346527876421</v>
      </c>
      <c r="O90" s="9">
        <v>0.15175994608987847</v>
      </c>
      <c r="P90" s="9">
        <v>3.6051719379803977</v>
      </c>
      <c r="Q90" s="9">
        <v>1.6882894169570717</v>
      </c>
      <c r="R90" s="10">
        <v>4.7289618231695688E-4</v>
      </c>
      <c r="S90" s="8">
        <f t="shared" si="10"/>
        <v>5.0026534721235749E-2</v>
      </c>
      <c r="T90" s="8">
        <f t="shared" si="11"/>
        <v>5.1759946089878467E-2</v>
      </c>
      <c r="U90" s="8">
        <f t="shared" si="12"/>
        <v>5.9828062019602335E-2</v>
      </c>
      <c r="V90" s="8">
        <f t="shared" si="13"/>
        <v>0.11728941695707173</v>
      </c>
      <c r="AC90" s="8">
        <v>3.033254459798651E-2</v>
      </c>
      <c r="AD90" s="8">
        <v>4.3801877888204083E-2</v>
      </c>
      <c r="AF90" s="8">
        <f t="shared" si="14"/>
        <v>1.9693990123249239E-2</v>
      </c>
      <c r="AG90" s="8">
        <f t="shared" si="15"/>
        <v>7.9580682016743842E-3</v>
      </c>
    </row>
    <row r="91" spans="1:33" x14ac:dyDescent="0.25">
      <c r="A91" s="9">
        <v>0.4</v>
      </c>
      <c r="B91" s="9">
        <v>0.16</v>
      </c>
      <c r="C91" s="9">
        <v>3.665</v>
      </c>
      <c r="D91" s="9">
        <v>1.571</v>
      </c>
      <c r="E91" s="9">
        <v>0</v>
      </c>
      <c r="F91" s="9">
        <v>0</v>
      </c>
      <c r="G91" s="9">
        <v>0</v>
      </c>
      <c r="N91" s="9">
        <v>0.41557328464538812</v>
      </c>
      <c r="O91" s="9">
        <v>0.16559004706935207</v>
      </c>
      <c r="P91" s="9">
        <v>3.9832069099556264</v>
      </c>
      <c r="Q91" s="9">
        <v>2.1513075660265293</v>
      </c>
      <c r="R91" s="10">
        <v>1.5734620753121956E-3</v>
      </c>
      <c r="S91" s="8">
        <f t="shared" si="10"/>
        <v>1.5573284645388097E-2</v>
      </c>
      <c r="T91" s="8">
        <f t="shared" si="11"/>
        <v>5.5900470693520665E-3</v>
      </c>
      <c r="U91" s="8">
        <f t="shared" si="12"/>
        <v>0.31820690995562639</v>
      </c>
      <c r="V91" s="8">
        <f t="shared" si="13"/>
        <v>0.58030756602652933</v>
      </c>
      <c r="AC91" s="8">
        <v>5.124601609390983E-2</v>
      </c>
      <c r="AD91" s="8">
        <v>1.6794267500857329E-2</v>
      </c>
      <c r="AF91" s="8">
        <f t="shared" si="14"/>
        <v>3.5672731448521733E-2</v>
      </c>
      <c r="AG91" s="8">
        <f t="shared" si="15"/>
        <v>1.1204220431505263E-2</v>
      </c>
    </row>
    <row r="92" spans="1:33" x14ac:dyDescent="0.25">
      <c r="A92" s="9">
        <v>0.3</v>
      </c>
      <c r="B92" s="9">
        <v>0.18</v>
      </c>
      <c r="C92" s="9">
        <v>3.665</v>
      </c>
      <c r="D92" s="9">
        <v>1.571</v>
      </c>
      <c r="E92" s="9">
        <v>0</v>
      </c>
      <c r="F92" s="9">
        <v>0</v>
      </c>
      <c r="G92" s="9">
        <v>0</v>
      </c>
      <c r="N92" s="9">
        <v>0.26916061894703053</v>
      </c>
      <c r="O92" s="9">
        <v>0.15433229658729988</v>
      </c>
      <c r="P92" s="9">
        <v>3.0854678472421564</v>
      </c>
      <c r="Q92" s="9">
        <v>1.0010529636660304</v>
      </c>
      <c r="R92" s="10">
        <v>1.4372747389674115E-3</v>
      </c>
      <c r="S92" s="8">
        <f t="shared" si="10"/>
        <v>3.0839381052969461E-2</v>
      </c>
      <c r="T92" s="8">
        <f t="shared" si="11"/>
        <v>2.566770341270011E-2</v>
      </c>
      <c r="U92" s="8">
        <f t="shared" si="12"/>
        <v>0.57953215275784364</v>
      </c>
      <c r="V92" s="8">
        <f t="shared" si="13"/>
        <v>0.56994703633396959</v>
      </c>
      <c r="AC92" s="8">
        <v>7.5684793259055416E-2</v>
      </c>
      <c r="AD92" s="8">
        <v>1.6230366015196923E-2</v>
      </c>
      <c r="AF92" s="8">
        <f t="shared" si="14"/>
        <v>4.4845412206085955E-2</v>
      </c>
      <c r="AG92" s="8">
        <f t="shared" si="15"/>
        <v>9.4373373975031871E-3</v>
      </c>
    </row>
    <row r="93" spans="1:33" x14ac:dyDescent="0.25">
      <c r="A93" s="9">
        <v>0.3</v>
      </c>
      <c r="B93" s="9">
        <v>0.08</v>
      </c>
      <c r="C93" s="9">
        <v>1.571</v>
      </c>
      <c r="D93" s="9">
        <v>0.78500000000000003</v>
      </c>
      <c r="E93" s="9">
        <v>1.4</v>
      </c>
      <c r="F93" s="9">
        <v>0</v>
      </c>
      <c r="G93" s="9">
        <v>0</v>
      </c>
      <c r="N93" s="9">
        <v>0.79337683269420811</v>
      </c>
      <c r="O93" s="9">
        <v>3.3797597529207704E-2</v>
      </c>
      <c r="P93" s="9">
        <v>1.4529463704429111</v>
      </c>
      <c r="Q93" s="9">
        <v>0.27906768352313915</v>
      </c>
      <c r="R93" s="10">
        <v>2.4019461911621689E-5</v>
      </c>
      <c r="S93" s="8">
        <f t="shared" si="10"/>
        <v>0.49337683269420812</v>
      </c>
      <c r="T93" s="8">
        <f t="shared" si="11"/>
        <v>4.6202402470792298E-2</v>
      </c>
      <c r="U93" s="8">
        <f t="shared" si="12"/>
        <v>0.11805362955708887</v>
      </c>
      <c r="V93" s="8">
        <f t="shared" si="13"/>
        <v>0.50593231647686088</v>
      </c>
      <c r="AC93" s="8">
        <v>0.49007947931701284</v>
      </c>
      <c r="AD93" s="8">
        <v>4.3479604695847586E-2</v>
      </c>
      <c r="AF93" s="8">
        <f t="shared" si="14"/>
        <v>3.2973533771952779E-3</v>
      </c>
      <c r="AG93" s="8">
        <f t="shared" si="15"/>
        <v>2.7227977749447116E-3</v>
      </c>
    </row>
    <row r="94" spans="1:33" x14ac:dyDescent="0.25">
      <c r="A94" s="9">
        <v>0.4</v>
      </c>
      <c r="B94" s="9">
        <v>0.14000000000000001</v>
      </c>
      <c r="C94" s="9">
        <v>1.571</v>
      </c>
      <c r="D94" s="9">
        <v>0.78500000000000003</v>
      </c>
      <c r="E94" s="9">
        <v>0</v>
      </c>
      <c r="F94" s="9">
        <v>0</v>
      </c>
      <c r="G94" s="9">
        <v>0</v>
      </c>
      <c r="N94" s="9">
        <v>0.2978122243679483</v>
      </c>
      <c r="O94" s="9">
        <v>0.1679856604163763</v>
      </c>
      <c r="P94" s="9">
        <v>2.4033374520470434</v>
      </c>
      <c r="Q94" s="9">
        <v>0.56229763792093179</v>
      </c>
      <c r="R94" s="10">
        <v>2.22358537862722E-3</v>
      </c>
      <c r="S94" s="8">
        <f t="shared" si="10"/>
        <v>0.10218777563205172</v>
      </c>
      <c r="T94" s="8">
        <f t="shared" si="11"/>
        <v>2.798566041637629E-2</v>
      </c>
      <c r="U94" s="8">
        <f t="shared" si="12"/>
        <v>0.83233745204704346</v>
      </c>
      <c r="V94" s="8">
        <f t="shared" si="13"/>
        <v>0.22270236207906824</v>
      </c>
      <c r="AC94" s="8">
        <v>0.11341437952467859</v>
      </c>
      <c r="AD94" s="8">
        <v>5.7747874423031198E-2</v>
      </c>
      <c r="AF94" s="8">
        <f t="shared" si="14"/>
        <v>1.1226603892626863E-2</v>
      </c>
      <c r="AG94" s="8">
        <f t="shared" si="15"/>
        <v>2.9762214006654908E-2</v>
      </c>
    </row>
    <row r="95" spans="1:33" x14ac:dyDescent="0.25">
      <c r="A95" s="9">
        <v>0.6</v>
      </c>
      <c r="B95" s="9">
        <v>0.16</v>
      </c>
      <c r="C95" s="9">
        <v>1.571</v>
      </c>
      <c r="D95" s="9">
        <v>0.78500000000000003</v>
      </c>
      <c r="E95" s="9">
        <v>1.4</v>
      </c>
      <c r="F95" s="9">
        <v>0</v>
      </c>
      <c r="G95" s="9">
        <v>0</v>
      </c>
      <c r="N95" s="9">
        <v>0.77625447313665918</v>
      </c>
      <c r="O95" s="9">
        <v>0.16805317964874272</v>
      </c>
      <c r="P95" s="9">
        <v>1.83292426169317</v>
      </c>
      <c r="Q95" s="9">
        <v>0.42014823885024022</v>
      </c>
      <c r="R95" s="10">
        <v>2.9255665868784154E-4</v>
      </c>
      <c r="S95" s="8">
        <f t="shared" si="10"/>
        <v>0.17625447313665921</v>
      </c>
      <c r="T95" s="8">
        <f t="shared" si="11"/>
        <v>8.0531796487427199E-3</v>
      </c>
      <c r="U95" s="8">
        <f t="shared" si="12"/>
        <v>0.26192426169317007</v>
      </c>
      <c r="V95" s="8">
        <f t="shared" si="13"/>
        <v>0.36485176114975981</v>
      </c>
      <c r="AC95" s="8">
        <v>4.4777553458108188E-2</v>
      </c>
      <c r="AD95" s="8">
        <v>1.5706389924915215E-2</v>
      </c>
      <c r="AF95" s="8">
        <f t="shared" si="14"/>
        <v>0.13147691967855102</v>
      </c>
      <c r="AG95" s="8">
        <f t="shared" si="15"/>
        <v>7.6532102761724952E-3</v>
      </c>
    </row>
    <row r="96" spans="1:33" x14ac:dyDescent="0.25">
      <c r="A96" s="9">
        <v>0.4</v>
      </c>
      <c r="B96" s="9">
        <v>0.06</v>
      </c>
      <c r="C96" s="9">
        <v>1.571</v>
      </c>
      <c r="D96" s="9">
        <v>1.571</v>
      </c>
      <c r="E96" s="9">
        <v>1.4</v>
      </c>
      <c r="F96" s="9">
        <v>0</v>
      </c>
      <c r="G96" s="9">
        <v>0</v>
      </c>
      <c r="N96" s="9">
        <v>0.74182734389801375</v>
      </c>
      <c r="O96" s="9">
        <v>1.0003814381768958E-2</v>
      </c>
      <c r="P96" s="9">
        <v>1.1933945628973037</v>
      </c>
      <c r="Q96" s="9">
        <v>1.7819087025636631</v>
      </c>
      <c r="R96" s="10">
        <v>6.6451138634167556E-4</v>
      </c>
      <c r="S96" s="8">
        <f t="shared" si="10"/>
        <v>0.34182734389801372</v>
      </c>
      <c r="T96" s="8">
        <f t="shared" si="11"/>
        <v>4.9996185618231041E-2</v>
      </c>
      <c r="U96" s="8">
        <f t="shared" si="12"/>
        <v>0.37760543710269623</v>
      </c>
      <c r="V96" s="8">
        <f t="shared" si="13"/>
        <v>0.21090870256366312</v>
      </c>
      <c r="AC96" s="8">
        <v>0.26996493148604084</v>
      </c>
      <c r="AD96" s="8">
        <v>4.9791001282055929E-2</v>
      </c>
      <c r="AF96" s="8">
        <f t="shared" si="14"/>
        <v>7.1862412411972887E-2</v>
      </c>
      <c r="AG96" s="8">
        <f t="shared" si="15"/>
        <v>2.0518433617511267E-4</v>
      </c>
    </row>
    <row r="97" spans="1:33" x14ac:dyDescent="0.25">
      <c r="A97" s="9">
        <v>0.8</v>
      </c>
      <c r="B97" s="9">
        <v>0.08</v>
      </c>
      <c r="C97" s="9">
        <v>1.571</v>
      </c>
      <c r="D97" s="9">
        <v>1.571</v>
      </c>
      <c r="E97" s="9">
        <v>0</v>
      </c>
      <c r="F97" s="9">
        <v>0</v>
      </c>
      <c r="G97" s="9">
        <v>0</v>
      </c>
      <c r="N97" s="9">
        <v>0.99999999396562445</v>
      </c>
      <c r="O97" s="9">
        <v>8.0805609074873372E-2</v>
      </c>
      <c r="P97" s="9">
        <v>1.6473773641549914</v>
      </c>
      <c r="Q97" s="9">
        <v>2.00427643602809</v>
      </c>
      <c r="R97" s="10">
        <v>3.9311559071020267E-3</v>
      </c>
      <c r="S97" s="8">
        <f t="shared" si="10"/>
        <v>0.1999999939656244</v>
      </c>
      <c r="T97" s="8">
        <f t="shared" si="11"/>
        <v>8.0560907487337019E-4</v>
      </c>
      <c r="U97" s="8">
        <f t="shared" si="12"/>
        <v>7.6377364154991412E-2</v>
      </c>
      <c r="V97" s="8">
        <f t="shared" si="13"/>
        <v>0.43327643602809007</v>
      </c>
      <c r="AC97" s="8">
        <v>0.14684334948107047</v>
      </c>
      <c r="AD97" s="8">
        <v>1.3921760692702442E-2</v>
      </c>
      <c r="AF97" s="8">
        <f t="shared" si="14"/>
        <v>5.3156644484553928E-2</v>
      </c>
      <c r="AG97" s="8">
        <f t="shared" si="15"/>
        <v>1.3116151617829072E-2</v>
      </c>
    </row>
    <row r="98" spans="1:33" x14ac:dyDescent="0.25">
      <c r="A98" s="9">
        <v>0.7</v>
      </c>
      <c r="B98" s="9">
        <v>0.16</v>
      </c>
      <c r="C98" s="9">
        <v>1.571</v>
      </c>
      <c r="D98" s="9">
        <v>1.571</v>
      </c>
      <c r="E98" s="9">
        <v>1.4</v>
      </c>
      <c r="F98" s="9">
        <v>0</v>
      </c>
      <c r="G98" s="9">
        <v>0</v>
      </c>
      <c r="N98" s="9">
        <v>0.54680827135533305</v>
      </c>
      <c r="O98" s="9">
        <v>0.19852664075345644</v>
      </c>
      <c r="P98" s="9">
        <v>1.3986878654271075</v>
      </c>
      <c r="Q98" s="9">
        <v>1.5996734067324574</v>
      </c>
      <c r="R98" s="10">
        <v>5.2861557114173337E-4</v>
      </c>
      <c r="S98" s="8">
        <f t="shared" si="10"/>
        <v>0.1531917286446669</v>
      </c>
      <c r="T98" s="8">
        <f t="shared" si="11"/>
        <v>3.8526640753456437E-2</v>
      </c>
      <c r="U98" s="8">
        <f t="shared" si="12"/>
        <v>0.17231213457289241</v>
      </c>
      <c r="V98" s="8">
        <f t="shared" si="13"/>
        <v>2.867340673245744E-2</v>
      </c>
      <c r="AC98" s="8">
        <v>0.16176363924713921</v>
      </c>
      <c r="AD98" s="8">
        <v>3.9743968168087923E-2</v>
      </c>
      <c r="AF98" s="8">
        <f t="shared" si="14"/>
        <v>8.5719106024723102E-3</v>
      </c>
      <c r="AG98" s="8">
        <f t="shared" si="15"/>
        <v>1.2173274146314861E-3</v>
      </c>
    </row>
    <row r="99" spans="1:33" x14ac:dyDescent="0.25">
      <c r="A99" s="9">
        <v>0.7</v>
      </c>
      <c r="B99" s="9">
        <v>0.2</v>
      </c>
      <c r="C99" s="9">
        <v>1.571</v>
      </c>
      <c r="D99" s="9">
        <v>1.571</v>
      </c>
      <c r="E99" s="9">
        <v>0</v>
      </c>
      <c r="F99" s="9">
        <v>0</v>
      </c>
      <c r="G99" s="9">
        <v>0</v>
      </c>
      <c r="N99" s="9">
        <v>0.75125381698536864</v>
      </c>
      <c r="O99" s="9">
        <v>0.18625099218188806</v>
      </c>
      <c r="P99" s="9">
        <v>1.1140598463409581</v>
      </c>
      <c r="Q99" s="9">
        <v>2.0213348009346954</v>
      </c>
      <c r="R99" s="10">
        <v>5.0650293966796921E-3</v>
      </c>
      <c r="S99" s="8">
        <f t="shared" si="10"/>
        <v>5.1253816985368683E-2</v>
      </c>
      <c r="T99" s="8">
        <f t="shared" si="11"/>
        <v>1.3749007818111947E-2</v>
      </c>
      <c r="U99" s="8">
        <f t="shared" si="12"/>
        <v>0.45694015365904184</v>
      </c>
      <c r="V99" s="8">
        <f t="shared" si="13"/>
        <v>0.45033480093469547</v>
      </c>
      <c r="AC99" s="8">
        <v>1.645923654832937E-2</v>
      </c>
      <c r="AD99" s="8">
        <v>0.12890586767620801</v>
      </c>
      <c r="AF99" s="8">
        <f t="shared" si="14"/>
        <v>3.4794580437039313E-2</v>
      </c>
      <c r="AG99" s="8">
        <f t="shared" si="15"/>
        <v>0.11515685985809607</v>
      </c>
    </row>
    <row r="100" spans="1:33" x14ac:dyDescent="0.25">
      <c r="A100" s="9">
        <v>0.7</v>
      </c>
      <c r="B100" s="9">
        <v>0.06</v>
      </c>
      <c r="C100" s="9">
        <v>3.665</v>
      </c>
      <c r="D100" s="9">
        <v>0.78500000000000003</v>
      </c>
      <c r="E100" s="9">
        <v>0</v>
      </c>
      <c r="F100" s="9">
        <v>0</v>
      </c>
      <c r="G100" s="9">
        <v>0</v>
      </c>
      <c r="N100" s="9">
        <v>0.99999997812592833</v>
      </c>
      <c r="O100" s="9">
        <v>8.1364709744207522E-2</v>
      </c>
      <c r="P100" s="9">
        <v>3.4664090480776939</v>
      </c>
      <c r="Q100" s="9">
        <v>0.47224338078621642</v>
      </c>
      <c r="R100" s="10">
        <v>3.1336911519893394E-2</v>
      </c>
      <c r="S100" s="8">
        <f t="shared" si="10"/>
        <v>0.29999997812592838</v>
      </c>
      <c r="T100" s="8">
        <f t="shared" si="11"/>
        <v>2.1364709744207525E-2</v>
      </c>
      <c r="U100" s="8">
        <f t="shared" si="12"/>
        <v>0.19859095192230614</v>
      </c>
      <c r="V100" s="8">
        <f t="shared" si="13"/>
        <v>0.31275661921378362</v>
      </c>
      <c r="AC100" s="8">
        <v>0.29999992204849324</v>
      </c>
      <c r="AD100" s="8">
        <v>1.0596157438287027E-2</v>
      </c>
      <c r="AF100" s="8">
        <f t="shared" si="14"/>
        <v>5.6077435139911813E-8</v>
      </c>
      <c r="AG100" s="8">
        <f t="shared" si="15"/>
        <v>1.0768552305920498E-2</v>
      </c>
    </row>
    <row r="101" spans="1:33" x14ac:dyDescent="0.25">
      <c r="A101" s="9">
        <v>0.6</v>
      </c>
      <c r="B101" s="9">
        <v>0.1</v>
      </c>
      <c r="C101" s="9">
        <v>3.665</v>
      </c>
      <c r="D101" s="9">
        <v>0.78500000000000003</v>
      </c>
      <c r="E101" s="9">
        <v>0</v>
      </c>
      <c r="F101" s="9">
        <v>0</v>
      </c>
      <c r="G101" s="9">
        <v>0</v>
      </c>
      <c r="N101" s="9">
        <v>0.7109443750341381</v>
      </c>
      <c r="O101" s="9">
        <v>0.15822190613433743</v>
      </c>
      <c r="P101" s="9">
        <v>3.6552839317416792</v>
      </c>
      <c r="Q101" s="9">
        <v>0.44145394292698292</v>
      </c>
      <c r="R101" s="10">
        <v>1.4780956347744951E-4</v>
      </c>
      <c r="S101" s="8">
        <f t="shared" si="10"/>
        <v>0.11094437503413812</v>
      </c>
      <c r="T101" s="8">
        <f t="shared" si="11"/>
        <v>5.822190613433742E-2</v>
      </c>
      <c r="U101" s="8">
        <f t="shared" si="12"/>
        <v>9.7160682583208313E-3</v>
      </c>
      <c r="V101" s="8">
        <f t="shared" si="13"/>
        <v>0.34354605707301711</v>
      </c>
      <c r="AC101" s="8">
        <v>5.811477460721115E-2</v>
      </c>
      <c r="AD101" s="8">
        <v>6.5979506962907636E-2</v>
      </c>
      <c r="AF101" s="8">
        <f t="shared" si="14"/>
        <v>5.282960042692697E-2</v>
      </c>
      <c r="AG101" s="8">
        <f t="shared" si="15"/>
        <v>7.7576008285702158E-3</v>
      </c>
    </row>
    <row r="102" spans="1:33" x14ac:dyDescent="0.25">
      <c r="A102" s="9">
        <v>0.8</v>
      </c>
      <c r="B102" s="9">
        <v>0.18</v>
      </c>
      <c r="C102" s="9">
        <v>3.665</v>
      </c>
      <c r="D102" s="9">
        <v>0.78500000000000003</v>
      </c>
      <c r="E102" s="9">
        <v>1.4</v>
      </c>
      <c r="F102" s="9">
        <v>0</v>
      </c>
      <c r="G102" s="9">
        <v>0</v>
      </c>
      <c r="N102" s="9">
        <v>0.86077191249108442</v>
      </c>
      <c r="O102" s="9">
        <v>9.6518023048227403E-2</v>
      </c>
      <c r="P102" s="9">
        <v>3.8006889785674205</v>
      </c>
      <c r="Q102" s="9">
        <v>1.3223088770161646</v>
      </c>
      <c r="R102" s="10">
        <v>4.2596289225470935E-4</v>
      </c>
      <c r="S102" s="8">
        <f t="shared" si="10"/>
        <v>6.0771912491084379E-2</v>
      </c>
      <c r="T102" s="8">
        <f t="shared" si="11"/>
        <v>8.3481976951772591E-2</v>
      </c>
      <c r="U102" s="8">
        <f t="shared" si="12"/>
        <v>0.13568897856742046</v>
      </c>
      <c r="V102" s="8">
        <f t="shared" si="13"/>
        <v>0.53730887701616459</v>
      </c>
      <c r="AC102" s="8">
        <v>0.16533542467281026</v>
      </c>
      <c r="AD102" s="8">
        <v>9.5790533697403646E-2</v>
      </c>
      <c r="AF102" s="8">
        <f t="shared" si="14"/>
        <v>0.10456351218172588</v>
      </c>
      <c r="AG102" s="8">
        <f t="shared" si="15"/>
        <v>1.2308556745631055E-2</v>
      </c>
    </row>
    <row r="103" spans="1:33" x14ac:dyDescent="0.25">
      <c r="A103" s="9">
        <v>0.4</v>
      </c>
      <c r="B103" s="9">
        <v>0.2</v>
      </c>
      <c r="C103" s="9">
        <v>3.665</v>
      </c>
      <c r="D103" s="9">
        <v>0.78500000000000003</v>
      </c>
      <c r="E103" s="9">
        <v>1.4</v>
      </c>
      <c r="F103" s="9">
        <v>0</v>
      </c>
      <c r="G103" s="9">
        <v>0</v>
      </c>
      <c r="N103" s="9">
        <v>0.43092170781782596</v>
      </c>
      <c r="O103" s="9">
        <v>0.12503704453517747</v>
      </c>
      <c r="P103" s="9">
        <v>3.6135579256370667</v>
      </c>
      <c r="Q103" s="9">
        <v>0.7925745077394396</v>
      </c>
      <c r="R103" s="10">
        <v>4.8266205834822692E-5</v>
      </c>
      <c r="S103" s="8">
        <f t="shared" si="10"/>
        <v>3.0921707817825939E-2</v>
      </c>
      <c r="T103" s="8">
        <f t="shared" si="11"/>
        <v>7.4962955464822539E-2</v>
      </c>
      <c r="U103" s="8">
        <f t="shared" si="12"/>
        <v>5.1442074362933354E-2</v>
      </c>
      <c r="V103" s="8">
        <f t="shared" si="13"/>
        <v>7.5745077394395732E-3</v>
      </c>
      <c r="AC103" s="8">
        <v>1.4135487561937166E-2</v>
      </c>
      <c r="AD103" s="8">
        <v>6.8483782560048889E-2</v>
      </c>
      <c r="AF103" s="8">
        <f t="shared" si="14"/>
        <v>1.6786220255888773E-2</v>
      </c>
      <c r="AG103" s="8">
        <f t="shared" si="15"/>
        <v>6.4791729047736502E-3</v>
      </c>
    </row>
    <row r="104" spans="1:33" x14ac:dyDescent="0.25">
      <c r="A104" s="9">
        <v>0.4</v>
      </c>
      <c r="B104" s="9">
        <v>0.1</v>
      </c>
      <c r="C104" s="9">
        <v>3.665</v>
      </c>
      <c r="D104" s="9">
        <v>1.571</v>
      </c>
      <c r="E104" s="9">
        <v>1.4</v>
      </c>
      <c r="F104" s="9">
        <v>0</v>
      </c>
      <c r="G104" s="9">
        <v>0</v>
      </c>
      <c r="N104" s="9">
        <v>0.57900831872320269</v>
      </c>
      <c r="O104" s="9">
        <v>0.17696223669789726</v>
      </c>
      <c r="P104" s="9">
        <v>3.1248091303577032</v>
      </c>
      <c r="Q104" s="9">
        <v>2.5887572939752928</v>
      </c>
      <c r="R104" s="10">
        <v>1.6932623747484827E-3</v>
      </c>
      <c r="S104" s="8">
        <f t="shared" si="10"/>
        <v>0.17900831872320266</v>
      </c>
      <c r="T104" s="8">
        <f t="shared" si="11"/>
        <v>7.6962236697897257E-2</v>
      </c>
      <c r="U104" s="8">
        <f t="shared" si="12"/>
        <v>0.54019086964229679</v>
      </c>
      <c r="V104" s="8">
        <f t="shared" si="13"/>
        <v>1.0177572939752928</v>
      </c>
      <c r="AC104" s="8">
        <v>0.18970672265287469</v>
      </c>
      <c r="AD104" s="8">
        <v>4.3564840639874064E-2</v>
      </c>
      <c r="AF104" s="8">
        <f t="shared" si="14"/>
        <v>1.0698403929672029E-2</v>
      </c>
      <c r="AG104" s="8">
        <f t="shared" si="15"/>
        <v>3.3397396058023193E-2</v>
      </c>
    </row>
    <row r="105" spans="1:33" x14ac:dyDescent="0.25">
      <c r="A105" s="9">
        <v>0.7</v>
      </c>
      <c r="B105" s="9">
        <v>0.1</v>
      </c>
      <c r="C105" s="9">
        <v>3.665</v>
      </c>
      <c r="D105" s="9">
        <v>1.571</v>
      </c>
      <c r="E105" s="9">
        <v>1.4</v>
      </c>
      <c r="F105" s="9">
        <v>0</v>
      </c>
      <c r="G105" s="9">
        <v>0</v>
      </c>
      <c r="N105" s="9">
        <v>0.91962108448188307</v>
      </c>
      <c r="O105" s="9">
        <v>5.9517595263674353E-2</v>
      </c>
      <c r="P105" s="9">
        <v>3.478536375413916</v>
      </c>
      <c r="Q105" s="9">
        <v>1.7598532163535341</v>
      </c>
      <c r="R105" s="10">
        <v>8.89308589907474E-4</v>
      </c>
      <c r="S105" s="8">
        <f t="shared" si="10"/>
        <v>0.21962108448188311</v>
      </c>
      <c r="T105" s="8">
        <f t="shared" si="11"/>
        <v>4.0482404736325653E-2</v>
      </c>
      <c r="U105" s="8">
        <f t="shared" si="12"/>
        <v>0.18646362458608401</v>
      </c>
      <c r="V105" s="8">
        <f t="shared" si="13"/>
        <v>0.18885321635353414</v>
      </c>
      <c r="AC105" s="8">
        <v>0.20752210856610109</v>
      </c>
      <c r="AD105" s="8">
        <v>4.2134217009320296E-2</v>
      </c>
      <c r="AF105" s="8">
        <f t="shared" si="14"/>
        <v>1.2098975915782018E-2</v>
      </c>
      <c r="AG105" s="8">
        <f t="shared" si="15"/>
        <v>1.6518122729946433E-3</v>
      </c>
    </row>
    <row r="106" spans="1:33" x14ac:dyDescent="0.25">
      <c r="A106" s="9">
        <v>0.4</v>
      </c>
      <c r="B106" s="9">
        <v>0.16</v>
      </c>
      <c r="C106" s="9">
        <v>3.665</v>
      </c>
      <c r="D106" s="9">
        <v>1.571</v>
      </c>
      <c r="E106" s="9">
        <v>0</v>
      </c>
      <c r="F106" s="9">
        <v>0</v>
      </c>
      <c r="G106" s="9">
        <v>0</v>
      </c>
      <c r="N106" s="9">
        <v>0.45027605029119711</v>
      </c>
      <c r="O106" s="9">
        <v>0.12786356570990892</v>
      </c>
      <c r="P106" s="9">
        <v>3.8964139541861993</v>
      </c>
      <c r="Q106" s="9">
        <v>1.0565994326330788</v>
      </c>
      <c r="R106" s="10">
        <v>1.0891180863238554E-3</v>
      </c>
      <c r="S106" s="8">
        <f t="shared" si="10"/>
        <v>5.0276050291197083E-2</v>
      </c>
      <c r="T106" s="8">
        <f t="shared" si="11"/>
        <v>3.2136434290091082E-2</v>
      </c>
      <c r="U106" s="8">
        <f t="shared" si="12"/>
        <v>0.23141395418619926</v>
      </c>
      <c r="V106" s="8">
        <f t="shared" si="13"/>
        <v>0.51440056736692119</v>
      </c>
      <c r="AC106" s="8">
        <v>4.7945160932976183E-2</v>
      </c>
      <c r="AD106" s="8">
        <v>3.0135674418293401E-2</v>
      </c>
      <c r="AF106" s="8">
        <f t="shared" si="14"/>
        <v>2.3308893582209E-3</v>
      </c>
      <c r="AG106" s="8">
        <f t="shared" si="15"/>
        <v>2.0007598717976804E-3</v>
      </c>
    </row>
    <row r="107" spans="1:33" x14ac:dyDescent="0.25">
      <c r="A107" s="9">
        <v>0.3</v>
      </c>
      <c r="B107" s="9">
        <v>0.18</v>
      </c>
      <c r="C107" s="9">
        <v>3.665</v>
      </c>
      <c r="D107" s="9">
        <v>1.571</v>
      </c>
      <c r="E107" s="9">
        <v>0</v>
      </c>
      <c r="F107" s="9">
        <v>0</v>
      </c>
      <c r="G107" s="9">
        <v>0</v>
      </c>
      <c r="N107" s="9">
        <v>0.93492486047905432</v>
      </c>
      <c r="O107" s="9">
        <v>7.9449989907337842E-2</v>
      </c>
      <c r="P107" s="9">
        <v>4.20943075761374</v>
      </c>
      <c r="Q107" s="9">
        <v>2.7396667953262579</v>
      </c>
      <c r="R107" s="10">
        <v>1.435407785674194E-3</v>
      </c>
      <c r="S107" s="8">
        <f t="shared" si="10"/>
        <v>0.63492486047905428</v>
      </c>
      <c r="T107" s="8">
        <f t="shared" si="11"/>
        <v>0.10055001009266215</v>
      </c>
      <c r="U107" s="8">
        <f t="shared" si="12"/>
        <v>0.54443075761373994</v>
      </c>
      <c r="V107" s="8">
        <f t="shared" si="13"/>
        <v>1.1686667953262579</v>
      </c>
      <c r="AC107" s="8">
        <v>0.66783985556418379</v>
      </c>
      <c r="AD107" s="8">
        <v>0.11041897804512266</v>
      </c>
      <c r="AF107" s="8">
        <f t="shared" si="14"/>
        <v>3.2914995085129517E-2</v>
      </c>
      <c r="AG107" s="8">
        <f t="shared" si="15"/>
        <v>9.8689679524605056E-3</v>
      </c>
    </row>
    <row r="108" spans="1:33" x14ac:dyDescent="0.25">
      <c r="A108" s="9">
        <v>0.3</v>
      </c>
      <c r="B108" s="9">
        <v>0.08</v>
      </c>
      <c r="C108" s="9">
        <v>1.571</v>
      </c>
      <c r="D108" s="9">
        <v>0.78500000000000003</v>
      </c>
      <c r="E108" s="9">
        <v>1.4</v>
      </c>
      <c r="F108" s="9">
        <v>0</v>
      </c>
      <c r="G108" s="9">
        <v>0</v>
      </c>
      <c r="N108" s="9">
        <v>0.31629310986086395</v>
      </c>
      <c r="O108" s="9">
        <v>9.1005361981055272E-2</v>
      </c>
      <c r="P108" s="9">
        <v>2.1557423561611717</v>
      </c>
      <c r="Q108" s="9">
        <v>0.89415596965920741</v>
      </c>
      <c r="R108" s="10">
        <v>2.6131738659544045E-4</v>
      </c>
      <c r="S108" s="8">
        <f t="shared" si="10"/>
        <v>1.6293109860863964E-2</v>
      </c>
      <c r="T108" s="8">
        <f t="shared" si="11"/>
        <v>1.100536198105527E-2</v>
      </c>
      <c r="U108" s="8">
        <f t="shared" si="12"/>
        <v>0.58474235616117176</v>
      </c>
      <c r="V108" s="8">
        <f t="shared" si="13"/>
        <v>0.10915596965920737</v>
      </c>
      <c r="AC108" s="8">
        <v>2.3956779500391545E-2</v>
      </c>
      <c r="AD108" s="8">
        <v>1.0837568046531992E-2</v>
      </c>
      <c r="AF108" s="8">
        <f t="shared" si="14"/>
        <v>7.6636696395275816E-3</v>
      </c>
      <c r="AG108" s="8">
        <f t="shared" si="15"/>
        <v>1.6779393452327762E-4</v>
      </c>
    </row>
    <row r="109" spans="1:33" x14ac:dyDescent="0.25">
      <c r="A109" s="9">
        <v>0.4</v>
      </c>
      <c r="B109" s="9">
        <v>0.14000000000000001</v>
      </c>
      <c r="C109" s="9">
        <v>1.571</v>
      </c>
      <c r="D109" s="9">
        <v>0.78500000000000003</v>
      </c>
      <c r="E109" s="9">
        <v>0</v>
      </c>
      <c r="F109" s="9">
        <v>0</v>
      </c>
      <c r="G109" s="9">
        <v>0</v>
      </c>
      <c r="N109" s="9">
        <v>0.62449511087680931</v>
      </c>
      <c r="O109" s="9">
        <v>6.3208247275715779E-2</v>
      </c>
      <c r="P109" s="9">
        <v>1.1829548312941267</v>
      </c>
      <c r="Q109" s="9">
        <v>0.71662159442877071</v>
      </c>
      <c r="R109" s="10">
        <v>3.5906321916075163E-4</v>
      </c>
      <c r="S109" s="8">
        <f t="shared" si="10"/>
        <v>0.22449511087680929</v>
      </c>
      <c r="T109" s="8">
        <f t="shared" si="11"/>
        <v>7.6791752724284235E-2</v>
      </c>
      <c r="U109" s="8">
        <f t="shared" si="12"/>
        <v>0.38804516870587324</v>
      </c>
      <c r="V109" s="8">
        <f t="shared" si="13"/>
        <v>6.8378405571229317E-2</v>
      </c>
      <c r="AC109" s="8">
        <v>0.21270101586646528</v>
      </c>
      <c r="AD109" s="8">
        <v>7.3968330165193288E-2</v>
      </c>
      <c r="AF109" s="8">
        <f t="shared" si="14"/>
        <v>1.1794095010344008E-2</v>
      </c>
      <c r="AG109" s="8">
        <f t="shared" si="15"/>
        <v>2.8234225590909462E-3</v>
      </c>
    </row>
    <row r="110" spans="1:33" x14ac:dyDescent="0.25">
      <c r="A110" s="9">
        <v>0.6</v>
      </c>
      <c r="B110" s="9">
        <v>0.16</v>
      </c>
      <c r="C110" s="9">
        <v>1.571</v>
      </c>
      <c r="D110" s="9">
        <v>0.78500000000000003</v>
      </c>
      <c r="E110" s="9">
        <v>1.4</v>
      </c>
      <c r="F110" s="9">
        <v>0</v>
      </c>
      <c r="G110" s="9">
        <v>0</v>
      </c>
      <c r="N110" s="9">
        <v>0.47708293233500476</v>
      </c>
      <c r="O110" s="9">
        <v>0.17116618914279913</v>
      </c>
      <c r="P110" s="9">
        <v>1.7487427180792383</v>
      </c>
      <c r="Q110" s="9">
        <v>1.0446100194714605</v>
      </c>
      <c r="R110" s="10">
        <v>7.8434113670499637E-5</v>
      </c>
      <c r="S110" s="8">
        <f t="shared" si="10"/>
        <v>0.12291706766499522</v>
      </c>
      <c r="T110" s="8">
        <f t="shared" si="11"/>
        <v>1.1166189142799127E-2</v>
      </c>
      <c r="U110" s="8">
        <f t="shared" si="12"/>
        <v>0.17774271807923836</v>
      </c>
      <c r="V110" s="8">
        <f t="shared" si="13"/>
        <v>0.25961001947146045</v>
      </c>
      <c r="AC110" s="8">
        <v>6.992409555263368E-2</v>
      </c>
      <c r="AD110" s="8">
        <v>6.107137639434157E-3</v>
      </c>
      <c r="AF110" s="8">
        <f t="shared" si="14"/>
        <v>5.2992972112361536E-2</v>
      </c>
      <c r="AG110" s="8">
        <f t="shared" si="15"/>
        <v>5.0590515033649697E-3</v>
      </c>
    </row>
    <row r="111" spans="1:33" x14ac:dyDescent="0.25">
      <c r="A111" s="9">
        <v>0.4</v>
      </c>
      <c r="B111" s="9">
        <v>0.06</v>
      </c>
      <c r="C111" s="9">
        <v>1.571</v>
      </c>
      <c r="D111" s="9">
        <v>1.571</v>
      </c>
      <c r="E111" s="9">
        <v>1.4</v>
      </c>
      <c r="F111" s="9">
        <v>0</v>
      </c>
      <c r="G111" s="9">
        <v>0</v>
      </c>
      <c r="N111" s="9">
        <v>0.51934548573320449</v>
      </c>
      <c r="O111" s="9">
        <v>4.4637344523141373E-2</v>
      </c>
      <c r="P111" s="9">
        <v>2.275671777277517</v>
      </c>
      <c r="Q111" s="9">
        <v>0.91934177982180654</v>
      </c>
      <c r="R111" s="10">
        <v>2.3135129814571163E-3</v>
      </c>
      <c r="S111" s="8">
        <f t="shared" si="10"/>
        <v>0.11934548573320447</v>
      </c>
      <c r="T111" s="8">
        <f t="shared" si="11"/>
        <v>1.5362655476858625E-2</v>
      </c>
      <c r="U111" s="8">
        <f t="shared" si="12"/>
        <v>0.70467177727751706</v>
      </c>
      <c r="V111" s="8">
        <f t="shared" si="13"/>
        <v>0.65165822017819341</v>
      </c>
      <c r="AC111" s="8">
        <v>9.2508965013441469E-2</v>
      </c>
      <c r="AD111" s="8">
        <v>3.8282461951822756E-2</v>
      </c>
      <c r="AF111" s="8">
        <f t="shared" si="14"/>
        <v>2.6836520719763002E-2</v>
      </c>
      <c r="AG111" s="8">
        <f t="shared" si="15"/>
        <v>2.2919806474964131E-2</v>
      </c>
    </row>
    <row r="112" spans="1:33" x14ac:dyDescent="0.25">
      <c r="A112" s="9">
        <v>0.8</v>
      </c>
      <c r="B112" s="9">
        <v>0.08</v>
      </c>
      <c r="C112" s="9">
        <v>1.571</v>
      </c>
      <c r="D112" s="9">
        <v>1.571</v>
      </c>
      <c r="E112" s="9">
        <v>0</v>
      </c>
      <c r="F112" s="9">
        <v>0</v>
      </c>
      <c r="G112" s="9">
        <v>0</v>
      </c>
      <c r="N112" s="9">
        <v>0.92917716366552106</v>
      </c>
      <c r="O112" s="9">
        <v>7.2297894898532292E-2</v>
      </c>
      <c r="P112" s="9">
        <v>1.5421002014336418</v>
      </c>
      <c r="Q112" s="9">
        <v>1.7602896605881535</v>
      </c>
      <c r="R112" s="10">
        <v>7.4872096025316697E-5</v>
      </c>
      <c r="S112" s="8">
        <f t="shared" si="10"/>
        <v>0.12917716366552101</v>
      </c>
      <c r="T112" s="8">
        <f t="shared" si="11"/>
        <v>7.70210510146771E-3</v>
      </c>
      <c r="U112" s="8">
        <f t="shared" si="12"/>
        <v>2.8899798566358159E-2</v>
      </c>
      <c r="V112" s="8">
        <f t="shared" si="13"/>
        <v>0.18928966058815355</v>
      </c>
      <c r="AC112" s="8">
        <v>1.5686053845490044E-2</v>
      </c>
      <c r="AD112" s="8">
        <v>1.1574348314720109E-2</v>
      </c>
      <c r="AF112" s="8">
        <f t="shared" si="14"/>
        <v>0.11349110982003097</v>
      </c>
      <c r="AG112" s="8">
        <f t="shared" si="15"/>
        <v>3.8722432132523993E-3</v>
      </c>
    </row>
    <row r="113" spans="1:33" x14ac:dyDescent="0.25">
      <c r="A113" s="9">
        <v>0.7</v>
      </c>
      <c r="B113" s="9">
        <v>0.16</v>
      </c>
      <c r="C113" s="9">
        <v>1.571</v>
      </c>
      <c r="D113" s="9">
        <v>1.571</v>
      </c>
      <c r="E113" s="9">
        <v>1.4</v>
      </c>
      <c r="F113" s="9">
        <v>0</v>
      </c>
      <c r="G113" s="9">
        <v>0</v>
      </c>
      <c r="N113" s="9">
        <v>0.99999998614396135</v>
      </c>
      <c r="O113" s="9">
        <v>0.1083507093999922</v>
      </c>
      <c r="P113" s="9">
        <v>1.6633201206153967</v>
      </c>
      <c r="Q113" s="9">
        <v>2.1983246248835391</v>
      </c>
      <c r="R113" s="10">
        <v>2.6522221869358818E-3</v>
      </c>
      <c r="S113" s="8">
        <f t="shared" si="10"/>
        <v>0.29999998614396139</v>
      </c>
      <c r="T113" s="8">
        <f t="shared" si="11"/>
        <v>5.1649290600007808E-2</v>
      </c>
      <c r="U113" s="8">
        <f t="shared" si="12"/>
        <v>9.2320120615396739E-2</v>
      </c>
      <c r="V113" s="8">
        <f t="shared" si="13"/>
        <v>0.62732462488353913</v>
      </c>
      <c r="AC113" s="8">
        <v>0.29999999250514886</v>
      </c>
      <c r="AD113" s="8">
        <v>5.4877512330424538E-2</v>
      </c>
      <c r="AF113" s="8">
        <f t="shared" si="14"/>
        <v>6.3611874656643863E-9</v>
      </c>
      <c r="AG113" s="8">
        <f t="shared" si="15"/>
        <v>3.2282217304167304E-3</v>
      </c>
    </row>
    <row r="114" spans="1:33" x14ac:dyDescent="0.25">
      <c r="A114" s="9">
        <v>0.7</v>
      </c>
      <c r="B114" s="9">
        <v>0.2</v>
      </c>
      <c r="C114" s="9">
        <v>1.571</v>
      </c>
      <c r="D114" s="9">
        <v>1.571</v>
      </c>
      <c r="E114" s="9">
        <v>0</v>
      </c>
      <c r="F114" s="9">
        <v>0</v>
      </c>
      <c r="G114" s="9">
        <v>0</v>
      </c>
      <c r="N114" s="9">
        <v>0.62719296710224692</v>
      </c>
      <c r="O114" s="9">
        <v>0.19998415948537704</v>
      </c>
      <c r="P114" s="9">
        <v>1.3428977943067038</v>
      </c>
      <c r="Q114" s="9">
        <v>1.8095913619058848</v>
      </c>
      <c r="R114" s="10">
        <v>1.8731275728243676E-3</v>
      </c>
      <c r="S114" s="8">
        <f t="shared" si="10"/>
        <v>7.2807032897753032E-2</v>
      </c>
      <c r="T114" s="8">
        <f t="shared" si="11"/>
        <v>1.5840514622972313E-5</v>
      </c>
      <c r="U114" s="8">
        <f t="shared" si="12"/>
        <v>0.2281022056932962</v>
      </c>
      <c r="V114" s="8">
        <f t="shared" si="13"/>
        <v>0.23859136190588481</v>
      </c>
      <c r="AC114" s="8">
        <v>0.15573663182583597</v>
      </c>
      <c r="AD114" s="8">
        <v>9.6596100517265526E-6</v>
      </c>
      <c r="AF114" s="8">
        <f t="shared" si="14"/>
        <v>8.2929598928082937E-2</v>
      </c>
      <c r="AG114" s="8">
        <f t="shared" si="15"/>
        <v>6.18090457124576E-6</v>
      </c>
    </row>
    <row r="115" spans="1:33" x14ac:dyDescent="0.25">
      <c r="A115" s="9">
        <v>0.7</v>
      </c>
      <c r="B115" s="9">
        <v>0.06</v>
      </c>
      <c r="C115" s="9">
        <v>3.665</v>
      </c>
      <c r="D115" s="9">
        <v>0.78500000000000003</v>
      </c>
      <c r="E115" s="9">
        <v>0</v>
      </c>
      <c r="F115" s="9">
        <v>0</v>
      </c>
      <c r="G115" s="9">
        <v>0</v>
      </c>
      <c r="N115" s="9">
        <v>0.9118986935803528</v>
      </c>
      <c r="O115" s="9">
        <v>2.3033543392731972E-2</v>
      </c>
      <c r="P115" s="9">
        <v>3.9862317756286245</v>
      </c>
      <c r="Q115" s="9">
        <v>1.0247330791944824</v>
      </c>
      <c r="R115" s="10">
        <v>1.3979509337885643E-3</v>
      </c>
      <c r="S115" s="8">
        <f t="shared" si="10"/>
        <v>0.21189869358035285</v>
      </c>
      <c r="T115" s="8">
        <f t="shared" si="11"/>
        <v>3.6966456607268022E-2</v>
      </c>
      <c r="U115" s="8">
        <f t="shared" si="12"/>
        <v>0.32123177562862448</v>
      </c>
      <c r="V115" s="8">
        <f t="shared" si="13"/>
        <v>0.23973307919448239</v>
      </c>
      <c r="AC115" s="8">
        <v>0.17207625864213694</v>
      </c>
      <c r="AD115" s="8">
        <v>3.6009793086720927E-2</v>
      </c>
      <c r="AF115" s="8">
        <f t="shared" si="14"/>
        <v>3.9822434938215912E-2</v>
      </c>
      <c r="AG115" s="8">
        <f t="shared" si="15"/>
        <v>9.5666352054709497E-4</v>
      </c>
    </row>
    <row r="116" spans="1:33" x14ac:dyDescent="0.25">
      <c r="A116" s="9">
        <v>0.6</v>
      </c>
      <c r="B116" s="9">
        <v>0.1</v>
      </c>
      <c r="C116" s="9">
        <v>3.665</v>
      </c>
      <c r="D116" s="9">
        <v>0.78500000000000003</v>
      </c>
      <c r="E116" s="9">
        <v>0</v>
      </c>
      <c r="F116" s="9">
        <v>0</v>
      </c>
      <c r="G116" s="9">
        <v>0</v>
      </c>
      <c r="N116" s="9">
        <v>0.96231880001939651</v>
      </c>
      <c r="O116" s="9">
        <v>5.0861507495346521E-2</v>
      </c>
      <c r="P116" s="9">
        <v>3.4984081146844721</v>
      </c>
      <c r="Q116" s="9">
        <v>0.70791137256574121</v>
      </c>
      <c r="R116" s="10">
        <v>5.2794511569267271E-4</v>
      </c>
      <c r="S116" s="8">
        <f t="shared" si="10"/>
        <v>0.36231880001939654</v>
      </c>
      <c r="T116" s="8">
        <f t="shared" si="11"/>
        <v>4.9138492504653485E-2</v>
      </c>
      <c r="U116" s="8">
        <f t="shared" si="12"/>
        <v>0.16659188531552793</v>
      </c>
      <c r="V116" s="8">
        <f t="shared" si="13"/>
        <v>7.7088627434258816E-2</v>
      </c>
      <c r="AC116" s="8">
        <v>0.31514051977080326</v>
      </c>
      <c r="AD116" s="8">
        <v>4.8603817928173962E-2</v>
      </c>
      <c r="AF116" s="8">
        <f t="shared" si="14"/>
        <v>4.7178280248593274E-2</v>
      </c>
      <c r="AG116" s="8">
        <f t="shared" si="15"/>
        <v>5.3467457647952271E-4</v>
      </c>
    </row>
    <row r="117" spans="1:33" x14ac:dyDescent="0.25">
      <c r="A117" s="9">
        <v>0.8</v>
      </c>
      <c r="B117" s="9">
        <v>0.18</v>
      </c>
      <c r="C117" s="9">
        <v>3.665</v>
      </c>
      <c r="D117" s="9">
        <v>0.78500000000000003</v>
      </c>
      <c r="E117" s="9">
        <v>1.4</v>
      </c>
      <c r="F117" s="9">
        <v>0</v>
      </c>
      <c r="G117" s="9">
        <v>0</v>
      </c>
      <c r="N117" s="9">
        <v>0.68090704878304686</v>
      </c>
      <c r="O117" s="9">
        <v>0.19999999354977191</v>
      </c>
      <c r="P117" s="9">
        <v>3.6243078212044502</v>
      </c>
      <c r="Q117" s="9">
        <v>0.5721672707097808</v>
      </c>
      <c r="R117" s="10">
        <v>1.4329525303739576E-3</v>
      </c>
      <c r="S117" s="8">
        <f t="shared" si="10"/>
        <v>0.11909295121695318</v>
      </c>
      <c r="T117" s="8">
        <f t="shared" si="11"/>
        <v>1.9999993549771916E-2</v>
      </c>
      <c r="U117" s="8">
        <f t="shared" si="12"/>
        <v>4.0692178795549871E-2</v>
      </c>
      <c r="V117" s="8">
        <f t="shared" si="13"/>
        <v>0.21283272929021924</v>
      </c>
      <c r="AC117" s="8">
        <v>0.10856193774262834</v>
      </c>
      <c r="AD117" s="8">
        <v>1.9724439100340663E-2</v>
      </c>
      <c r="AF117" s="8">
        <f t="shared" si="14"/>
        <v>1.0531013474324835E-2</v>
      </c>
      <c r="AG117" s="8">
        <f t="shared" si="15"/>
        <v>2.755544494312534E-4</v>
      </c>
    </row>
    <row r="118" spans="1:33" x14ac:dyDescent="0.25">
      <c r="A118" s="9">
        <v>0.4</v>
      </c>
      <c r="B118" s="9">
        <v>0.2</v>
      </c>
      <c r="C118" s="9">
        <v>3.665</v>
      </c>
      <c r="D118" s="9">
        <v>0.78500000000000003</v>
      </c>
      <c r="E118" s="9">
        <v>1.4</v>
      </c>
      <c r="F118" s="9">
        <v>0</v>
      </c>
      <c r="G118" s="9">
        <v>0</v>
      </c>
      <c r="N118" s="9">
        <v>0.38224036449924592</v>
      </c>
      <c r="O118" s="9">
        <v>8.0966190837272509E-2</v>
      </c>
      <c r="P118" s="9">
        <v>3.7674566981680893</v>
      </c>
      <c r="Q118" s="9">
        <v>2.0729490381627635</v>
      </c>
      <c r="R118" s="10">
        <v>9.0986625827964117E-5</v>
      </c>
      <c r="S118" s="8">
        <f t="shared" si="10"/>
        <v>1.7759635500754101E-2</v>
      </c>
      <c r="T118" s="8">
        <f t="shared" si="11"/>
        <v>0.1190338091627275</v>
      </c>
      <c r="U118" s="8">
        <f t="shared" si="12"/>
        <v>0.10245669816808922</v>
      </c>
      <c r="V118" s="8">
        <f t="shared" si="13"/>
        <v>1.2879490381627634</v>
      </c>
      <c r="AC118" s="8">
        <v>5.7963577418342793E-2</v>
      </c>
      <c r="AD118" s="8">
        <v>0.11614013502087882</v>
      </c>
      <c r="AF118" s="8">
        <f t="shared" si="14"/>
        <v>4.0203941917588693E-2</v>
      </c>
      <c r="AG118" s="8">
        <f t="shared" si="15"/>
        <v>2.8936741418486844E-3</v>
      </c>
    </row>
    <row r="119" spans="1:33" x14ac:dyDescent="0.25">
      <c r="A119" s="9">
        <v>0.4</v>
      </c>
      <c r="B119" s="9">
        <v>0.1</v>
      </c>
      <c r="C119" s="9">
        <v>3.665</v>
      </c>
      <c r="D119" s="9">
        <v>1.571</v>
      </c>
      <c r="E119" s="9">
        <v>1.4</v>
      </c>
      <c r="F119" s="9">
        <v>0</v>
      </c>
      <c r="G119" s="9">
        <v>0</v>
      </c>
      <c r="N119" s="9">
        <v>0.57412357933743208</v>
      </c>
      <c r="O119" s="9">
        <v>4.6531807779682091E-2</v>
      </c>
      <c r="P119" s="9">
        <v>3.7717000335357724</v>
      </c>
      <c r="Q119" s="9">
        <v>1.2758415721094996</v>
      </c>
      <c r="R119" s="10">
        <v>3.6337919784749349E-5</v>
      </c>
      <c r="S119" s="8">
        <f t="shared" si="10"/>
        <v>0.17412357933743206</v>
      </c>
      <c r="T119" s="8">
        <f t="shared" si="11"/>
        <v>5.3468192220317914E-2</v>
      </c>
      <c r="U119" s="8">
        <f t="shared" si="12"/>
        <v>0.1067000335357724</v>
      </c>
      <c r="V119" s="8">
        <f t="shared" si="13"/>
        <v>0.2951584278905004</v>
      </c>
      <c r="AC119" s="8">
        <v>0.11580864959359838</v>
      </c>
      <c r="AD119" s="8">
        <v>5.9334321104321582E-2</v>
      </c>
      <c r="AF119" s="8">
        <f t="shared" si="14"/>
        <v>5.8314929743833677E-2</v>
      </c>
      <c r="AG119" s="8">
        <f t="shared" si="15"/>
        <v>5.8661288840036671E-3</v>
      </c>
    </row>
    <row r="120" spans="1:33" x14ac:dyDescent="0.25">
      <c r="A120" s="9">
        <v>0.7</v>
      </c>
      <c r="B120" s="9">
        <v>0.1</v>
      </c>
      <c r="C120" s="9">
        <v>3.665</v>
      </c>
      <c r="D120" s="9">
        <v>1.571</v>
      </c>
      <c r="E120" s="9">
        <v>1.4</v>
      </c>
      <c r="F120" s="9">
        <v>0</v>
      </c>
      <c r="G120" s="9">
        <v>0</v>
      </c>
      <c r="N120" s="9">
        <v>0.70886417223931553</v>
      </c>
      <c r="O120" s="9">
        <v>0.12985350774743595</v>
      </c>
      <c r="P120" s="9">
        <v>3.6303116692635715</v>
      </c>
      <c r="Q120" s="9">
        <v>1.8165277474986636</v>
      </c>
      <c r="R120" s="10">
        <v>1.2537896525716899E-5</v>
      </c>
      <c r="S120" s="8">
        <f t="shared" si="10"/>
        <v>8.8641722393155709E-3</v>
      </c>
      <c r="T120" s="8">
        <f t="shared" si="11"/>
        <v>2.9853507747435948E-2</v>
      </c>
      <c r="U120" s="8">
        <f t="shared" si="12"/>
        <v>3.4688330736428519E-2</v>
      </c>
      <c r="V120" s="8">
        <f t="shared" si="13"/>
        <v>0.24552774749866368</v>
      </c>
      <c r="AC120" s="8">
        <v>3.546410878919859E-2</v>
      </c>
      <c r="AD120" s="8">
        <v>2.3674875916347912E-2</v>
      </c>
      <c r="AF120" s="8">
        <f t="shared" si="14"/>
        <v>2.6599936549883019E-2</v>
      </c>
      <c r="AG120" s="8">
        <f t="shared" si="15"/>
        <v>6.1786318310880356E-3</v>
      </c>
    </row>
    <row r="121" spans="1:33" x14ac:dyDescent="0.25">
      <c r="A121" s="9">
        <v>0.4</v>
      </c>
      <c r="B121" s="9">
        <v>0.16</v>
      </c>
      <c r="C121" s="9">
        <v>3.665</v>
      </c>
      <c r="D121" s="9">
        <v>1.571</v>
      </c>
      <c r="E121" s="9">
        <v>0</v>
      </c>
      <c r="F121" s="9">
        <v>0</v>
      </c>
      <c r="G121" s="9">
        <v>0</v>
      </c>
      <c r="N121" s="9">
        <v>0.35215506266723501</v>
      </c>
      <c r="O121" s="9">
        <v>0.1644788080084402</v>
      </c>
      <c r="P121" s="9">
        <v>3.2304701539615435</v>
      </c>
      <c r="Q121" s="9">
        <v>1.6716245401395642</v>
      </c>
      <c r="R121" s="10">
        <v>9.9431256656749888E-4</v>
      </c>
      <c r="S121" s="8">
        <f t="shared" si="10"/>
        <v>4.7844937332765014E-2</v>
      </c>
      <c r="T121" s="8">
        <f t="shared" si="11"/>
        <v>4.4788080084401938E-3</v>
      </c>
      <c r="U121" s="8">
        <f t="shared" si="12"/>
        <v>0.43452984603845657</v>
      </c>
      <c r="V121" s="8">
        <f t="shared" si="13"/>
        <v>0.10062454013956423</v>
      </c>
      <c r="AC121" s="8">
        <v>6.6781085593718537E-2</v>
      </c>
      <c r="AD121" s="8">
        <v>4.5460742627967121E-3</v>
      </c>
      <c r="AF121" s="8">
        <f t="shared" si="14"/>
        <v>1.8936148260953523E-2</v>
      </c>
      <c r="AG121" s="8">
        <f t="shared" si="15"/>
        <v>6.726625435651834E-5</v>
      </c>
    </row>
    <row r="122" spans="1:33" x14ac:dyDescent="0.25">
      <c r="A122" s="9">
        <v>0.3</v>
      </c>
      <c r="B122" s="9">
        <v>0.18</v>
      </c>
      <c r="C122" s="9">
        <v>3.665</v>
      </c>
      <c r="D122" s="9">
        <v>1.571</v>
      </c>
      <c r="E122" s="9">
        <v>0</v>
      </c>
      <c r="F122" s="9">
        <v>0</v>
      </c>
      <c r="G122" s="9">
        <v>0</v>
      </c>
      <c r="N122" s="9">
        <v>0.43050853236711017</v>
      </c>
      <c r="O122" s="9">
        <v>0.17015249936484569</v>
      </c>
      <c r="P122" s="9">
        <v>4.675903597535557</v>
      </c>
      <c r="Q122" s="9">
        <v>0.25841552792419609</v>
      </c>
      <c r="R122" s="10">
        <v>4.715927125761599E-3</v>
      </c>
      <c r="S122" s="8">
        <f t="shared" si="10"/>
        <v>0.13050853236711019</v>
      </c>
      <c r="T122" s="8">
        <f t="shared" si="11"/>
        <v>9.8475006351542993E-3</v>
      </c>
      <c r="U122" s="8">
        <f t="shared" si="12"/>
        <v>1.0109035975355569</v>
      </c>
      <c r="V122" s="8">
        <f t="shared" si="13"/>
        <v>1.312584472075804</v>
      </c>
      <c r="AC122" s="8">
        <v>8.8008863221318623E-2</v>
      </c>
      <c r="AD122" s="8">
        <v>0.14742087086196681</v>
      </c>
      <c r="AF122" s="8">
        <f t="shared" si="14"/>
        <v>4.2499669145791563E-2</v>
      </c>
      <c r="AG122" s="8">
        <f t="shared" si="15"/>
        <v>0.13757337022681251</v>
      </c>
    </row>
    <row r="123" spans="1:33" x14ac:dyDescent="0.25">
      <c r="A123" s="9">
        <v>0.3</v>
      </c>
      <c r="B123" s="9">
        <v>0.08</v>
      </c>
      <c r="C123" s="9">
        <v>1.571</v>
      </c>
      <c r="D123" s="9">
        <v>0.78500000000000003</v>
      </c>
      <c r="E123" s="9">
        <v>1.4</v>
      </c>
      <c r="F123" s="9">
        <v>0</v>
      </c>
      <c r="G123" s="9">
        <v>0</v>
      </c>
      <c r="N123" s="9">
        <v>0.39682261626483284</v>
      </c>
      <c r="O123" s="9">
        <v>1.0029419525909378E-2</v>
      </c>
      <c r="P123" s="9">
        <v>2.132878109299261</v>
      </c>
      <c r="Q123" s="9">
        <v>0.89692821410696011</v>
      </c>
      <c r="R123" s="10">
        <v>2.8394108456430061E-4</v>
      </c>
      <c r="S123" s="8">
        <f t="shared" si="10"/>
        <v>9.682261626483285E-2</v>
      </c>
      <c r="T123" s="8">
        <f t="shared" si="11"/>
        <v>6.9970580474090618E-2</v>
      </c>
      <c r="U123" s="8">
        <f t="shared" si="12"/>
        <v>0.56187810929926107</v>
      </c>
      <c r="V123" s="8">
        <f t="shared" si="13"/>
        <v>0.11192821410696008</v>
      </c>
      <c r="AC123" s="8">
        <v>0.10399494639047707</v>
      </c>
      <c r="AD123" s="8">
        <v>6.9915277936971498E-2</v>
      </c>
      <c r="AF123" s="8">
        <f t="shared" si="14"/>
        <v>7.1723301256442218E-3</v>
      </c>
      <c r="AG123" s="8">
        <f t="shared" si="15"/>
        <v>5.5302537119120143E-5</v>
      </c>
    </row>
    <row r="124" spans="1:33" x14ac:dyDescent="0.25">
      <c r="A124" s="9">
        <v>0.4</v>
      </c>
      <c r="B124" s="9">
        <v>0.14000000000000001</v>
      </c>
      <c r="C124" s="9">
        <v>1.571</v>
      </c>
      <c r="D124" s="9">
        <v>0.78500000000000003</v>
      </c>
      <c r="E124" s="9">
        <v>0</v>
      </c>
      <c r="F124" s="9">
        <v>0</v>
      </c>
      <c r="G124" s="9">
        <v>0</v>
      </c>
      <c r="N124" s="9">
        <v>0.24699112739600304</v>
      </c>
      <c r="O124" s="9">
        <v>0.1997625601417983</v>
      </c>
      <c r="P124" s="9">
        <v>1.3679972775395173</v>
      </c>
      <c r="Q124" s="9">
        <v>2.0643372273930063</v>
      </c>
      <c r="R124" s="10">
        <v>1.8782244941009673E-4</v>
      </c>
      <c r="S124" s="8">
        <f t="shared" si="10"/>
        <v>0.15300887260399698</v>
      </c>
      <c r="T124" s="8">
        <f t="shared" si="11"/>
        <v>5.9762560141798288E-2</v>
      </c>
      <c r="U124" s="8">
        <f t="shared" si="12"/>
        <v>0.20300272246048268</v>
      </c>
      <c r="V124" s="8">
        <f t="shared" si="13"/>
        <v>1.2793372273930061</v>
      </c>
      <c r="AC124" s="8">
        <v>0.1065166223947619</v>
      </c>
      <c r="AD124" s="8">
        <v>5.3767707118449665E-2</v>
      </c>
      <c r="AF124" s="8">
        <f t="shared" si="14"/>
        <v>4.6492250209235086E-2</v>
      </c>
      <c r="AG124" s="8">
        <f t="shared" si="15"/>
        <v>5.994853023348623E-3</v>
      </c>
    </row>
    <row r="125" spans="1:33" x14ac:dyDescent="0.25">
      <c r="A125" s="9">
        <v>0.6</v>
      </c>
      <c r="B125" s="9">
        <v>0.16</v>
      </c>
      <c r="C125" s="9">
        <v>1.571</v>
      </c>
      <c r="D125" s="9">
        <v>0.78500000000000003</v>
      </c>
      <c r="E125" s="9">
        <v>1.4</v>
      </c>
      <c r="F125" s="9">
        <v>0</v>
      </c>
      <c r="G125" s="9">
        <v>0</v>
      </c>
      <c r="N125" s="9">
        <v>0.53811706989296826</v>
      </c>
      <c r="O125" s="9">
        <v>0.18462977366830233</v>
      </c>
      <c r="P125" s="9">
        <v>1.8101171175112978</v>
      </c>
      <c r="Q125" s="9">
        <v>0.84262201645912527</v>
      </c>
      <c r="R125" s="10">
        <v>1.0985130548865197E-4</v>
      </c>
      <c r="S125" s="8">
        <f t="shared" si="10"/>
        <v>6.1882930107031719E-2</v>
      </c>
      <c r="T125" s="8">
        <f t="shared" si="11"/>
        <v>2.4629773668302324E-2</v>
      </c>
      <c r="U125" s="8">
        <f t="shared" si="12"/>
        <v>0.23911711751129783</v>
      </c>
      <c r="V125" s="8">
        <f t="shared" si="13"/>
        <v>5.7622016459125236E-2</v>
      </c>
      <c r="AC125" s="8">
        <v>4.0357266718095808E-2</v>
      </c>
      <c r="AD125" s="8">
        <v>1.3188174469878938E-2</v>
      </c>
      <c r="AF125" s="8">
        <f t="shared" si="14"/>
        <v>2.1525663388935912E-2</v>
      </c>
      <c r="AG125" s="8">
        <f t="shared" si="15"/>
        <v>1.1441599198423386E-2</v>
      </c>
    </row>
    <row r="126" spans="1:33" x14ac:dyDescent="0.25">
      <c r="A126" s="9">
        <v>0.4</v>
      </c>
      <c r="B126" s="9">
        <v>0.06</v>
      </c>
      <c r="C126" s="9">
        <v>1.571</v>
      </c>
      <c r="D126" s="9">
        <v>1.571</v>
      </c>
      <c r="E126" s="9">
        <v>1.4</v>
      </c>
      <c r="F126" s="9">
        <v>0</v>
      </c>
      <c r="G126" s="9">
        <v>0</v>
      </c>
      <c r="N126" s="9">
        <v>0.70348225979739076</v>
      </c>
      <c r="O126" s="9">
        <v>1.2443886766018038E-2</v>
      </c>
      <c r="P126" s="9">
        <v>1.3703727069103329</v>
      </c>
      <c r="Q126" s="9">
        <v>1.2062963540419969</v>
      </c>
      <c r="R126" s="10">
        <v>7.3973231106220957E-5</v>
      </c>
      <c r="S126" s="8">
        <f t="shared" si="10"/>
        <v>0.30348225979739074</v>
      </c>
      <c r="T126" s="8">
        <f t="shared" si="11"/>
        <v>4.7556113233981956E-2</v>
      </c>
      <c r="U126" s="8">
        <f t="shared" si="12"/>
        <v>0.20062729308966709</v>
      </c>
      <c r="V126" s="8">
        <f t="shared" si="13"/>
        <v>0.36470364595800309</v>
      </c>
      <c r="AC126" s="8">
        <v>0.23720732018954105</v>
      </c>
      <c r="AD126" s="8">
        <v>4.8749017712434187E-2</v>
      </c>
      <c r="AF126" s="8">
        <f t="shared" si="14"/>
        <v>6.6274939607849692E-2</v>
      </c>
      <c r="AG126" s="8">
        <f t="shared" si="15"/>
        <v>1.1929044784522308E-3</v>
      </c>
    </row>
    <row r="127" spans="1:33" x14ac:dyDescent="0.25">
      <c r="A127" s="9">
        <v>0.8</v>
      </c>
      <c r="B127" s="9">
        <v>0.08</v>
      </c>
      <c r="C127" s="9">
        <v>1.571</v>
      </c>
      <c r="D127" s="9">
        <v>1.571</v>
      </c>
      <c r="E127" s="9">
        <v>0</v>
      </c>
      <c r="F127" s="9">
        <v>0</v>
      </c>
      <c r="G127" s="9">
        <v>0</v>
      </c>
      <c r="N127" s="9">
        <v>0.88321815149207283</v>
      </c>
      <c r="O127" s="9">
        <v>8.3041611254076095E-2</v>
      </c>
      <c r="P127" s="9">
        <v>1.464475887536357</v>
      </c>
      <c r="Q127" s="9">
        <v>1.6760604523356892</v>
      </c>
      <c r="R127" s="10">
        <v>5.3298568762214785E-5</v>
      </c>
      <c r="S127" s="8">
        <f t="shared" si="10"/>
        <v>8.3218151492072789E-2</v>
      </c>
      <c r="T127" s="8">
        <f t="shared" si="11"/>
        <v>3.0416112540760931E-3</v>
      </c>
      <c r="U127" s="8">
        <f t="shared" si="12"/>
        <v>0.10652411246364291</v>
      </c>
      <c r="V127" s="8">
        <f t="shared" si="13"/>
        <v>0.10506045233568928</v>
      </c>
      <c r="AC127" s="8">
        <v>6.7200828949702363E-2</v>
      </c>
      <c r="AD127" s="8">
        <v>1.6061592166335681E-3</v>
      </c>
      <c r="AF127" s="8">
        <f t="shared" si="14"/>
        <v>1.6017322542370427E-2</v>
      </c>
      <c r="AG127" s="8">
        <f t="shared" si="15"/>
        <v>1.435452037442525E-3</v>
      </c>
    </row>
    <row r="128" spans="1:33" x14ac:dyDescent="0.25">
      <c r="A128" s="9">
        <v>0.7</v>
      </c>
      <c r="B128" s="9">
        <v>0.16</v>
      </c>
      <c r="C128" s="9">
        <v>1.571</v>
      </c>
      <c r="D128" s="9">
        <v>1.571</v>
      </c>
      <c r="E128" s="9">
        <v>1.4</v>
      </c>
      <c r="F128" s="9">
        <v>0</v>
      </c>
      <c r="G128" s="9">
        <v>0</v>
      </c>
      <c r="N128" s="9">
        <v>0.35691777740368741</v>
      </c>
      <c r="O128" s="9">
        <v>0.19999870055981514</v>
      </c>
      <c r="P128" s="9">
        <v>1.9856045294575537</v>
      </c>
      <c r="Q128" s="9">
        <v>0.99645122407794229</v>
      </c>
      <c r="R128" s="10">
        <v>3.612124386641484E-3</v>
      </c>
      <c r="S128" s="8">
        <f t="shared" si="10"/>
        <v>0.34308222259631255</v>
      </c>
      <c r="T128" s="8">
        <f t="shared" si="11"/>
        <v>3.9998700559815137E-2</v>
      </c>
      <c r="U128" s="8">
        <f t="shared" si="12"/>
        <v>0.41460452945755377</v>
      </c>
      <c r="V128" s="8">
        <f t="shared" si="13"/>
        <v>0.57454877592205766</v>
      </c>
      <c r="AC128" s="8">
        <v>0.4650629556663391</v>
      </c>
      <c r="AD128" s="8">
        <v>3.9991309429955796E-2</v>
      </c>
      <c r="AF128" s="8">
        <f t="shared" si="14"/>
        <v>0.12198073307002655</v>
      </c>
      <c r="AG128" s="8">
        <f t="shared" si="15"/>
        <v>7.3911298593409835E-6</v>
      </c>
    </row>
    <row r="129" spans="1:33" x14ac:dyDescent="0.25">
      <c r="A129" s="9">
        <v>0.7</v>
      </c>
      <c r="B129" s="9">
        <v>0.2</v>
      </c>
      <c r="C129" s="9">
        <v>1.571</v>
      </c>
      <c r="D129" s="9">
        <v>1.571</v>
      </c>
      <c r="E129" s="9">
        <v>0</v>
      </c>
      <c r="F129" s="9">
        <v>0</v>
      </c>
      <c r="G129" s="9">
        <v>0</v>
      </c>
      <c r="N129" s="9">
        <v>0.59001165800124045</v>
      </c>
      <c r="O129" s="9">
        <v>0.19790996654059215</v>
      </c>
      <c r="P129" s="9">
        <v>1.020807706065163</v>
      </c>
      <c r="Q129" s="9">
        <v>1.7411423122264966</v>
      </c>
      <c r="R129" s="10">
        <v>6.8932571640035059E-3</v>
      </c>
      <c r="S129" s="8">
        <f t="shared" si="10"/>
        <v>0.10998834199875951</v>
      </c>
      <c r="T129" s="8">
        <f t="shared" si="11"/>
        <v>2.090033459407864E-3</v>
      </c>
      <c r="U129" s="8">
        <f t="shared" si="12"/>
        <v>0.55019229393483693</v>
      </c>
      <c r="V129" s="8">
        <f t="shared" si="13"/>
        <v>0.17014231222649667</v>
      </c>
      <c r="AC129" s="8">
        <v>0.1784370013175326</v>
      </c>
      <c r="AD129" s="8">
        <v>0.12384241600401838</v>
      </c>
      <c r="AF129" s="8">
        <f t="shared" si="14"/>
        <v>6.8448659318773086E-2</v>
      </c>
      <c r="AG129" s="8">
        <f t="shared" si="15"/>
        <v>0.12175238254461052</v>
      </c>
    </row>
    <row r="130" spans="1:33" x14ac:dyDescent="0.25">
      <c r="A130" s="9">
        <v>0.7</v>
      </c>
      <c r="B130" s="9">
        <v>0.06</v>
      </c>
      <c r="C130" s="9">
        <v>3.665</v>
      </c>
      <c r="D130" s="9">
        <v>0.78500000000000003</v>
      </c>
      <c r="E130" s="9">
        <v>0</v>
      </c>
      <c r="F130" s="9">
        <v>0</v>
      </c>
      <c r="G130" s="9">
        <v>0</v>
      </c>
      <c r="N130" s="9">
        <v>0.68227472162129688</v>
      </c>
      <c r="O130" s="9">
        <v>7.2232338435870763E-2</v>
      </c>
      <c r="P130" s="9">
        <v>3.4365829121227986</v>
      </c>
      <c r="Q130" s="9">
        <v>0.94925832583158276</v>
      </c>
      <c r="R130" s="10">
        <v>1.7903347123763089E-4</v>
      </c>
      <c r="S130" s="8">
        <f t="shared" si="10"/>
        <v>1.772527837870308E-2</v>
      </c>
      <c r="T130" s="8">
        <f t="shared" si="11"/>
        <v>1.2232338435870765E-2</v>
      </c>
      <c r="U130" s="8">
        <f t="shared" si="12"/>
        <v>0.22841708787720139</v>
      </c>
      <c r="V130" s="8">
        <f t="shared" si="13"/>
        <v>0.16425832583158273</v>
      </c>
      <c r="AC130" s="8">
        <v>5.914333344239675E-2</v>
      </c>
      <c r="AD130" s="8">
        <v>1.2320793924227663E-2</v>
      </c>
      <c r="AF130" s="8">
        <f t="shared" si="14"/>
        <v>4.1418055063693671E-2</v>
      </c>
      <c r="AG130" s="8">
        <f t="shared" si="15"/>
        <v>8.845548835689776E-5</v>
      </c>
    </row>
    <row r="131" spans="1:33" x14ac:dyDescent="0.25">
      <c r="A131" s="9">
        <v>0.6</v>
      </c>
      <c r="B131" s="9">
        <v>0.1</v>
      </c>
      <c r="C131" s="9">
        <v>3.665</v>
      </c>
      <c r="D131" s="9">
        <v>0.78500000000000003</v>
      </c>
      <c r="E131" s="9">
        <v>0</v>
      </c>
      <c r="F131" s="9">
        <v>0</v>
      </c>
      <c r="G131" s="9">
        <v>0</v>
      </c>
      <c r="N131" s="9">
        <v>0.88322736090444764</v>
      </c>
      <c r="O131" s="9">
        <v>5.8936655090851213E-2</v>
      </c>
      <c r="P131" s="9">
        <v>3.4542880556039011</v>
      </c>
      <c r="Q131" s="9">
        <v>0.68552992611505215</v>
      </c>
      <c r="R131" s="10">
        <v>2.6576816236776045E-4</v>
      </c>
      <c r="S131" s="8">
        <f t="shared" si="10"/>
        <v>0.28322736090444767</v>
      </c>
      <c r="T131" s="8">
        <f t="shared" si="11"/>
        <v>4.1063344909148793E-2</v>
      </c>
      <c r="U131" s="8">
        <f t="shared" si="12"/>
        <v>0.21071194439609897</v>
      </c>
      <c r="V131" s="8">
        <f t="shared" si="13"/>
        <v>9.9470073884947885E-2</v>
      </c>
      <c r="AC131" s="8">
        <v>0.23443246051104916</v>
      </c>
      <c r="AD131" s="8">
        <v>4.0791406867681089E-2</v>
      </c>
      <c r="AF131" s="8">
        <f t="shared" si="14"/>
        <v>4.879490039339851E-2</v>
      </c>
      <c r="AG131" s="8">
        <f t="shared" si="15"/>
        <v>2.7193804146770362E-4</v>
      </c>
    </row>
    <row r="132" spans="1:33" x14ac:dyDescent="0.25">
      <c r="A132" s="9">
        <v>0.8</v>
      </c>
      <c r="B132" s="9">
        <v>0.18</v>
      </c>
      <c r="C132" s="9">
        <v>3.665</v>
      </c>
      <c r="D132" s="9">
        <v>0.78500000000000003</v>
      </c>
      <c r="E132" s="9">
        <v>1.4</v>
      </c>
      <c r="F132" s="9">
        <v>0</v>
      </c>
      <c r="G132" s="9">
        <v>0</v>
      </c>
      <c r="N132" s="9">
        <v>0.70540462953176575</v>
      </c>
      <c r="O132" s="9">
        <v>0.16719359699718567</v>
      </c>
      <c r="P132" s="9">
        <v>3.8327052105504236</v>
      </c>
      <c r="Q132" s="9">
        <v>0.93641372021273206</v>
      </c>
      <c r="R132" s="10">
        <v>1.0207738878022499E-3</v>
      </c>
      <c r="S132" s="8">
        <f t="shared" ref="S132:S152" si="16">ABS(N132-A132)</f>
        <v>9.4595370468234297E-2</v>
      </c>
      <c r="T132" s="8">
        <f t="shared" ref="T132:T152" si="17">ABS(O132-B132)</f>
        <v>1.2806403002814326E-2</v>
      </c>
      <c r="U132" s="8">
        <f t="shared" ref="U132:U152" si="18">ABS(P132-C132)</f>
        <v>0.16770521055042353</v>
      </c>
      <c r="V132" s="8">
        <f t="shared" ref="V132:V152" si="19">ABS(Q132-D132)</f>
        <v>0.15141372021273203</v>
      </c>
      <c r="AC132" s="8">
        <v>1.5515117945437917E-2</v>
      </c>
      <c r="AD132" s="8">
        <v>2.8256319037288952E-2</v>
      </c>
      <c r="AF132" s="8">
        <f t="shared" ref="AF132:AF152" si="20">ABS(AC132-S132)</f>
        <v>7.9080252522796379E-2</v>
      </c>
      <c r="AG132" s="8">
        <f t="shared" ref="AG132:AG152" si="21">ABS(AD132-T132)</f>
        <v>1.5449916034474626E-2</v>
      </c>
    </row>
    <row r="133" spans="1:33" x14ac:dyDescent="0.25">
      <c r="A133" s="9">
        <v>0.4</v>
      </c>
      <c r="B133" s="9">
        <v>0.2</v>
      </c>
      <c r="C133" s="9">
        <v>3.665</v>
      </c>
      <c r="D133" s="9">
        <v>0.78500000000000003</v>
      </c>
      <c r="E133" s="9">
        <v>1.4</v>
      </c>
      <c r="F133" s="9">
        <v>0</v>
      </c>
      <c r="G133" s="9">
        <v>0</v>
      </c>
      <c r="N133" s="9">
        <v>0.45571950267240102</v>
      </c>
      <c r="O133" s="9">
        <v>0.14520682150167685</v>
      </c>
      <c r="P133" s="9">
        <v>3.6953130403923722</v>
      </c>
      <c r="Q133" s="9">
        <v>2.4078900263560845</v>
      </c>
      <c r="R133" s="10">
        <v>1.3135910484550196E-4</v>
      </c>
      <c r="S133" s="8">
        <f t="shared" si="16"/>
        <v>5.5719502672401E-2</v>
      </c>
      <c r="T133" s="8">
        <f t="shared" si="17"/>
        <v>5.4793178498323158E-2</v>
      </c>
      <c r="U133" s="8">
        <f t="shared" si="18"/>
        <v>3.0313040392372148E-2</v>
      </c>
      <c r="V133" s="8">
        <f t="shared" si="19"/>
        <v>1.6228900263560844</v>
      </c>
      <c r="AC133" s="8">
        <v>0.14232359095278102</v>
      </c>
      <c r="AD133" s="8">
        <v>7.0070495213595319E-2</v>
      </c>
      <c r="AF133" s="8">
        <f t="shared" si="20"/>
        <v>8.660408828038002E-2</v>
      </c>
      <c r="AG133" s="8">
        <f t="shared" si="21"/>
        <v>1.527731671527216E-2</v>
      </c>
    </row>
    <row r="134" spans="1:33" x14ac:dyDescent="0.25">
      <c r="A134" s="9">
        <v>0.4</v>
      </c>
      <c r="B134" s="9">
        <v>0.1</v>
      </c>
      <c r="C134" s="9">
        <v>3.665</v>
      </c>
      <c r="D134" s="9">
        <v>1.571</v>
      </c>
      <c r="E134" s="9">
        <v>1.4</v>
      </c>
      <c r="F134" s="9">
        <v>0</v>
      </c>
      <c r="G134" s="9">
        <v>0</v>
      </c>
      <c r="N134" s="9">
        <v>0.18650209400885759</v>
      </c>
      <c r="O134" s="9">
        <v>0.19999992826431603</v>
      </c>
      <c r="P134" s="9">
        <v>3.3390299747902343</v>
      </c>
      <c r="Q134" s="9">
        <v>1.3710831503859087</v>
      </c>
      <c r="R134" s="10">
        <v>1.1766011815642992E-3</v>
      </c>
      <c r="S134" s="8">
        <f t="shared" si="16"/>
        <v>0.21349790599114243</v>
      </c>
      <c r="T134" s="8">
        <f t="shared" si="17"/>
        <v>9.9999928264316029E-2</v>
      </c>
      <c r="U134" s="8">
        <f t="shared" si="18"/>
        <v>0.3259700252097657</v>
      </c>
      <c r="V134" s="8">
        <f t="shared" si="19"/>
        <v>0.19991684961409129</v>
      </c>
      <c r="AC134" s="8">
        <v>0.26439889520592869</v>
      </c>
      <c r="AD134" s="8">
        <v>9.999996296502231E-2</v>
      </c>
      <c r="AF134" s="8">
        <f t="shared" si="20"/>
        <v>5.0900989214786252E-2</v>
      </c>
      <c r="AG134" s="8">
        <f t="shared" si="21"/>
        <v>3.4700706280643701E-8</v>
      </c>
    </row>
    <row r="135" spans="1:33" x14ac:dyDescent="0.25">
      <c r="A135" s="9">
        <v>0.7</v>
      </c>
      <c r="B135" s="9">
        <v>0.1</v>
      </c>
      <c r="C135" s="9">
        <v>3.665</v>
      </c>
      <c r="D135" s="9">
        <v>1.571</v>
      </c>
      <c r="E135" s="9">
        <v>1.4</v>
      </c>
      <c r="F135" s="9">
        <v>0</v>
      </c>
      <c r="G135" s="9">
        <v>0</v>
      </c>
      <c r="N135" s="9">
        <v>0.79313112226792493</v>
      </c>
      <c r="O135" s="9">
        <v>0.11439683428225408</v>
      </c>
      <c r="P135" s="9">
        <v>3.6371721053303356</v>
      </c>
      <c r="Q135" s="9">
        <v>1.8798332586504256</v>
      </c>
      <c r="R135" s="10">
        <v>5.1837419245158208E-5</v>
      </c>
      <c r="S135" s="8">
        <f t="shared" si="16"/>
        <v>9.3131122267924971E-2</v>
      </c>
      <c r="T135" s="8">
        <f t="shared" si="17"/>
        <v>1.4396834282254078E-2</v>
      </c>
      <c r="U135" s="8">
        <f t="shared" si="18"/>
        <v>2.7827894669664399E-2</v>
      </c>
      <c r="V135" s="8">
        <f t="shared" si="19"/>
        <v>0.30883325865042566</v>
      </c>
      <c r="AC135" s="8">
        <v>0.1226443107913967</v>
      </c>
      <c r="AD135" s="8">
        <v>9.0036404598796277E-3</v>
      </c>
      <c r="AF135" s="8">
        <f t="shared" si="20"/>
        <v>2.9513188523471734E-2</v>
      </c>
      <c r="AG135" s="8">
        <f t="shared" si="21"/>
        <v>5.3931938223744508E-3</v>
      </c>
    </row>
    <row r="136" spans="1:33" x14ac:dyDescent="0.25">
      <c r="A136" s="9">
        <v>0.4</v>
      </c>
      <c r="B136" s="9">
        <v>0.16</v>
      </c>
      <c r="C136" s="9">
        <v>3.665</v>
      </c>
      <c r="D136" s="9">
        <v>1.571</v>
      </c>
      <c r="E136" s="9">
        <v>0</v>
      </c>
      <c r="F136" s="9">
        <v>0</v>
      </c>
      <c r="G136" s="9">
        <v>0</v>
      </c>
      <c r="N136" s="9">
        <v>0.69386228536595429</v>
      </c>
      <c r="O136" s="9">
        <v>3.6653136673134447E-2</v>
      </c>
      <c r="P136" s="9">
        <v>3.7855967025527146</v>
      </c>
      <c r="Q136" s="9">
        <v>1.5022626565263641</v>
      </c>
      <c r="R136" s="10">
        <v>3.18252539766889E-4</v>
      </c>
      <c r="S136" s="8">
        <f t="shared" si="16"/>
        <v>0.29386228536595427</v>
      </c>
      <c r="T136" s="8">
        <f t="shared" si="17"/>
        <v>0.12334686332686556</v>
      </c>
      <c r="U136" s="8">
        <f t="shared" si="18"/>
        <v>0.1205967025527146</v>
      </c>
      <c r="V136" s="8">
        <f t="shared" si="19"/>
        <v>6.8737343473635804E-2</v>
      </c>
      <c r="AC136" s="8">
        <v>0.2170397500774881</v>
      </c>
      <c r="AD136" s="8">
        <v>0.13095252678813826</v>
      </c>
      <c r="AF136" s="8">
        <f t="shared" si="20"/>
        <v>7.6822535288466165E-2</v>
      </c>
      <c r="AG136" s="8">
        <f t="shared" si="21"/>
        <v>7.6056634612726992E-3</v>
      </c>
    </row>
    <row r="137" spans="1:33" x14ac:dyDescent="0.25">
      <c r="A137" s="9">
        <v>0.3</v>
      </c>
      <c r="B137" s="9">
        <v>0.18</v>
      </c>
      <c r="C137" s="9">
        <v>3.665</v>
      </c>
      <c r="D137" s="9">
        <v>1.571</v>
      </c>
      <c r="E137" s="9">
        <v>0</v>
      </c>
      <c r="F137" s="9">
        <v>0</v>
      </c>
      <c r="G137" s="9">
        <v>0</v>
      </c>
      <c r="N137" s="9">
        <v>0.3754632552558283</v>
      </c>
      <c r="O137" s="9">
        <v>0.19956245396687294</v>
      </c>
      <c r="P137" s="9">
        <v>4.1519922187546632</v>
      </c>
      <c r="Q137" s="9">
        <v>0.41231402146879725</v>
      </c>
      <c r="R137" s="10">
        <v>2.2134674207981782E-3</v>
      </c>
      <c r="S137" s="8">
        <f t="shared" si="16"/>
        <v>7.546325525582831E-2</v>
      </c>
      <c r="T137" s="8">
        <f t="shared" si="17"/>
        <v>1.956245396687295E-2</v>
      </c>
      <c r="U137" s="8">
        <f t="shared" si="18"/>
        <v>0.48699221875466314</v>
      </c>
      <c r="V137" s="8">
        <f t="shared" si="19"/>
        <v>1.1586859785312027</v>
      </c>
      <c r="AC137" s="8">
        <v>2.6363767896664447E-2</v>
      </c>
      <c r="AD137" s="8">
        <v>1.9990986785025366E-2</v>
      </c>
      <c r="AF137" s="8">
        <f t="shared" si="20"/>
        <v>4.9099487359163863E-2</v>
      </c>
      <c r="AG137" s="8">
        <f t="shared" si="21"/>
        <v>4.2853281815241617E-4</v>
      </c>
    </row>
    <row r="138" spans="1:33" x14ac:dyDescent="0.25">
      <c r="A138" s="9">
        <v>0.3</v>
      </c>
      <c r="B138" s="9">
        <v>0.08</v>
      </c>
      <c r="C138" s="9">
        <v>1.571</v>
      </c>
      <c r="D138" s="9">
        <v>0.78500000000000003</v>
      </c>
      <c r="E138" s="9">
        <v>1.4</v>
      </c>
      <c r="F138" s="9">
        <v>0</v>
      </c>
      <c r="G138" s="9">
        <v>0</v>
      </c>
      <c r="N138" s="9">
        <v>0.31363836420617164</v>
      </c>
      <c r="O138" s="9">
        <v>1.0051026928562919E-2</v>
      </c>
      <c r="P138" s="9">
        <v>1.8158365536395011</v>
      </c>
      <c r="Q138" s="9">
        <v>1.2276851583282009</v>
      </c>
      <c r="R138" s="10">
        <v>2.4771129227722463E-4</v>
      </c>
      <c r="S138" s="8">
        <f t="shared" si="16"/>
        <v>1.3638364206171649E-2</v>
      </c>
      <c r="T138" s="8">
        <f t="shared" si="17"/>
        <v>6.9948973071437076E-2</v>
      </c>
      <c r="U138" s="8">
        <f t="shared" si="18"/>
        <v>0.24483655363950119</v>
      </c>
      <c r="V138" s="8">
        <f t="shared" si="19"/>
        <v>0.44268515832820088</v>
      </c>
      <c r="AC138" s="8">
        <v>2.2952810019635839E-2</v>
      </c>
      <c r="AD138" s="8">
        <v>6.9999880704019288E-2</v>
      </c>
      <c r="AF138" s="8">
        <f t="shared" si="20"/>
        <v>9.3144458134641894E-3</v>
      </c>
      <c r="AG138" s="8">
        <f t="shared" si="21"/>
        <v>5.0907632582211648E-5</v>
      </c>
    </row>
    <row r="139" spans="1:33" x14ac:dyDescent="0.25">
      <c r="A139" s="9">
        <v>0.4</v>
      </c>
      <c r="B139" s="9">
        <v>0.14000000000000001</v>
      </c>
      <c r="C139" s="9">
        <v>1.571</v>
      </c>
      <c r="D139" s="9">
        <v>0.78500000000000003</v>
      </c>
      <c r="E139" s="9">
        <v>0</v>
      </c>
      <c r="F139" s="9">
        <v>0</v>
      </c>
      <c r="G139" s="9">
        <v>0</v>
      </c>
      <c r="N139" s="9">
        <v>0.69982115869235295</v>
      </c>
      <c r="O139" s="9">
        <v>2.3893737875482116E-2</v>
      </c>
      <c r="P139" s="9">
        <v>1.586804951287683</v>
      </c>
      <c r="Q139" s="9">
        <v>0.97581456681132506</v>
      </c>
      <c r="R139" s="10">
        <v>1.6620319444489323E-4</v>
      </c>
      <c r="S139" s="8">
        <f t="shared" si="16"/>
        <v>0.29982115869235293</v>
      </c>
      <c r="T139" s="8">
        <f t="shared" si="17"/>
        <v>0.1161062621245179</v>
      </c>
      <c r="U139" s="8">
        <f t="shared" si="18"/>
        <v>1.5804951287683E-2</v>
      </c>
      <c r="V139" s="8">
        <f t="shared" si="19"/>
        <v>0.19081456681132503</v>
      </c>
      <c r="AC139" s="8">
        <v>0.30408959120251289</v>
      </c>
      <c r="AD139" s="8">
        <v>0.1140339073835068</v>
      </c>
      <c r="AF139" s="8">
        <f t="shared" si="20"/>
        <v>4.2684325101599585E-3</v>
      </c>
      <c r="AG139" s="8">
        <f t="shared" si="21"/>
        <v>2.0723547410110982E-3</v>
      </c>
    </row>
    <row r="140" spans="1:33" x14ac:dyDescent="0.25">
      <c r="A140" s="9">
        <v>0.6</v>
      </c>
      <c r="B140" s="9">
        <v>0.16</v>
      </c>
      <c r="C140" s="9">
        <v>1.571</v>
      </c>
      <c r="D140" s="9">
        <v>0.78500000000000003</v>
      </c>
      <c r="E140" s="9">
        <v>1.4</v>
      </c>
      <c r="F140" s="9">
        <v>0</v>
      </c>
      <c r="G140" s="9">
        <v>0</v>
      </c>
      <c r="N140" s="9">
        <v>0.54943948914385687</v>
      </c>
      <c r="O140" s="9">
        <v>0.11857270731665771</v>
      </c>
      <c r="P140" s="9">
        <v>1.2824274593386842</v>
      </c>
      <c r="Q140" s="9">
        <v>1.3762660544485816</v>
      </c>
      <c r="R140" s="10">
        <v>8.7934337696553776E-4</v>
      </c>
      <c r="S140" s="8">
        <f t="shared" si="16"/>
        <v>5.0560510856143104E-2</v>
      </c>
      <c r="T140" s="8">
        <f t="shared" si="17"/>
        <v>4.142729268334229E-2</v>
      </c>
      <c r="U140" s="8">
        <f t="shared" si="18"/>
        <v>0.28857254066131577</v>
      </c>
      <c r="V140" s="8">
        <f t="shared" si="19"/>
        <v>0.5912660544485816</v>
      </c>
      <c r="AC140" s="8">
        <v>2.1962870019092584E-2</v>
      </c>
      <c r="AD140" s="8">
        <v>4.9428319749511562E-2</v>
      </c>
      <c r="AF140" s="8">
        <f t="shared" si="20"/>
        <v>2.859764083705052E-2</v>
      </c>
      <c r="AG140" s="8">
        <f t="shared" si="21"/>
        <v>8.0010270661692723E-3</v>
      </c>
    </row>
    <row r="141" spans="1:33" x14ac:dyDescent="0.25">
      <c r="A141" s="9">
        <v>0.4</v>
      </c>
      <c r="B141" s="9">
        <v>0.06</v>
      </c>
      <c r="C141" s="9">
        <v>1.571</v>
      </c>
      <c r="D141" s="9">
        <v>1.571</v>
      </c>
      <c r="E141" s="9">
        <v>1.4</v>
      </c>
      <c r="F141" s="9">
        <v>0</v>
      </c>
      <c r="G141" s="9">
        <v>0</v>
      </c>
      <c r="N141" s="9">
        <v>0.36535105856728195</v>
      </c>
      <c r="O141" s="9">
        <v>9.0635879963346919E-2</v>
      </c>
      <c r="P141" s="9">
        <v>1.8537023974980313</v>
      </c>
      <c r="Q141" s="9">
        <v>1.7684009928269078</v>
      </c>
      <c r="R141" s="10">
        <v>2.8288180208216459E-4</v>
      </c>
      <c r="S141" s="8">
        <f t="shared" si="16"/>
        <v>3.4648941432718072E-2</v>
      </c>
      <c r="T141" s="8">
        <f t="shared" si="17"/>
        <v>3.0635879963346921E-2</v>
      </c>
      <c r="U141" s="8">
        <f t="shared" si="18"/>
        <v>0.28270239749803139</v>
      </c>
      <c r="V141" s="8">
        <f t="shared" si="19"/>
        <v>0.19740099282690782</v>
      </c>
      <c r="AC141" s="8">
        <v>9.3261737431450109E-2</v>
      </c>
      <c r="AD141" s="8">
        <v>2.7674728772894952E-2</v>
      </c>
      <c r="AF141" s="8">
        <f t="shared" si="20"/>
        <v>5.8612795998732037E-2</v>
      </c>
      <c r="AG141" s="8">
        <f t="shared" si="21"/>
        <v>2.9611511904519688E-3</v>
      </c>
    </row>
    <row r="142" spans="1:33" x14ac:dyDescent="0.25">
      <c r="A142" s="9">
        <v>0.8</v>
      </c>
      <c r="B142" s="9">
        <v>0.08</v>
      </c>
      <c r="C142" s="9">
        <v>1.571</v>
      </c>
      <c r="D142" s="9">
        <v>1.571</v>
      </c>
      <c r="E142" s="9">
        <v>0</v>
      </c>
      <c r="F142" s="9">
        <v>0</v>
      </c>
      <c r="G142" s="9">
        <v>0</v>
      </c>
      <c r="N142" s="9">
        <v>0.95357005765023795</v>
      </c>
      <c r="O142" s="9">
        <v>8.4703263578577659E-2</v>
      </c>
      <c r="P142" s="9">
        <v>1.4838474381280859</v>
      </c>
      <c r="Q142" s="9">
        <v>1.1596854349736048</v>
      </c>
      <c r="R142" s="10">
        <v>9.2869513567394958E-5</v>
      </c>
      <c r="S142" s="8">
        <f t="shared" si="16"/>
        <v>0.1535700576502379</v>
      </c>
      <c r="T142" s="8">
        <f t="shared" si="17"/>
        <v>4.7032635785776572E-3</v>
      </c>
      <c r="U142" s="8">
        <f t="shared" si="18"/>
        <v>8.7152561871914003E-2</v>
      </c>
      <c r="V142" s="8">
        <f t="shared" si="19"/>
        <v>0.41131456502639518</v>
      </c>
      <c r="AC142" s="8">
        <v>1.0837426484457624E-2</v>
      </c>
      <c r="AD142" s="8">
        <v>9.0368214665404734E-3</v>
      </c>
      <c r="AF142" s="8">
        <f t="shared" si="20"/>
        <v>0.14273263116578028</v>
      </c>
      <c r="AG142" s="8">
        <f t="shared" si="21"/>
        <v>4.3335578879628162E-3</v>
      </c>
    </row>
    <row r="143" spans="1:33" x14ac:dyDescent="0.25">
      <c r="A143" s="9">
        <v>0.7</v>
      </c>
      <c r="B143" s="9">
        <v>0.16</v>
      </c>
      <c r="C143" s="9">
        <v>1.571</v>
      </c>
      <c r="D143" s="9">
        <v>1.571</v>
      </c>
      <c r="E143" s="9">
        <v>1.4</v>
      </c>
      <c r="F143" s="9">
        <v>0</v>
      </c>
      <c r="G143" s="9">
        <v>0</v>
      </c>
      <c r="N143" s="9">
        <v>0.87518767477185988</v>
      </c>
      <c r="O143" s="9">
        <v>0.11245683803363386</v>
      </c>
      <c r="P143" s="9">
        <v>1.4023207003138587</v>
      </c>
      <c r="Q143" s="9">
        <v>2.0914524877828309</v>
      </c>
      <c r="R143" s="10">
        <v>3.9024237248254704E-4</v>
      </c>
      <c r="S143" s="8">
        <f t="shared" si="16"/>
        <v>0.17518767477185992</v>
      </c>
      <c r="T143" s="8">
        <f t="shared" si="17"/>
        <v>4.754316196636614E-2</v>
      </c>
      <c r="U143" s="8">
        <f t="shared" si="18"/>
        <v>0.16867929968614126</v>
      </c>
      <c r="V143" s="8">
        <f t="shared" si="19"/>
        <v>0.52045248778283093</v>
      </c>
      <c r="AC143" s="8">
        <v>0.15423436257894119</v>
      </c>
      <c r="AD143" s="8">
        <v>4.7512019446659573E-2</v>
      </c>
      <c r="AF143" s="8">
        <f t="shared" si="20"/>
        <v>2.0953312192918738E-2</v>
      </c>
      <c r="AG143" s="8">
        <f t="shared" si="21"/>
        <v>3.114251970656734E-5</v>
      </c>
    </row>
    <row r="144" spans="1:33" x14ac:dyDescent="0.25">
      <c r="A144" s="9">
        <v>0.7</v>
      </c>
      <c r="B144" s="9">
        <v>0.2</v>
      </c>
      <c r="C144" s="9">
        <v>1.571</v>
      </c>
      <c r="D144" s="9">
        <v>1.571</v>
      </c>
      <c r="E144" s="9">
        <v>0</v>
      </c>
      <c r="F144" s="9">
        <v>0</v>
      </c>
      <c r="G144" s="9">
        <v>0</v>
      </c>
      <c r="N144" s="9">
        <v>0.49559017889822432</v>
      </c>
      <c r="O144" s="9">
        <v>0.19995947847385442</v>
      </c>
      <c r="P144" s="9">
        <v>1.7085171779640567</v>
      </c>
      <c r="Q144" s="9">
        <v>1.7858370015448561</v>
      </c>
      <c r="R144" s="10">
        <v>2.6390178519890136E-3</v>
      </c>
      <c r="S144" s="8">
        <f t="shared" si="16"/>
        <v>0.20440982110177564</v>
      </c>
      <c r="T144" s="8">
        <f t="shared" si="17"/>
        <v>4.0521526145587128E-5</v>
      </c>
      <c r="U144" s="8">
        <f t="shared" si="18"/>
        <v>0.13751717796405671</v>
      </c>
      <c r="V144" s="8">
        <f t="shared" si="19"/>
        <v>0.21483700154485619</v>
      </c>
      <c r="AC144" s="8">
        <v>0.31074148323760925</v>
      </c>
      <c r="AD144" s="8">
        <v>9.3243504195594795E-8</v>
      </c>
      <c r="AF144" s="8">
        <f t="shared" si="20"/>
        <v>0.10633166213583362</v>
      </c>
      <c r="AG144" s="8">
        <f t="shared" si="21"/>
        <v>4.0428282641391533E-5</v>
      </c>
    </row>
    <row r="145" spans="1:33" x14ac:dyDescent="0.25">
      <c r="A145" s="9">
        <v>0.7</v>
      </c>
      <c r="B145" s="9">
        <v>0.06</v>
      </c>
      <c r="C145" s="9">
        <v>3.665</v>
      </c>
      <c r="D145" s="9">
        <v>0.78500000000000003</v>
      </c>
      <c r="E145" s="9">
        <v>0</v>
      </c>
      <c r="F145" s="9">
        <v>0</v>
      </c>
      <c r="G145" s="9">
        <v>0</v>
      </c>
      <c r="N145" s="9">
        <v>0.94090453785575046</v>
      </c>
      <c r="O145" s="9">
        <v>2.8674241324010755E-2</v>
      </c>
      <c r="P145" s="9">
        <v>3.8353963768167341</v>
      </c>
      <c r="Q145" s="9">
        <v>0.79869152156417522</v>
      </c>
      <c r="R145" s="10">
        <v>3.4700486393371617E-4</v>
      </c>
      <c r="S145" s="8">
        <f t="shared" si="16"/>
        <v>0.2409045378557505</v>
      </c>
      <c r="T145" s="8">
        <f t="shared" si="17"/>
        <v>3.1325758675989246E-2</v>
      </c>
      <c r="U145" s="8">
        <f t="shared" si="18"/>
        <v>0.17039637681673403</v>
      </c>
      <c r="V145" s="8">
        <f t="shared" si="19"/>
        <v>1.3691521564175191E-2</v>
      </c>
      <c r="AC145" s="8">
        <v>0.17376855483863007</v>
      </c>
      <c r="AD145" s="8">
        <v>3.0618076025452658E-2</v>
      </c>
      <c r="AF145" s="8">
        <f t="shared" si="20"/>
        <v>6.7135983017120426E-2</v>
      </c>
      <c r="AG145" s="8">
        <f t="shared" si="21"/>
        <v>7.0768265053658755E-4</v>
      </c>
    </row>
    <row r="146" spans="1:33" x14ac:dyDescent="0.25">
      <c r="A146" s="9">
        <v>0.6</v>
      </c>
      <c r="B146" s="9">
        <v>0.1</v>
      </c>
      <c r="C146" s="9">
        <v>3.665</v>
      </c>
      <c r="D146" s="9">
        <v>0.78500000000000003</v>
      </c>
      <c r="E146" s="9">
        <v>0</v>
      </c>
      <c r="F146" s="9">
        <v>0</v>
      </c>
      <c r="G146" s="9">
        <v>0</v>
      </c>
      <c r="N146" s="9">
        <v>0.6510933454021659</v>
      </c>
      <c r="O146" s="9">
        <v>5.2171024447912009E-2</v>
      </c>
      <c r="P146" s="9">
        <v>3.4394281766719592</v>
      </c>
      <c r="Q146" s="9">
        <v>1.6159619001666543</v>
      </c>
      <c r="R146" s="10">
        <v>4.9009203369579271E-4</v>
      </c>
      <c r="S146" s="8">
        <f t="shared" si="16"/>
        <v>5.1093345402165924E-2</v>
      </c>
      <c r="T146" s="8">
        <f t="shared" si="17"/>
        <v>4.7828975552087996E-2</v>
      </c>
      <c r="U146" s="8">
        <f t="shared" si="18"/>
        <v>0.22557182332804082</v>
      </c>
      <c r="V146" s="8">
        <f t="shared" si="19"/>
        <v>0.83096190016665428</v>
      </c>
      <c r="AC146" s="8">
        <v>0.1020591127622914</v>
      </c>
      <c r="AD146" s="8">
        <v>4.8464050055052894E-2</v>
      </c>
      <c r="AF146" s="8">
        <f t="shared" si="20"/>
        <v>5.096576736012548E-2</v>
      </c>
      <c r="AG146" s="8">
        <f t="shared" si="21"/>
        <v>6.3507450296489826E-4</v>
      </c>
    </row>
    <row r="147" spans="1:33" x14ac:dyDescent="0.25">
      <c r="A147" s="9">
        <v>0.8</v>
      </c>
      <c r="B147" s="9">
        <v>0.18</v>
      </c>
      <c r="C147" s="9">
        <v>3.665</v>
      </c>
      <c r="D147" s="9">
        <v>0.78500000000000003</v>
      </c>
      <c r="E147" s="9">
        <v>1.4</v>
      </c>
      <c r="F147" s="9">
        <v>0</v>
      </c>
      <c r="G147" s="9">
        <v>0</v>
      </c>
      <c r="N147" s="9">
        <v>0.99999999999779976</v>
      </c>
      <c r="O147" s="9">
        <v>0.19985760899805644</v>
      </c>
      <c r="P147" s="9">
        <v>3.469765030141629</v>
      </c>
      <c r="Q147" s="9">
        <v>0.32718132755832235</v>
      </c>
      <c r="R147" s="10">
        <v>6.6268382989655775E-2</v>
      </c>
      <c r="S147" s="8">
        <f t="shared" si="16"/>
        <v>0.19999999999779972</v>
      </c>
      <c r="T147" s="8">
        <f t="shared" si="17"/>
        <v>1.9857608998056442E-2</v>
      </c>
      <c r="U147" s="8">
        <f t="shared" si="18"/>
        <v>0.19523496985837108</v>
      </c>
      <c r="V147" s="8">
        <f t="shared" si="19"/>
        <v>0.45781867244167768</v>
      </c>
      <c r="AC147" s="8">
        <v>0.19999999936343582</v>
      </c>
      <c r="AD147" s="8">
        <v>4.6185781631534473E-3</v>
      </c>
      <c r="AF147" s="8">
        <f t="shared" si="20"/>
        <v>6.3436389474702537E-10</v>
      </c>
      <c r="AG147" s="8">
        <f t="shared" si="21"/>
        <v>1.5239030834902995E-2</v>
      </c>
    </row>
    <row r="148" spans="1:33" x14ac:dyDescent="0.25">
      <c r="A148" s="9">
        <v>0.4</v>
      </c>
      <c r="B148" s="9">
        <v>0.2</v>
      </c>
      <c r="C148" s="9">
        <v>3.665</v>
      </c>
      <c r="D148" s="9">
        <v>0.78500000000000003</v>
      </c>
      <c r="E148" s="9">
        <v>1.4</v>
      </c>
      <c r="F148" s="9">
        <v>0</v>
      </c>
      <c r="G148" s="9">
        <v>0</v>
      </c>
      <c r="N148" s="9">
        <v>0.3026721614116632</v>
      </c>
      <c r="O148" s="9">
        <v>0.19999681893364296</v>
      </c>
      <c r="P148" s="9">
        <v>4.036299532087428</v>
      </c>
      <c r="Q148" s="9">
        <v>0.55009175457736137</v>
      </c>
      <c r="R148" s="10">
        <v>1.850480923280708E-3</v>
      </c>
      <c r="S148" s="8">
        <f t="shared" si="16"/>
        <v>9.7327838588336824E-2</v>
      </c>
      <c r="T148" s="8">
        <f t="shared" si="17"/>
        <v>3.1810663570497333E-6</v>
      </c>
      <c r="U148" s="8">
        <f t="shared" si="18"/>
        <v>0.37129953208742794</v>
      </c>
      <c r="V148" s="8">
        <f t="shared" si="19"/>
        <v>0.23490824542263866</v>
      </c>
      <c r="AC148" s="8">
        <v>0.13386761001254732</v>
      </c>
      <c r="AD148" s="8">
        <v>2.5143026060325813E-6</v>
      </c>
      <c r="AF148" s="8">
        <f t="shared" si="20"/>
        <v>3.6539771424210499E-2</v>
      </c>
      <c r="AG148" s="8">
        <f t="shared" si="21"/>
        <v>6.6676375101715202E-7</v>
      </c>
    </row>
    <row r="149" spans="1:33" x14ac:dyDescent="0.25">
      <c r="A149" s="9">
        <v>0.4</v>
      </c>
      <c r="B149" s="9">
        <v>0.1</v>
      </c>
      <c r="C149" s="9">
        <v>3.665</v>
      </c>
      <c r="D149" s="9">
        <v>1.571</v>
      </c>
      <c r="E149" s="9">
        <v>1.4</v>
      </c>
      <c r="F149" s="9">
        <v>0</v>
      </c>
      <c r="G149" s="9">
        <v>0</v>
      </c>
      <c r="N149" s="9">
        <v>0.60252123314278183</v>
      </c>
      <c r="O149" s="9">
        <v>4.4366676650029753E-2</v>
      </c>
      <c r="P149" s="9">
        <v>3.6953045502235877</v>
      </c>
      <c r="Q149" s="9">
        <v>1.9034823371499683</v>
      </c>
      <c r="R149" s="10">
        <v>1.7979789941022911E-5</v>
      </c>
      <c r="S149" s="8">
        <f t="shared" si="16"/>
        <v>0.20252123314278181</v>
      </c>
      <c r="T149" s="8">
        <f t="shared" si="17"/>
        <v>5.5633323349970253E-2</v>
      </c>
      <c r="U149" s="8">
        <f t="shared" si="18"/>
        <v>3.030455022358769E-2</v>
      </c>
      <c r="V149" s="8">
        <f t="shared" si="19"/>
        <v>0.33248233714996833</v>
      </c>
      <c r="AC149" s="8">
        <v>0.1643321687070729</v>
      </c>
      <c r="AD149" s="8">
        <v>6.1508820393307191E-2</v>
      </c>
      <c r="AF149" s="8">
        <f t="shared" si="20"/>
        <v>3.8189064435708908E-2</v>
      </c>
      <c r="AG149" s="8">
        <f t="shared" si="21"/>
        <v>5.8754970433369386E-3</v>
      </c>
    </row>
    <row r="150" spans="1:33" x14ac:dyDescent="0.25">
      <c r="A150" s="9">
        <v>0.7</v>
      </c>
      <c r="B150" s="9">
        <v>0.1</v>
      </c>
      <c r="C150" s="9">
        <v>3.665</v>
      </c>
      <c r="D150" s="9">
        <v>1.571</v>
      </c>
      <c r="E150" s="9">
        <v>1.4</v>
      </c>
      <c r="F150" s="9">
        <v>0</v>
      </c>
      <c r="G150" s="9">
        <v>0</v>
      </c>
      <c r="N150" s="9">
        <v>0.68190532978667429</v>
      </c>
      <c r="O150" s="9">
        <v>0.16483529293175497</v>
      </c>
      <c r="P150" s="9">
        <v>3.6015555358982843</v>
      </c>
      <c r="Q150" s="9">
        <v>1.0376648677744826</v>
      </c>
      <c r="R150" s="10">
        <v>3.6596022449359681E-4</v>
      </c>
      <c r="S150" s="8">
        <f t="shared" si="16"/>
        <v>1.809467021332567E-2</v>
      </c>
      <c r="T150" s="8">
        <f t="shared" si="17"/>
        <v>6.4835292931754968E-2</v>
      </c>
      <c r="U150" s="8">
        <f t="shared" si="18"/>
        <v>6.3444464101715781E-2</v>
      </c>
      <c r="V150" s="8">
        <f t="shared" si="19"/>
        <v>0.53333513222551732</v>
      </c>
      <c r="AC150" s="8">
        <v>0.10191320319218866</v>
      </c>
      <c r="AD150" s="8">
        <v>8.0964814367920912E-2</v>
      </c>
      <c r="AF150" s="8">
        <f t="shared" si="20"/>
        <v>8.3818532978862992E-2</v>
      </c>
      <c r="AG150" s="8">
        <f t="shared" si="21"/>
        <v>1.6129521436165944E-2</v>
      </c>
    </row>
    <row r="151" spans="1:33" x14ac:dyDescent="0.25">
      <c r="A151" s="9">
        <v>0.4</v>
      </c>
      <c r="B151" s="9">
        <v>0.16</v>
      </c>
      <c r="C151" s="9">
        <v>3.665</v>
      </c>
      <c r="D151" s="9">
        <v>1.571</v>
      </c>
      <c r="E151" s="9">
        <v>0</v>
      </c>
      <c r="F151" s="9">
        <v>0</v>
      </c>
      <c r="G151" s="9">
        <v>0</v>
      </c>
      <c r="N151" s="9">
        <v>0.44313433182275302</v>
      </c>
      <c r="O151" s="9">
        <v>0.19999697523491178</v>
      </c>
      <c r="P151" s="9">
        <v>4.7350283343956825</v>
      </c>
      <c r="Q151" s="9">
        <v>2.8612589980539549</v>
      </c>
      <c r="R151" s="10">
        <v>9.8399090071848005E-3</v>
      </c>
      <c r="S151" s="8">
        <f t="shared" si="16"/>
        <v>4.3134331822753003E-2</v>
      </c>
      <c r="T151" s="8">
        <f t="shared" si="17"/>
        <v>3.9996975234911775E-2</v>
      </c>
      <c r="U151" s="8">
        <f t="shared" si="18"/>
        <v>1.0700283343956825</v>
      </c>
      <c r="V151" s="8">
        <f t="shared" si="19"/>
        <v>1.2902589980539549</v>
      </c>
      <c r="AC151" s="8">
        <v>0.14190320780403387</v>
      </c>
      <c r="AD151" s="8">
        <v>0.14999949207039012</v>
      </c>
      <c r="AF151" s="8">
        <f t="shared" si="20"/>
        <v>9.8768875981280868E-2</v>
      </c>
      <c r="AG151" s="8">
        <f t="shared" si="21"/>
        <v>0.11000251683547835</v>
      </c>
    </row>
    <row r="152" spans="1:33" x14ac:dyDescent="0.25">
      <c r="A152" s="9">
        <v>0.3</v>
      </c>
      <c r="B152" s="9">
        <v>0.18</v>
      </c>
      <c r="C152" s="9">
        <v>3.665</v>
      </c>
      <c r="D152" s="9">
        <v>1.571</v>
      </c>
      <c r="E152" s="9">
        <v>0</v>
      </c>
      <c r="F152" s="9">
        <v>0</v>
      </c>
      <c r="G152" s="9">
        <v>0</v>
      </c>
      <c r="N152" s="9">
        <v>0.26330253253440256</v>
      </c>
      <c r="O152" s="9">
        <v>0.15973048940379325</v>
      </c>
      <c r="P152" s="9">
        <v>3.8471753213512061</v>
      </c>
      <c r="Q152" s="9">
        <v>1.3195333682459935</v>
      </c>
      <c r="R152" s="10">
        <v>1.2309724090419093E-4</v>
      </c>
      <c r="S152" s="8">
        <f t="shared" si="16"/>
        <v>3.6697467465597433E-2</v>
      </c>
      <c r="T152" s="8">
        <f t="shared" si="17"/>
        <v>2.0269510596206741E-2</v>
      </c>
      <c r="U152" s="8">
        <f t="shared" si="18"/>
        <v>0.18217532135120607</v>
      </c>
      <c r="V152" s="8">
        <f t="shared" si="19"/>
        <v>0.25146663175400641</v>
      </c>
      <c r="AC152" s="8">
        <v>6.8296305944555435E-2</v>
      </c>
      <c r="AD152" s="8">
        <v>5.6073120724111081E-3</v>
      </c>
      <c r="AF152" s="8">
        <f t="shared" si="20"/>
        <v>3.1598838478958002E-2</v>
      </c>
      <c r="AG152" s="8">
        <f t="shared" si="21"/>
        <v>1.4662198523795633E-2</v>
      </c>
    </row>
    <row r="153" spans="1:33" x14ac:dyDescent="0.25">
      <c r="R153" s="5"/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16FE-BA00-484A-AB09-0B657D23BAE5}">
  <dimension ref="A1:Z153"/>
  <sheetViews>
    <sheetView workbookViewId="0">
      <selection activeCell="P62" sqref="P62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26" x14ac:dyDescent="0.25">
      <c r="A1" s="27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6" ht="15.75" x14ac:dyDescent="0.25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5.75" x14ac:dyDescent="0.25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2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2.6342464843764901E-4</v>
      </c>
      <c r="I4" s="9">
        <f>'Proximal Validation (single)'!I3</f>
        <v>-3.2978262752294499E-2</v>
      </c>
      <c r="J4" s="9">
        <f>'Proximal Validation (single)'!J3</f>
        <v>5.6162860710173802E-4</v>
      </c>
      <c r="K4" s="9">
        <f>'Proximal Validation (single)'!K3</f>
        <v>0.185834720730782</v>
      </c>
      <c r="L4" s="9">
        <f>'Proximal Validation (single)'!L3</f>
        <v>1.13257020711899E-3</v>
      </c>
      <c r="M4" s="9">
        <f>'Proximal Validation (single)'!M3</f>
        <v>0.19288232922553999</v>
      </c>
      <c r="N4" s="9"/>
      <c r="O4" s="9"/>
      <c r="P4" s="9"/>
      <c r="Q4" s="9"/>
      <c r="R4" s="10"/>
      <c r="S4" s="8">
        <f>ABS(N4-A4)</f>
        <v>0.3</v>
      </c>
      <c r="T4" s="8">
        <f t="shared" ref="T4:V19" si="0">ABS(O4-B4)</f>
        <v>0.08</v>
      </c>
      <c r="U4" s="8">
        <f t="shared" si="0"/>
        <v>1.571</v>
      </c>
      <c r="V4" s="8">
        <f t="shared" si="0"/>
        <v>0.78500000000000003</v>
      </c>
      <c r="W4" s="9">
        <f>AVERAGE(S4:S78)</f>
        <v>0.54666666666666652</v>
      </c>
      <c r="X4" s="9">
        <f t="shared" ref="X4:Z4" si="1">AVERAGE(T4:T78)</f>
        <v>0.13066666666666663</v>
      </c>
      <c r="Y4" s="9">
        <f t="shared" si="1"/>
        <v>2.6877999999999984</v>
      </c>
      <c r="Z4" s="9">
        <f t="shared" si="1"/>
        <v>1.2041999999999984</v>
      </c>
    </row>
    <row r="5" spans="1:26" x14ac:dyDescent="0.2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-4.3474312406033299E-4</v>
      </c>
      <c r="I5" s="9">
        <f>'Proximal Validation (single)'!I4</f>
        <v>-6.2425632029771798E-2</v>
      </c>
      <c r="J5" s="9">
        <f>'Proximal Validation (single)'!J4</f>
        <v>2.5845002382993698E-3</v>
      </c>
      <c r="K5" s="9">
        <f>'Proximal Validation (single)'!K4</f>
        <v>0.25303724408149703</v>
      </c>
      <c r="L5" s="9">
        <f>'Proximal Validation (single)'!L4</f>
        <v>1.07369087636471E-2</v>
      </c>
      <c r="M5" s="9">
        <f>'Proximal Validation (single)'!M4</f>
        <v>0.27653545141220098</v>
      </c>
      <c r="N5" s="9"/>
      <c r="O5" s="9"/>
      <c r="P5" s="9"/>
      <c r="Q5" s="9"/>
      <c r="R5" s="10"/>
      <c r="S5" s="8">
        <f t="shared" ref="S5:V68" si="2">ABS(N5-A5)</f>
        <v>0.4</v>
      </c>
      <c r="T5" s="8">
        <f t="shared" si="0"/>
        <v>0.14000000000000001</v>
      </c>
      <c r="U5" s="8">
        <f t="shared" si="0"/>
        <v>1.571</v>
      </c>
      <c r="V5" s="8">
        <f t="shared" si="0"/>
        <v>0.78500000000000003</v>
      </c>
      <c r="Y5">
        <f>DEGREES(Y4)</f>
        <v>153.99959617526258</v>
      </c>
      <c r="Z5">
        <f>DEGREES(Z4)</f>
        <v>68.995577689653643</v>
      </c>
    </row>
    <row r="6" spans="1:26" x14ac:dyDescent="0.2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5.3234044462442398E-3</v>
      </c>
      <c r="I6" s="9">
        <f>'Proximal Validation (single)'!I5</f>
        <v>-0.12275674194097499</v>
      </c>
      <c r="J6" s="9">
        <f>'Proximal Validation (single)'!J5</f>
        <v>-8.3989212289452605E-3</v>
      </c>
      <c r="K6" s="9">
        <f>'Proximal Validation (single)'!K5</f>
        <v>0.26806160807609603</v>
      </c>
      <c r="L6" s="9">
        <f>'Proximal Validation (single)'!L5</f>
        <v>-2.4467468261718799E-2</v>
      </c>
      <c r="M6" s="9">
        <f>'Proximal Validation (single)'!M5</f>
        <v>0.52633810043335005</v>
      </c>
      <c r="N6" s="9"/>
      <c r="O6" s="9"/>
      <c r="P6" s="9"/>
      <c r="Q6" s="9"/>
      <c r="R6" s="10"/>
      <c r="S6" s="8">
        <f t="shared" si="2"/>
        <v>0.6</v>
      </c>
      <c r="T6" s="8">
        <f t="shared" si="0"/>
        <v>0.16</v>
      </c>
      <c r="U6" s="8">
        <f t="shared" si="0"/>
        <v>1.571</v>
      </c>
      <c r="V6" s="8">
        <f t="shared" si="0"/>
        <v>0.78500000000000003</v>
      </c>
    </row>
    <row r="7" spans="1:26" x14ac:dyDescent="0.2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6.7002582363784302E-4</v>
      </c>
      <c r="I7" s="9">
        <f>'Proximal Validation (single)'!I6</f>
        <v>-6.6750191152095795E-2</v>
      </c>
      <c r="J7" s="9">
        <f>'Proximal Validation (single)'!J6</f>
        <v>1.6002767952158999E-3</v>
      </c>
      <c r="K7" s="9">
        <f>'Proximal Validation (single)'!K6</f>
        <v>-3.97013984620571E-2</v>
      </c>
      <c r="L7" s="9">
        <f>'Proximal Validation (single)'!L6</f>
        <v>7.3561742901802098E-3</v>
      </c>
      <c r="M7" s="9">
        <f>'Proximal Validation (single)'!M6</f>
        <v>0.423814177513123</v>
      </c>
      <c r="N7" s="9"/>
      <c r="O7" s="9"/>
      <c r="P7" s="9"/>
      <c r="Q7" s="9"/>
      <c r="R7" s="10"/>
      <c r="S7" s="8">
        <f t="shared" si="2"/>
        <v>0.4</v>
      </c>
      <c r="T7" s="8">
        <f t="shared" si="0"/>
        <v>0.06</v>
      </c>
      <c r="U7" s="8">
        <f t="shared" si="0"/>
        <v>1.571</v>
      </c>
      <c r="V7" s="8">
        <f t="shared" si="0"/>
        <v>1.571</v>
      </c>
    </row>
    <row r="8" spans="1:26" x14ac:dyDescent="0.2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7.4092089198529699E-4</v>
      </c>
      <c r="I8" s="9">
        <f>'Proximal Validation (single)'!I7</f>
        <v>-0.14775538444519001</v>
      </c>
      <c r="J8" s="9">
        <f>'Proximal Validation (single)'!J7</f>
        <v>3.4220633096993E-3</v>
      </c>
      <c r="K8" s="9">
        <f>'Proximal Validation (single)'!K7</f>
        <v>-0.161362335085869</v>
      </c>
      <c r="L8" s="9">
        <f>'Proximal Validation (single)'!L7</f>
        <v>2.0262047648429898E-2</v>
      </c>
      <c r="M8" s="9">
        <f>'Proximal Validation (single)'!M7</f>
        <v>0.82944488525390603</v>
      </c>
      <c r="N8" s="9"/>
      <c r="O8" s="9"/>
      <c r="P8" s="9"/>
      <c r="Q8" s="9"/>
      <c r="R8" s="10"/>
      <c r="S8" s="8">
        <f t="shared" si="2"/>
        <v>0.8</v>
      </c>
      <c r="T8" s="8">
        <f t="shared" si="0"/>
        <v>0.08</v>
      </c>
      <c r="U8" s="8">
        <f t="shared" si="0"/>
        <v>1.571</v>
      </c>
      <c r="V8" s="8">
        <f t="shared" si="0"/>
        <v>1.571</v>
      </c>
    </row>
    <row r="9" spans="1:26" x14ac:dyDescent="0.2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6.6551081836223602E-3</v>
      </c>
      <c r="I9" s="9">
        <f>'Proximal Validation (single)'!I8</f>
        <v>-0.148307904601097</v>
      </c>
      <c r="J9" s="9">
        <f>'Proximal Validation (single)'!J8</f>
        <v>-1.0527462000027299E-3</v>
      </c>
      <c r="K9" s="9">
        <f>'Proximal Validation (single)'!K8</f>
        <v>-0.444706320762634</v>
      </c>
      <c r="L9" s="9">
        <f>'Proximal Validation (single)'!L8</f>
        <v>-2.19946205615997E-2</v>
      </c>
      <c r="M9" s="9">
        <f>'Proximal Validation (single)'!M8</f>
        <v>0.489793181419373</v>
      </c>
      <c r="N9" s="9"/>
      <c r="O9" s="9"/>
      <c r="P9" s="9"/>
      <c r="Q9" s="9"/>
      <c r="R9" s="10"/>
      <c r="S9" s="8">
        <f t="shared" si="2"/>
        <v>0.7</v>
      </c>
      <c r="T9" s="8">
        <f t="shared" si="0"/>
        <v>0.16</v>
      </c>
      <c r="U9" s="8">
        <f t="shared" si="0"/>
        <v>1.571</v>
      </c>
      <c r="V9" s="8">
        <f t="shared" si="0"/>
        <v>1.571</v>
      </c>
    </row>
    <row r="10" spans="1:26" x14ac:dyDescent="0.2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8.7637116666883198E-4</v>
      </c>
      <c r="I10" s="9">
        <f>'Proximal Validation (single)'!I9</f>
        <v>-0.164488449692726</v>
      </c>
      <c r="J10" s="9">
        <f>'Proximal Validation (single)'!J9</f>
        <v>3.7763002328574701E-3</v>
      </c>
      <c r="K10" s="9">
        <f>'Proximal Validation (single)'!K9</f>
        <v>-0.58729076385498002</v>
      </c>
      <c r="L10" s="9">
        <f>'Proximal Validation (single)'!L9</f>
        <v>7.8071318566799199E-3</v>
      </c>
      <c r="M10" s="9">
        <f>'Proximal Validation (single)'!M9</f>
        <v>0.38755592703819303</v>
      </c>
      <c r="N10" s="9"/>
      <c r="O10" s="9"/>
      <c r="P10" s="9"/>
      <c r="Q10" s="9"/>
      <c r="R10" s="10"/>
      <c r="S10" s="8">
        <f t="shared" si="2"/>
        <v>0.7</v>
      </c>
      <c r="T10" s="8">
        <f t="shared" si="0"/>
        <v>0.2</v>
      </c>
      <c r="U10" s="8">
        <f t="shared" si="0"/>
        <v>1.571</v>
      </c>
      <c r="V10" s="8">
        <f t="shared" si="0"/>
        <v>1.571</v>
      </c>
    </row>
    <row r="11" spans="1:26" x14ac:dyDescent="0.2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-8.6323916912078901E-4</v>
      </c>
      <c r="I11" s="9">
        <f>'Proximal Validation (single)'!I10</f>
        <v>4.2902048677205998E-2</v>
      </c>
      <c r="J11" s="9">
        <f>'Proximal Validation (single)'!J10</f>
        <v>-8.0319754779338795E-2</v>
      </c>
      <c r="K11" s="9">
        <f>'Proximal Validation (single)'!K10</f>
        <v>0.61245459318161</v>
      </c>
      <c r="L11" s="9">
        <f>'Proximal Validation (single)'!L10</f>
        <v>-0.54026973247528098</v>
      </c>
      <c r="M11" s="9">
        <f>'Proximal Validation (single)'!M10</f>
        <v>-0.28817486763000499</v>
      </c>
      <c r="N11" s="9"/>
      <c r="O11" s="9"/>
      <c r="P11" s="9"/>
      <c r="Q11" s="9"/>
      <c r="R11" s="10"/>
      <c r="S11" s="8">
        <f t="shared" si="2"/>
        <v>0.7</v>
      </c>
      <c r="T11" s="8">
        <f t="shared" si="0"/>
        <v>0.06</v>
      </c>
      <c r="U11" s="8">
        <f t="shared" si="0"/>
        <v>3.665</v>
      </c>
      <c r="V11" s="8">
        <f t="shared" si="0"/>
        <v>0.78500000000000003</v>
      </c>
    </row>
    <row r="12" spans="1:26" x14ac:dyDescent="0.2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-8.0120982602238698E-4</v>
      </c>
      <c r="I12" s="9">
        <f>'Proximal Validation (single)'!I11</f>
        <v>4.2666438966989503E-2</v>
      </c>
      <c r="J12" s="9">
        <f>'Proximal Validation (single)'!J11</f>
        <v>-8.0293677747249603E-2</v>
      </c>
      <c r="K12" s="9">
        <f>'Proximal Validation (single)'!K11</f>
        <v>0.443310797214508</v>
      </c>
      <c r="L12" s="9">
        <f>'Proximal Validation (single)'!L11</f>
        <v>-0.42717015743255599</v>
      </c>
      <c r="M12" s="9">
        <f>'Proximal Validation (single)'!M11</f>
        <v>-0.22529536485672</v>
      </c>
      <c r="N12" s="9"/>
      <c r="O12" s="9"/>
      <c r="P12" s="9"/>
      <c r="Q12" s="9"/>
      <c r="R12" s="10"/>
      <c r="S12" s="8">
        <f t="shared" si="2"/>
        <v>0.6</v>
      </c>
      <c r="T12" s="8">
        <f t="shared" si="0"/>
        <v>0.1</v>
      </c>
      <c r="U12" s="8">
        <f t="shared" si="0"/>
        <v>3.665</v>
      </c>
      <c r="V12" s="8">
        <f t="shared" si="0"/>
        <v>0.78500000000000003</v>
      </c>
    </row>
    <row r="13" spans="1:26" x14ac:dyDescent="0.2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-5.5334065109491301E-5</v>
      </c>
      <c r="I13" s="9">
        <f>'Proximal Validation (single)'!I12</f>
        <v>7.7956624329090105E-2</v>
      </c>
      <c r="J13" s="9">
        <f>'Proximal Validation (single)'!J12</f>
        <v>-0.13737398386001601</v>
      </c>
      <c r="K13" s="9">
        <f>'Proximal Validation (single)'!K12</f>
        <v>0.41918036341667197</v>
      </c>
      <c r="L13" s="9">
        <f>'Proximal Validation (single)'!L12</f>
        <v>-0.55125319957733199</v>
      </c>
      <c r="M13" s="9">
        <f>'Proximal Validation (single)'!M12</f>
        <v>-0.30630308389663702</v>
      </c>
      <c r="N13" s="9"/>
      <c r="O13" s="9"/>
      <c r="P13" s="9"/>
      <c r="Q13" s="9"/>
      <c r="R13" s="10"/>
      <c r="S13" s="8">
        <f t="shared" si="2"/>
        <v>0.8</v>
      </c>
      <c r="T13" s="8">
        <f t="shared" si="0"/>
        <v>0.18</v>
      </c>
      <c r="U13" s="8">
        <f t="shared" si="0"/>
        <v>3.665</v>
      </c>
      <c r="V13" s="8">
        <f t="shared" si="0"/>
        <v>0.78500000000000003</v>
      </c>
    </row>
    <row r="14" spans="1:26" x14ac:dyDescent="0.2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-9.6024014055728899E-5</v>
      </c>
      <c r="I14" s="9">
        <f>'Proximal Validation (single)'!I13</f>
        <v>3.4424368292093298E-2</v>
      </c>
      <c r="J14" s="9">
        <f>'Proximal Validation (single)'!J13</f>
        <v>-6.16564750671387E-2</v>
      </c>
      <c r="K14" s="9">
        <f>'Proximal Validation (single)'!K13</f>
        <v>0.267098218202591</v>
      </c>
      <c r="L14" s="9">
        <f>'Proximal Validation (single)'!L13</f>
        <v>-0.21448078751564001</v>
      </c>
      <c r="M14" s="9">
        <f>'Proximal Validation (single)'!M13</f>
        <v>-0.115060687065125</v>
      </c>
      <c r="N14" s="9"/>
      <c r="O14" s="9"/>
      <c r="P14" s="9"/>
      <c r="Q14" s="9"/>
      <c r="R14" s="10"/>
      <c r="S14" s="8">
        <f t="shared" si="2"/>
        <v>0.4</v>
      </c>
      <c r="T14" s="8">
        <f t="shared" si="0"/>
        <v>0.2</v>
      </c>
      <c r="U14" s="8">
        <f t="shared" si="0"/>
        <v>3.665</v>
      </c>
      <c r="V14" s="8">
        <f t="shared" si="0"/>
        <v>0.78500000000000003</v>
      </c>
    </row>
    <row r="15" spans="1:26" x14ac:dyDescent="0.2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-3.7108035758137698E-4</v>
      </c>
      <c r="I15" s="9">
        <f>'Proximal Validation (single)'!I14</f>
        <v>3.7644270807504703E-2</v>
      </c>
      <c r="J15" s="9">
        <f>'Proximal Validation (single)'!J14</f>
        <v>-6.73996657133102E-2</v>
      </c>
      <c r="K15" s="9">
        <f>'Proximal Validation (single)'!K14</f>
        <v>1.67829748243093E-2</v>
      </c>
      <c r="L15" s="9">
        <f>'Proximal Validation (single)'!L14</f>
        <v>-0.33880779147148099</v>
      </c>
      <c r="M15" s="9">
        <f>'Proximal Validation (single)'!M14</f>
        <v>-0.185297966003418</v>
      </c>
      <c r="N15" s="9"/>
      <c r="O15" s="9"/>
      <c r="P15" s="9"/>
      <c r="Q15" s="9"/>
      <c r="R15" s="10"/>
      <c r="S15" s="8">
        <f t="shared" si="2"/>
        <v>0.4</v>
      </c>
      <c r="T15" s="8">
        <f t="shared" si="0"/>
        <v>0.1</v>
      </c>
      <c r="U15" s="8">
        <f t="shared" si="0"/>
        <v>3.665</v>
      </c>
      <c r="V15" s="8">
        <f t="shared" si="0"/>
        <v>1.571</v>
      </c>
    </row>
    <row r="16" spans="1:26" x14ac:dyDescent="0.2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-1.02429185062647E-3</v>
      </c>
      <c r="I16" s="9">
        <f>'Proximal Validation (single)'!I15</f>
        <v>7.0613205432891804E-2</v>
      </c>
      <c r="J16" s="9">
        <f>'Proximal Validation (single)'!J15</f>
        <v>-0.12678831815719599</v>
      </c>
      <c r="K16" s="9">
        <f>'Proximal Validation (single)'!K15</f>
        <v>-2.9671346768736801E-2</v>
      </c>
      <c r="L16" s="9">
        <f>'Proximal Validation (single)'!L15</f>
        <v>-0.63574087619781505</v>
      </c>
      <c r="M16" s="9">
        <f>'Proximal Validation (single)'!M15</f>
        <v>-0.34651768207549999</v>
      </c>
      <c r="N16" s="9"/>
      <c r="O16" s="9"/>
      <c r="P16" s="9"/>
      <c r="Q16" s="9"/>
      <c r="R16" s="10"/>
      <c r="S16" s="8">
        <f t="shared" si="2"/>
        <v>0.7</v>
      </c>
      <c r="T16" s="8">
        <f t="shared" si="0"/>
        <v>0.1</v>
      </c>
      <c r="U16" s="8">
        <f t="shared" si="0"/>
        <v>3.665</v>
      </c>
      <c r="V16" s="8">
        <f t="shared" si="0"/>
        <v>1.571</v>
      </c>
    </row>
    <row r="17" spans="1:22" x14ac:dyDescent="0.2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-6.0879066586494402E-4</v>
      </c>
      <c r="I17" s="9">
        <f>'Proximal Validation (single)'!I16</f>
        <v>4.7145899385213901E-2</v>
      </c>
      <c r="J17" s="9">
        <f>'Proximal Validation (single)'!J16</f>
        <v>-8.5028916597366305E-2</v>
      </c>
      <c r="K17" s="9">
        <f>'Proximal Validation (single)'!K16</f>
        <v>-7.4065491557121305E-2</v>
      </c>
      <c r="L17" s="9">
        <f>'Proximal Validation (single)'!L16</f>
        <v>-0.31546109914779702</v>
      </c>
      <c r="M17" s="9">
        <f>'Proximal Validation (single)'!M16</f>
        <v>-0.17043319344520599</v>
      </c>
      <c r="N17" s="9"/>
      <c r="O17" s="9"/>
      <c r="P17" s="9"/>
      <c r="Q17" s="9"/>
      <c r="R17" s="10"/>
      <c r="S17" s="8">
        <f t="shared" si="2"/>
        <v>0.4</v>
      </c>
      <c r="T17" s="8">
        <f t="shared" si="0"/>
        <v>0.16</v>
      </c>
      <c r="U17" s="8">
        <f t="shared" si="0"/>
        <v>3.665</v>
      </c>
      <c r="V17" s="8">
        <f t="shared" si="0"/>
        <v>1.571</v>
      </c>
    </row>
    <row r="18" spans="1:22" x14ac:dyDescent="0.2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3.8368394598364803E-5</v>
      </c>
      <c r="I18" s="9">
        <f>'Proximal Validation (single)'!I17</f>
        <v>3.2897148281335803E-2</v>
      </c>
      <c r="J18" s="9">
        <f>'Proximal Validation (single)'!J17</f>
        <v>-5.8571800589561497E-2</v>
      </c>
      <c r="K18" s="9">
        <f>'Proximal Validation (single)'!K17</f>
        <v>-6.3505612313747406E-2</v>
      </c>
      <c r="L18" s="9">
        <f>'Proximal Validation (single)'!L17</f>
        <v>-0.19738522171974199</v>
      </c>
      <c r="M18" s="9">
        <f>'Proximal Validation (single)'!M17</f>
        <v>-0.108248926699162</v>
      </c>
      <c r="N18" s="9"/>
      <c r="O18" s="9"/>
      <c r="P18" s="9"/>
      <c r="Q18" s="9"/>
      <c r="R18" s="10"/>
      <c r="S18" s="8">
        <f t="shared" si="2"/>
        <v>0.3</v>
      </c>
      <c r="T18" s="8">
        <f t="shared" si="0"/>
        <v>0.18</v>
      </c>
      <c r="U18" s="8">
        <f t="shared" si="0"/>
        <v>3.665</v>
      </c>
      <c r="V18" s="8">
        <f t="shared" si="0"/>
        <v>1.571</v>
      </c>
    </row>
    <row r="19" spans="1:22" x14ac:dyDescent="0.2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/>
      <c r="O19" s="9"/>
      <c r="P19" s="9"/>
      <c r="Q19" s="9"/>
      <c r="R19" s="10"/>
      <c r="S19" s="8">
        <f t="shared" si="2"/>
        <v>0.3</v>
      </c>
      <c r="T19" s="8">
        <f t="shared" si="0"/>
        <v>0.08</v>
      </c>
      <c r="U19" s="8">
        <f t="shared" si="0"/>
        <v>1.571</v>
      </c>
      <c r="V19" s="8">
        <f t="shared" si="0"/>
        <v>0.78500000000000003</v>
      </c>
    </row>
    <row r="20" spans="1:22" x14ac:dyDescent="0.2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/>
      <c r="O20" s="9"/>
      <c r="P20" s="9"/>
      <c r="Q20" s="9"/>
      <c r="R20" s="10"/>
      <c r="S20" s="8">
        <f t="shared" si="2"/>
        <v>0.4</v>
      </c>
      <c r="T20" s="8">
        <f t="shared" si="2"/>
        <v>0.14000000000000001</v>
      </c>
      <c r="U20" s="8">
        <f t="shared" si="2"/>
        <v>1.571</v>
      </c>
      <c r="V20" s="8">
        <f t="shared" si="2"/>
        <v>0.78500000000000003</v>
      </c>
    </row>
    <row r="21" spans="1:22" x14ac:dyDescent="0.2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/>
      <c r="O21" s="9"/>
      <c r="P21" s="9"/>
      <c r="Q21" s="9"/>
      <c r="R21" s="10"/>
      <c r="S21" s="8">
        <f t="shared" si="2"/>
        <v>0.6</v>
      </c>
      <c r="T21" s="8">
        <f t="shared" si="2"/>
        <v>0.16</v>
      </c>
      <c r="U21" s="8">
        <f t="shared" si="2"/>
        <v>1.571</v>
      </c>
      <c r="V21" s="8">
        <f t="shared" si="2"/>
        <v>0.78500000000000003</v>
      </c>
    </row>
    <row r="22" spans="1:22" x14ac:dyDescent="0.2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/>
      <c r="O22" s="9"/>
      <c r="P22" s="9"/>
      <c r="Q22" s="9"/>
      <c r="R22" s="10"/>
      <c r="S22" s="8">
        <f t="shared" si="2"/>
        <v>0.4</v>
      </c>
      <c r="T22" s="8">
        <f t="shared" si="2"/>
        <v>0.06</v>
      </c>
      <c r="U22" s="8">
        <f t="shared" si="2"/>
        <v>1.571</v>
      </c>
      <c r="V22" s="8">
        <f t="shared" si="2"/>
        <v>1.571</v>
      </c>
    </row>
    <row r="23" spans="1:22" x14ac:dyDescent="0.2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/>
      <c r="O23" s="9"/>
      <c r="P23" s="9"/>
      <c r="Q23" s="9"/>
      <c r="R23" s="10"/>
      <c r="S23" s="8">
        <f t="shared" si="2"/>
        <v>0.8</v>
      </c>
      <c r="T23" s="8">
        <f t="shared" si="2"/>
        <v>0.08</v>
      </c>
      <c r="U23" s="8">
        <f t="shared" si="2"/>
        <v>1.571</v>
      </c>
      <c r="V23" s="8">
        <f t="shared" si="2"/>
        <v>1.571</v>
      </c>
    </row>
    <row r="24" spans="1:22" x14ac:dyDescent="0.2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/>
      <c r="O24" s="9"/>
      <c r="P24" s="9"/>
      <c r="Q24" s="9"/>
      <c r="R24" s="10"/>
      <c r="S24" s="8">
        <f t="shared" si="2"/>
        <v>0.7</v>
      </c>
      <c r="T24" s="8">
        <f t="shared" si="2"/>
        <v>0.16</v>
      </c>
      <c r="U24" s="8">
        <f t="shared" si="2"/>
        <v>1.571</v>
      </c>
      <c r="V24" s="8">
        <f t="shared" si="2"/>
        <v>1.571</v>
      </c>
    </row>
    <row r="25" spans="1:22" x14ac:dyDescent="0.2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/>
      <c r="O25" s="9"/>
      <c r="P25" s="9"/>
      <c r="Q25" s="9"/>
      <c r="R25" s="10"/>
      <c r="S25" s="8">
        <f t="shared" si="2"/>
        <v>0.7</v>
      </c>
      <c r="T25" s="8">
        <f t="shared" si="2"/>
        <v>0.2</v>
      </c>
      <c r="U25" s="8">
        <f t="shared" si="2"/>
        <v>1.571</v>
      </c>
      <c r="V25" s="8">
        <f t="shared" si="2"/>
        <v>1.571</v>
      </c>
    </row>
    <row r="26" spans="1:22" x14ac:dyDescent="0.2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/>
      <c r="O26" s="9"/>
      <c r="P26" s="9"/>
      <c r="Q26" s="9"/>
      <c r="R26" s="10"/>
      <c r="S26" s="8">
        <f t="shared" si="2"/>
        <v>0.7</v>
      </c>
      <c r="T26" s="8">
        <f t="shared" si="2"/>
        <v>0.06</v>
      </c>
      <c r="U26" s="8">
        <f t="shared" si="2"/>
        <v>3.665</v>
      </c>
      <c r="V26" s="8">
        <f t="shared" si="2"/>
        <v>0.78500000000000003</v>
      </c>
    </row>
    <row r="27" spans="1:22" x14ac:dyDescent="0.2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/>
      <c r="O27" s="9"/>
      <c r="P27" s="9"/>
      <c r="Q27" s="9"/>
      <c r="R27" s="10"/>
      <c r="S27" s="8">
        <f t="shared" si="2"/>
        <v>0.6</v>
      </c>
      <c r="T27" s="8">
        <f t="shared" si="2"/>
        <v>0.1</v>
      </c>
      <c r="U27" s="8">
        <f t="shared" si="2"/>
        <v>3.665</v>
      </c>
      <c r="V27" s="8">
        <f t="shared" si="2"/>
        <v>0.78500000000000003</v>
      </c>
    </row>
    <row r="28" spans="1:22" x14ac:dyDescent="0.2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/>
      <c r="O28" s="9"/>
      <c r="P28" s="9"/>
      <c r="Q28" s="9"/>
      <c r="R28" s="10"/>
      <c r="S28" s="8">
        <f t="shared" si="2"/>
        <v>0.8</v>
      </c>
      <c r="T28" s="8">
        <f t="shared" si="2"/>
        <v>0.18</v>
      </c>
      <c r="U28" s="8">
        <f t="shared" si="2"/>
        <v>3.665</v>
      </c>
      <c r="V28" s="8">
        <f t="shared" si="2"/>
        <v>0.78500000000000003</v>
      </c>
    </row>
    <row r="29" spans="1:22" x14ac:dyDescent="0.2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/>
      <c r="O29" s="9"/>
      <c r="P29" s="9"/>
      <c r="Q29" s="9"/>
      <c r="R29" s="10"/>
      <c r="S29" s="8">
        <f t="shared" si="2"/>
        <v>0.4</v>
      </c>
      <c r="T29" s="8">
        <f t="shared" si="2"/>
        <v>0.2</v>
      </c>
      <c r="U29" s="8">
        <f t="shared" si="2"/>
        <v>3.665</v>
      </c>
      <c r="V29" s="8">
        <f t="shared" si="2"/>
        <v>0.78500000000000003</v>
      </c>
    </row>
    <row r="30" spans="1:22" x14ac:dyDescent="0.2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/>
      <c r="O30" s="9"/>
      <c r="P30" s="9"/>
      <c r="Q30" s="9"/>
      <c r="R30" s="10"/>
      <c r="S30" s="8">
        <f t="shared" si="2"/>
        <v>0.4</v>
      </c>
      <c r="T30" s="8">
        <f t="shared" si="2"/>
        <v>0.1</v>
      </c>
      <c r="U30" s="8">
        <f t="shared" si="2"/>
        <v>3.665</v>
      </c>
      <c r="V30" s="8">
        <f t="shared" si="2"/>
        <v>1.571</v>
      </c>
    </row>
    <row r="31" spans="1:22" x14ac:dyDescent="0.2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/>
      <c r="O31" s="9"/>
      <c r="P31" s="9"/>
      <c r="Q31" s="9"/>
      <c r="R31" s="10"/>
      <c r="S31" s="8">
        <f t="shared" si="2"/>
        <v>0.7</v>
      </c>
      <c r="T31" s="8">
        <f t="shared" si="2"/>
        <v>0.1</v>
      </c>
      <c r="U31" s="8">
        <f t="shared" si="2"/>
        <v>3.665</v>
      </c>
      <c r="V31" s="8">
        <f t="shared" si="2"/>
        <v>1.571</v>
      </c>
    </row>
    <row r="32" spans="1:22" x14ac:dyDescent="0.2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/>
      <c r="O32" s="9"/>
      <c r="P32" s="9"/>
      <c r="Q32" s="9"/>
      <c r="R32" s="10"/>
      <c r="S32" s="8">
        <f t="shared" si="2"/>
        <v>0.4</v>
      </c>
      <c r="T32" s="8">
        <f t="shared" si="2"/>
        <v>0.16</v>
      </c>
      <c r="U32" s="8">
        <f t="shared" si="2"/>
        <v>3.665</v>
      </c>
      <c r="V32" s="8">
        <f t="shared" si="2"/>
        <v>1.571</v>
      </c>
    </row>
    <row r="33" spans="1:22" x14ac:dyDescent="0.2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/>
      <c r="O33" s="9"/>
      <c r="P33" s="9"/>
      <c r="Q33" s="9"/>
      <c r="R33" s="10"/>
      <c r="S33" s="8">
        <f t="shared" si="2"/>
        <v>0.3</v>
      </c>
      <c r="T33" s="8">
        <f t="shared" si="2"/>
        <v>0.18</v>
      </c>
      <c r="U33" s="8">
        <f t="shared" si="2"/>
        <v>3.665</v>
      </c>
      <c r="V33" s="8">
        <f t="shared" si="2"/>
        <v>1.571</v>
      </c>
    </row>
    <row r="34" spans="1:22" x14ac:dyDescent="0.2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/>
      <c r="O34" s="9"/>
      <c r="P34" s="9"/>
      <c r="Q34" s="9"/>
      <c r="R34" s="10"/>
      <c r="S34" s="8">
        <f t="shared" si="2"/>
        <v>0.3</v>
      </c>
      <c r="T34" s="8">
        <f t="shared" si="2"/>
        <v>0.08</v>
      </c>
      <c r="U34" s="8">
        <f t="shared" si="2"/>
        <v>1.571</v>
      </c>
      <c r="V34" s="8">
        <f t="shared" si="2"/>
        <v>0.78500000000000003</v>
      </c>
    </row>
    <row r="35" spans="1:22" x14ac:dyDescent="0.2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/>
      <c r="O35" s="9"/>
      <c r="P35" s="9"/>
      <c r="Q35" s="9"/>
      <c r="R35" s="10"/>
      <c r="S35" s="8">
        <f t="shared" si="2"/>
        <v>0.4</v>
      </c>
      <c r="T35" s="8">
        <f t="shared" si="2"/>
        <v>0.14000000000000001</v>
      </c>
      <c r="U35" s="8">
        <f t="shared" si="2"/>
        <v>1.571</v>
      </c>
      <c r="V35" s="8">
        <f t="shared" si="2"/>
        <v>0.78500000000000003</v>
      </c>
    </row>
    <row r="36" spans="1:22" x14ac:dyDescent="0.2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/>
      <c r="O36" s="9"/>
      <c r="P36" s="9"/>
      <c r="Q36" s="9"/>
      <c r="R36" s="10"/>
      <c r="S36" s="8">
        <f t="shared" si="2"/>
        <v>0.6</v>
      </c>
      <c r="T36" s="8">
        <f t="shared" si="2"/>
        <v>0.16</v>
      </c>
      <c r="U36" s="8">
        <f t="shared" si="2"/>
        <v>1.571</v>
      </c>
      <c r="V36" s="8">
        <f t="shared" si="2"/>
        <v>0.78500000000000003</v>
      </c>
    </row>
    <row r="37" spans="1:22" x14ac:dyDescent="0.2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/>
      <c r="O37" s="9"/>
      <c r="P37" s="9"/>
      <c r="Q37" s="9"/>
      <c r="R37" s="10"/>
      <c r="S37" s="8">
        <f t="shared" si="2"/>
        <v>0.4</v>
      </c>
      <c r="T37" s="8">
        <f t="shared" si="2"/>
        <v>0.06</v>
      </c>
      <c r="U37" s="8">
        <f t="shared" si="2"/>
        <v>1.571</v>
      </c>
      <c r="V37" s="8">
        <f t="shared" si="2"/>
        <v>1.571</v>
      </c>
    </row>
    <row r="38" spans="1:22" x14ac:dyDescent="0.2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/>
      <c r="O38" s="9"/>
      <c r="P38" s="9"/>
      <c r="Q38" s="9"/>
      <c r="R38" s="10"/>
      <c r="S38" s="8">
        <f t="shared" si="2"/>
        <v>0.8</v>
      </c>
      <c r="T38" s="8">
        <f t="shared" si="2"/>
        <v>0.08</v>
      </c>
      <c r="U38" s="8">
        <f t="shared" si="2"/>
        <v>1.571</v>
      </c>
      <c r="V38" s="8">
        <f t="shared" si="2"/>
        <v>1.571</v>
      </c>
    </row>
    <row r="39" spans="1:22" x14ac:dyDescent="0.2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/>
      <c r="O39" s="9"/>
      <c r="P39" s="9"/>
      <c r="Q39" s="9"/>
      <c r="R39" s="10"/>
      <c r="S39" s="8">
        <f t="shared" si="2"/>
        <v>0.7</v>
      </c>
      <c r="T39" s="8">
        <f t="shared" si="2"/>
        <v>0.16</v>
      </c>
      <c r="U39" s="8">
        <f t="shared" si="2"/>
        <v>1.571</v>
      </c>
      <c r="V39" s="8">
        <f t="shared" si="2"/>
        <v>1.571</v>
      </c>
    </row>
    <row r="40" spans="1:22" x14ac:dyDescent="0.2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/>
      <c r="O40" s="9"/>
      <c r="P40" s="9"/>
      <c r="Q40" s="9"/>
      <c r="R40" s="10"/>
      <c r="S40" s="8">
        <f t="shared" si="2"/>
        <v>0.7</v>
      </c>
      <c r="T40" s="8">
        <f t="shared" si="2"/>
        <v>0.2</v>
      </c>
      <c r="U40" s="8">
        <f t="shared" si="2"/>
        <v>1.571</v>
      </c>
      <c r="V40" s="8">
        <f t="shared" si="2"/>
        <v>1.571</v>
      </c>
    </row>
    <row r="41" spans="1:22" x14ac:dyDescent="0.2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/>
      <c r="O41" s="9"/>
      <c r="P41" s="9"/>
      <c r="Q41" s="9"/>
      <c r="R41" s="10"/>
      <c r="S41" s="8">
        <f t="shared" si="2"/>
        <v>0.7</v>
      </c>
      <c r="T41" s="8">
        <f t="shared" si="2"/>
        <v>0.06</v>
      </c>
      <c r="U41" s="8">
        <f t="shared" si="2"/>
        <v>3.665</v>
      </c>
      <c r="V41" s="8">
        <f t="shared" si="2"/>
        <v>0.78500000000000003</v>
      </c>
    </row>
    <row r="42" spans="1:22" x14ac:dyDescent="0.2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/>
      <c r="O42" s="9"/>
      <c r="P42" s="9"/>
      <c r="Q42" s="9"/>
      <c r="R42" s="10"/>
      <c r="S42" s="8">
        <f t="shared" si="2"/>
        <v>0.6</v>
      </c>
      <c r="T42" s="8">
        <f t="shared" si="2"/>
        <v>0.1</v>
      </c>
      <c r="U42" s="8">
        <f t="shared" si="2"/>
        <v>3.665</v>
      </c>
      <c r="V42" s="8">
        <f t="shared" si="2"/>
        <v>0.78500000000000003</v>
      </c>
    </row>
    <row r="43" spans="1:22" x14ac:dyDescent="0.2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/>
      <c r="O43" s="9"/>
      <c r="P43" s="9"/>
      <c r="Q43" s="9"/>
      <c r="R43" s="10"/>
      <c r="S43" s="8">
        <f t="shared" si="2"/>
        <v>0.8</v>
      </c>
      <c r="T43" s="8">
        <f t="shared" si="2"/>
        <v>0.18</v>
      </c>
      <c r="U43" s="8">
        <f t="shared" si="2"/>
        <v>3.665</v>
      </c>
      <c r="V43" s="8">
        <f t="shared" si="2"/>
        <v>0.78500000000000003</v>
      </c>
    </row>
    <row r="44" spans="1:22" x14ac:dyDescent="0.2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/>
      <c r="O44" s="9"/>
      <c r="P44" s="9"/>
      <c r="Q44" s="9"/>
      <c r="R44" s="10"/>
      <c r="S44" s="8">
        <f t="shared" si="2"/>
        <v>0.4</v>
      </c>
      <c r="T44" s="8">
        <f t="shared" si="2"/>
        <v>0.2</v>
      </c>
      <c r="U44" s="8">
        <f t="shared" si="2"/>
        <v>3.665</v>
      </c>
      <c r="V44" s="8">
        <f t="shared" si="2"/>
        <v>0.78500000000000003</v>
      </c>
    </row>
    <row r="45" spans="1:22" x14ac:dyDescent="0.2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/>
      <c r="O45" s="9"/>
      <c r="P45" s="9"/>
      <c r="Q45" s="9"/>
      <c r="R45" s="10"/>
      <c r="S45" s="8">
        <f t="shared" si="2"/>
        <v>0.4</v>
      </c>
      <c r="T45" s="8">
        <f t="shared" si="2"/>
        <v>0.1</v>
      </c>
      <c r="U45" s="8">
        <f t="shared" si="2"/>
        <v>3.665</v>
      </c>
      <c r="V45" s="8">
        <f t="shared" si="2"/>
        <v>1.571</v>
      </c>
    </row>
    <row r="46" spans="1:22" x14ac:dyDescent="0.2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/>
      <c r="O46" s="9"/>
      <c r="P46" s="9"/>
      <c r="Q46" s="9"/>
      <c r="R46" s="10"/>
      <c r="S46" s="8">
        <f t="shared" si="2"/>
        <v>0.7</v>
      </c>
      <c r="T46" s="8">
        <f t="shared" si="2"/>
        <v>0.1</v>
      </c>
      <c r="U46" s="8">
        <f t="shared" si="2"/>
        <v>3.665</v>
      </c>
      <c r="V46" s="8">
        <f t="shared" si="2"/>
        <v>1.571</v>
      </c>
    </row>
    <row r="47" spans="1:22" x14ac:dyDescent="0.2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/>
      <c r="O47" s="9"/>
      <c r="P47" s="9"/>
      <c r="Q47" s="9"/>
      <c r="R47" s="10"/>
      <c r="S47" s="8">
        <f t="shared" si="2"/>
        <v>0.4</v>
      </c>
      <c r="T47" s="8">
        <f t="shared" si="2"/>
        <v>0.16</v>
      </c>
      <c r="U47" s="8">
        <f t="shared" si="2"/>
        <v>3.665</v>
      </c>
      <c r="V47" s="8">
        <f t="shared" si="2"/>
        <v>1.571</v>
      </c>
    </row>
    <row r="48" spans="1:22" x14ac:dyDescent="0.2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/>
      <c r="O48" s="9"/>
      <c r="P48" s="9"/>
      <c r="Q48" s="9"/>
      <c r="R48" s="10"/>
      <c r="S48" s="8">
        <f t="shared" si="2"/>
        <v>0.3</v>
      </c>
      <c r="T48" s="8">
        <f t="shared" si="2"/>
        <v>0.18</v>
      </c>
      <c r="U48" s="8">
        <f t="shared" si="2"/>
        <v>3.665</v>
      </c>
      <c r="V48" s="8">
        <f t="shared" si="2"/>
        <v>1.571</v>
      </c>
    </row>
    <row r="49" spans="1:22" x14ac:dyDescent="0.2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/>
      <c r="O49" s="9"/>
      <c r="P49" s="9"/>
      <c r="Q49" s="9"/>
      <c r="R49" s="10"/>
      <c r="S49" s="8">
        <f t="shared" si="2"/>
        <v>0.3</v>
      </c>
      <c r="T49" s="8">
        <f t="shared" si="2"/>
        <v>0.08</v>
      </c>
      <c r="U49" s="8">
        <f t="shared" si="2"/>
        <v>1.571</v>
      </c>
      <c r="V49" s="8">
        <f t="shared" si="2"/>
        <v>0.78500000000000003</v>
      </c>
    </row>
    <row r="50" spans="1:22" x14ac:dyDescent="0.2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/>
      <c r="O50" s="9"/>
      <c r="P50" s="9"/>
      <c r="Q50" s="9"/>
      <c r="R50" s="10"/>
      <c r="S50" s="8">
        <f t="shared" si="2"/>
        <v>0.4</v>
      </c>
      <c r="T50" s="8">
        <f t="shared" si="2"/>
        <v>0.14000000000000001</v>
      </c>
      <c r="U50" s="8">
        <f t="shared" si="2"/>
        <v>1.571</v>
      </c>
      <c r="V50" s="8">
        <f t="shared" si="2"/>
        <v>0.78500000000000003</v>
      </c>
    </row>
    <row r="51" spans="1:22" x14ac:dyDescent="0.2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/>
      <c r="O51" s="9"/>
      <c r="P51" s="9"/>
      <c r="Q51" s="9"/>
      <c r="R51" s="10"/>
      <c r="S51" s="8">
        <f t="shared" si="2"/>
        <v>0.6</v>
      </c>
      <c r="T51" s="8">
        <f t="shared" si="2"/>
        <v>0.16</v>
      </c>
      <c r="U51" s="8">
        <f t="shared" si="2"/>
        <v>1.571</v>
      </c>
      <c r="V51" s="8">
        <f t="shared" si="2"/>
        <v>0.78500000000000003</v>
      </c>
    </row>
    <row r="52" spans="1:22" x14ac:dyDescent="0.2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/>
      <c r="O52" s="9"/>
      <c r="P52" s="9"/>
      <c r="Q52" s="9"/>
      <c r="R52" s="10"/>
      <c r="S52" s="8">
        <f t="shared" si="2"/>
        <v>0.4</v>
      </c>
      <c r="T52" s="8">
        <f t="shared" si="2"/>
        <v>0.06</v>
      </c>
      <c r="U52" s="8">
        <f t="shared" si="2"/>
        <v>1.571</v>
      </c>
      <c r="V52" s="8">
        <f t="shared" si="2"/>
        <v>1.571</v>
      </c>
    </row>
    <row r="53" spans="1:22" x14ac:dyDescent="0.2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/>
      <c r="O53" s="9"/>
      <c r="P53" s="9"/>
      <c r="Q53" s="9"/>
      <c r="R53" s="10"/>
      <c r="S53" s="8">
        <f t="shared" si="2"/>
        <v>0.8</v>
      </c>
      <c r="T53" s="8">
        <f t="shared" si="2"/>
        <v>0.08</v>
      </c>
      <c r="U53" s="8">
        <f t="shared" si="2"/>
        <v>1.571</v>
      </c>
      <c r="V53" s="8">
        <f t="shared" si="2"/>
        <v>1.571</v>
      </c>
    </row>
    <row r="54" spans="1:22" x14ac:dyDescent="0.2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/>
      <c r="O54" s="9"/>
      <c r="P54" s="9"/>
      <c r="Q54" s="9"/>
      <c r="R54" s="10"/>
      <c r="S54" s="8">
        <f t="shared" si="2"/>
        <v>0.7</v>
      </c>
      <c r="T54" s="8">
        <f t="shared" si="2"/>
        <v>0.16</v>
      </c>
      <c r="U54" s="8">
        <f t="shared" si="2"/>
        <v>1.571</v>
      </c>
      <c r="V54" s="8">
        <f t="shared" si="2"/>
        <v>1.571</v>
      </c>
    </row>
    <row r="55" spans="1:22" x14ac:dyDescent="0.2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/>
      <c r="O55" s="9"/>
      <c r="P55" s="9"/>
      <c r="Q55" s="9"/>
      <c r="R55" s="10"/>
      <c r="S55" s="8">
        <f t="shared" si="2"/>
        <v>0.7</v>
      </c>
      <c r="T55" s="8">
        <f t="shared" si="2"/>
        <v>0.2</v>
      </c>
      <c r="U55" s="8">
        <f t="shared" si="2"/>
        <v>1.571</v>
      </c>
      <c r="V55" s="8">
        <f t="shared" si="2"/>
        <v>1.571</v>
      </c>
    </row>
    <row r="56" spans="1:22" x14ac:dyDescent="0.2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/>
      <c r="O56" s="9"/>
      <c r="P56" s="9"/>
      <c r="Q56" s="9"/>
      <c r="R56" s="10"/>
      <c r="S56" s="8">
        <f t="shared" si="2"/>
        <v>0.7</v>
      </c>
      <c r="T56" s="8">
        <f t="shared" si="2"/>
        <v>0.06</v>
      </c>
      <c r="U56" s="8">
        <f t="shared" si="2"/>
        <v>3.665</v>
      </c>
      <c r="V56" s="8">
        <f t="shared" si="2"/>
        <v>0.78500000000000003</v>
      </c>
    </row>
    <row r="57" spans="1:22" x14ac:dyDescent="0.2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/>
      <c r="O57" s="9"/>
      <c r="P57" s="9"/>
      <c r="Q57" s="9"/>
      <c r="R57" s="10"/>
      <c r="S57" s="8">
        <f t="shared" si="2"/>
        <v>0.6</v>
      </c>
      <c r="T57" s="8">
        <f t="shared" si="2"/>
        <v>0.1</v>
      </c>
      <c r="U57" s="8">
        <f t="shared" si="2"/>
        <v>3.665</v>
      </c>
      <c r="V57" s="8">
        <f t="shared" si="2"/>
        <v>0.78500000000000003</v>
      </c>
    </row>
    <row r="58" spans="1:22" x14ac:dyDescent="0.2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/>
      <c r="O58" s="9"/>
      <c r="P58" s="9"/>
      <c r="Q58" s="9"/>
      <c r="R58" s="10"/>
      <c r="S58" s="8">
        <f t="shared" si="2"/>
        <v>0.8</v>
      </c>
      <c r="T58" s="8">
        <f t="shared" si="2"/>
        <v>0.18</v>
      </c>
      <c r="U58" s="8">
        <f t="shared" si="2"/>
        <v>3.665</v>
      </c>
      <c r="V58" s="8">
        <f t="shared" si="2"/>
        <v>0.78500000000000003</v>
      </c>
    </row>
    <row r="59" spans="1:22" x14ac:dyDescent="0.2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/>
      <c r="O59" s="9"/>
      <c r="P59" s="9"/>
      <c r="Q59" s="9"/>
      <c r="R59" s="10"/>
      <c r="S59" s="8">
        <f t="shared" si="2"/>
        <v>0.4</v>
      </c>
      <c r="T59" s="8">
        <f t="shared" si="2"/>
        <v>0.2</v>
      </c>
      <c r="U59" s="8">
        <f t="shared" si="2"/>
        <v>3.665</v>
      </c>
      <c r="V59" s="8">
        <f t="shared" si="2"/>
        <v>0.78500000000000003</v>
      </c>
    </row>
    <row r="60" spans="1:22" x14ac:dyDescent="0.2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/>
      <c r="O60" s="9"/>
      <c r="P60" s="9"/>
      <c r="Q60" s="9"/>
      <c r="R60" s="10"/>
      <c r="S60" s="8">
        <f t="shared" si="2"/>
        <v>0.4</v>
      </c>
      <c r="T60" s="8">
        <f t="shared" si="2"/>
        <v>0.1</v>
      </c>
      <c r="U60" s="8">
        <f t="shared" si="2"/>
        <v>3.665</v>
      </c>
      <c r="V60" s="8">
        <f t="shared" si="2"/>
        <v>1.571</v>
      </c>
    </row>
    <row r="61" spans="1:22" x14ac:dyDescent="0.2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/>
      <c r="O61" s="9"/>
      <c r="P61" s="9"/>
      <c r="Q61" s="9"/>
      <c r="R61" s="10"/>
      <c r="S61" s="8">
        <f t="shared" si="2"/>
        <v>0.7</v>
      </c>
      <c r="T61" s="8">
        <f t="shared" si="2"/>
        <v>0.1</v>
      </c>
      <c r="U61" s="8">
        <f t="shared" si="2"/>
        <v>3.665</v>
      </c>
      <c r="V61" s="8">
        <f t="shared" si="2"/>
        <v>1.571</v>
      </c>
    </row>
    <row r="62" spans="1:22" x14ac:dyDescent="0.2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/>
      <c r="O62" s="9"/>
      <c r="P62" s="9"/>
      <c r="Q62" s="9"/>
      <c r="R62" s="10"/>
      <c r="S62" s="8">
        <f t="shared" si="2"/>
        <v>0.4</v>
      </c>
      <c r="T62" s="8">
        <f t="shared" si="2"/>
        <v>0.16</v>
      </c>
      <c r="U62" s="8">
        <f t="shared" si="2"/>
        <v>3.665</v>
      </c>
      <c r="V62" s="8">
        <f t="shared" si="2"/>
        <v>1.571</v>
      </c>
    </row>
    <row r="63" spans="1:22" x14ac:dyDescent="0.2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/>
      <c r="O63" s="9"/>
      <c r="P63" s="9"/>
      <c r="Q63" s="9"/>
      <c r="R63" s="10"/>
      <c r="S63" s="8">
        <f t="shared" si="2"/>
        <v>0.3</v>
      </c>
      <c r="T63" s="8">
        <f t="shared" si="2"/>
        <v>0.18</v>
      </c>
      <c r="U63" s="8">
        <f t="shared" si="2"/>
        <v>3.665</v>
      </c>
      <c r="V63" s="8">
        <f t="shared" si="2"/>
        <v>1.571</v>
      </c>
    </row>
    <row r="64" spans="1:22" x14ac:dyDescent="0.2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/>
      <c r="O64" s="9"/>
      <c r="P64" s="9"/>
      <c r="Q64" s="9"/>
      <c r="R64" s="10"/>
      <c r="S64" s="8">
        <f t="shared" si="2"/>
        <v>0.3</v>
      </c>
      <c r="T64" s="8">
        <f t="shared" si="2"/>
        <v>0.08</v>
      </c>
      <c r="U64" s="8">
        <f t="shared" si="2"/>
        <v>1.571</v>
      </c>
      <c r="V64" s="8">
        <f t="shared" si="2"/>
        <v>0.78500000000000003</v>
      </c>
    </row>
    <row r="65" spans="1:22" x14ac:dyDescent="0.2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/>
      <c r="O65" s="9"/>
      <c r="P65" s="9"/>
      <c r="Q65" s="9"/>
      <c r="R65" s="10"/>
      <c r="S65" s="8">
        <f t="shared" si="2"/>
        <v>0.4</v>
      </c>
      <c r="T65" s="8">
        <f t="shared" si="2"/>
        <v>0.14000000000000001</v>
      </c>
      <c r="U65" s="8">
        <f t="shared" si="2"/>
        <v>1.571</v>
      </c>
      <c r="V65" s="8">
        <f t="shared" si="2"/>
        <v>0.78500000000000003</v>
      </c>
    </row>
    <row r="66" spans="1:22" x14ac:dyDescent="0.2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/>
      <c r="O66" s="9"/>
      <c r="P66" s="9"/>
      <c r="Q66" s="9"/>
      <c r="R66" s="10"/>
      <c r="S66" s="8">
        <f t="shared" si="2"/>
        <v>0.6</v>
      </c>
      <c r="T66" s="8">
        <f t="shared" si="2"/>
        <v>0.16</v>
      </c>
      <c r="U66" s="8">
        <f t="shared" si="2"/>
        <v>1.571</v>
      </c>
      <c r="V66" s="8">
        <f t="shared" si="2"/>
        <v>0.78500000000000003</v>
      </c>
    </row>
    <row r="67" spans="1:22" x14ac:dyDescent="0.2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/>
      <c r="O67" s="9"/>
      <c r="P67" s="9"/>
      <c r="Q67" s="9"/>
      <c r="R67" s="10"/>
      <c r="S67" s="8">
        <f t="shared" si="2"/>
        <v>0.4</v>
      </c>
      <c r="T67" s="8">
        <f t="shared" si="2"/>
        <v>0.06</v>
      </c>
      <c r="U67" s="8">
        <f t="shared" si="2"/>
        <v>1.571</v>
      </c>
      <c r="V67" s="8">
        <f t="shared" si="2"/>
        <v>1.571</v>
      </c>
    </row>
    <row r="68" spans="1:22" x14ac:dyDescent="0.2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/>
      <c r="O68" s="9"/>
      <c r="P68" s="9"/>
      <c r="Q68" s="9"/>
      <c r="R68" s="10"/>
      <c r="S68" s="8">
        <f t="shared" si="2"/>
        <v>0.8</v>
      </c>
      <c r="T68" s="8">
        <f t="shared" si="2"/>
        <v>0.08</v>
      </c>
      <c r="U68" s="8">
        <f t="shared" si="2"/>
        <v>1.571</v>
      </c>
      <c r="V68" s="8">
        <f t="shared" si="2"/>
        <v>1.571</v>
      </c>
    </row>
    <row r="69" spans="1:22" x14ac:dyDescent="0.2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/>
      <c r="O69" s="9"/>
      <c r="P69" s="9"/>
      <c r="Q69" s="9"/>
      <c r="R69" s="10"/>
      <c r="S69" s="8">
        <f t="shared" ref="S69:V78" si="3">ABS(N69-A69)</f>
        <v>0.7</v>
      </c>
      <c r="T69" s="8">
        <f t="shared" si="3"/>
        <v>0.16</v>
      </c>
      <c r="U69" s="8">
        <f t="shared" si="3"/>
        <v>1.571</v>
      </c>
      <c r="V69" s="8">
        <f t="shared" si="3"/>
        <v>1.571</v>
      </c>
    </row>
    <row r="70" spans="1:22" x14ac:dyDescent="0.2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/>
      <c r="O70" s="9"/>
      <c r="P70" s="9"/>
      <c r="Q70" s="9"/>
      <c r="R70" s="10"/>
      <c r="S70" s="8">
        <f t="shared" si="3"/>
        <v>0.7</v>
      </c>
      <c r="T70" s="8">
        <f t="shared" si="3"/>
        <v>0.2</v>
      </c>
      <c r="U70" s="8">
        <f t="shared" si="3"/>
        <v>1.571</v>
      </c>
      <c r="V70" s="8">
        <f t="shared" si="3"/>
        <v>1.571</v>
      </c>
    </row>
    <row r="71" spans="1:22" x14ac:dyDescent="0.2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/>
      <c r="O71" s="9"/>
      <c r="P71" s="9"/>
      <c r="Q71" s="9"/>
      <c r="R71" s="10"/>
      <c r="S71" s="8">
        <f t="shared" si="3"/>
        <v>0.7</v>
      </c>
      <c r="T71" s="8">
        <f t="shared" si="3"/>
        <v>0.06</v>
      </c>
      <c r="U71" s="8">
        <f t="shared" si="3"/>
        <v>3.665</v>
      </c>
      <c r="V71" s="8">
        <f t="shared" si="3"/>
        <v>0.78500000000000003</v>
      </c>
    </row>
    <row r="72" spans="1:22" x14ac:dyDescent="0.2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/>
      <c r="O72" s="9"/>
      <c r="P72" s="9"/>
      <c r="Q72" s="9"/>
      <c r="R72" s="10"/>
      <c r="S72" s="8">
        <f t="shared" si="3"/>
        <v>0.6</v>
      </c>
      <c r="T72" s="8">
        <f t="shared" si="3"/>
        <v>0.1</v>
      </c>
      <c r="U72" s="8">
        <f t="shared" si="3"/>
        <v>3.665</v>
      </c>
      <c r="V72" s="8">
        <f t="shared" si="3"/>
        <v>0.78500000000000003</v>
      </c>
    </row>
    <row r="73" spans="1:22" x14ac:dyDescent="0.2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/>
      <c r="O73" s="9"/>
      <c r="P73" s="9"/>
      <c r="Q73" s="9"/>
      <c r="R73" s="10"/>
      <c r="S73" s="8">
        <f t="shared" si="3"/>
        <v>0.8</v>
      </c>
      <c r="T73" s="8">
        <f t="shared" si="3"/>
        <v>0.18</v>
      </c>
      <c r="U73" s="8">
        <f t="shared" si="3"/>
        <v>3.665</v>
      </c>
      <c r="V73" s="8">
        <f t="shared" si="3"/>
        <v>0.78500000000000003</v>
      </c>
    </row>
    <row r="74" spans="1:22" x14ac:dyDescent="0.2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/>
      <c r="O74" s="9"/>
      <c r="P74" s="9"/>
      <c r="Q74" s="9"/>
      <c r="R74" s="10"/>
      <c r="S74" s="8">
        <f t="shared" si="3"/>
        <v>0.4</v>
      </c>
      <c r="T74" s="8">
        <f t="shared" si="3"/>
        <v>0.2</v>
      </c>
      <c r="U74" s="8">
        <f t="shared" si="3"/>
        <v>3.665</v>
      </c>
      <c r="V74" s="8">
        <f t="shared" si="3"/>
        <v>0.78500000000000003</v>
      </c>
    </row>
    <row r="75" spans="1:22" x14ac:dyDescent="0.2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/>
      <c r="O75" s="9"/>
      <c r="P75" s="9"/>
      <c r="Q75" s="9"/>
      <c r="R75" s="10"/>
      <c r="S75" s="8">
        <f t="shared" si="3"/>
        <v>0.4</v>
      </c>
      <c r="T75" s="8">
        <f t="shared" si="3"/>
        <v>0.1</v>
      </c>
      <c r="U75" s="8">
        <f t="shared" si="3"/>
        <v>3.665</v>
      </c>
      <c r="V75" s="8">
        <f t="shared" si="3"/>
        <v>1.571</v>
      </c>
    </row>
    <row r="76" spans="1:22" x14ac:dyDescent="0.2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/>
      <c r="O76" s="9"/>
      <c r="P76" s="9"/>
      <c r="Q76" s="9"/>
      <c r="R76" s="10"/>
      <c r="S76" s="8">
        <f t="shared" si="3"/>
        <v>0.7</v>
      </c>
      <c r="T76" s="8">
        <f t="shared" si="3"/>
        <v>0.1</v>
      </c>
      <c r="U76" s="8">
        <f t="shared" si="3"/>
        <v>3.665</v>
      </c>
      <c r="V76" s="8">
        <f t="shared" si="3"/>
        <v>1.571</v>
      </c>
    </row>
    <row r="77" spans="1:22" x14ac:dyDescent="0.2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/>
      <c r="O77" s="9"/>
      <c r="P77" s="9"/>
      <c r="Q77" s="9"/>
      <c r="R77" s="10"/>
      <c r="S77" s="8">
        <f t="shared" si="3"/>
        <v>0.4</v>
      </c>
      <c r="T77" s="8">
        <f t="shared" si="3"/>
        <v>0.16</v>
      </c>
      <c r="U77" s="8">
        <f t="shared" si="3"/>
        <v>3.665</v>
      </c>
      <c r="V77" s="8">
        <f t="shared" si="3"/>
        <v>1.571</v>
      </c>
    </row>
    <row r="78" spans="1:22" x14ac:dyDescent="0.2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/>
      <c r="O78" s="9"/>
      <c r="P78" s="9"/>
      <c r="Q78" s="9"/>
      <c r="R78" s="10"/>
      <c r="S78" s="8">
        <f t="shared" si="3"/>
        <v>0.3</v>
      </c>
      <c r="T78" s="8">
        <f t="shared" si="3"/>
        <v>0.18</v>
      </c>
      <c r="U78" s="8">
        <f t="shared" si="3"/>
        <v>3.665</v>
      </c>
      <c r="V78" s="8">
        <f t="shared" si="3"/>
        <v>1.571</v>
      </c>
    </row>
    <row r="79" spans="1:22" x14ac:dyDescent="0.2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2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2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2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2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2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2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2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2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2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2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2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2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2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2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2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2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2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2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2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2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2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2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2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2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2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2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2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2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2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2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2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2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2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2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2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2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2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2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2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2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2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2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2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2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2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2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2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2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2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2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2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2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2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2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2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2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2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2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2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2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2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2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2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2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2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2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2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2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2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2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2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2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2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2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</sheetData>
  <mergeCells count="6">
    <mergeCell ref="W2:Y2"/>
    <mergeCell ref="A1:V1"/>
    <mergeCell ref="A2:G2"/>
    <mergeCell ref="H2:M2"/>
    <mergeCell ref="N2:R2"/>
    <mergeCell ref="S2:U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685D-E737-4CD4-AEBC-847016CCB434}">
  <dimension ref="A1:Z153"/>
  <sheetViews>
    <sheetView workbookViewId="0">
      <selection sqref="A1:V1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26" x14ac:dyDescent="0.25">
      <c r="A1" s="27" t="s">
        <v>35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6" ht="15.75" x14ac:dyDescent="0.25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5.75" x14ac:dyDescent="0.25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2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2.6342464843764901E-4</v>
      </c>
      <c r="I4" s="9">
        <f>'Proximal Validation (single)'!I3</f>
        <v>-3.2978262752294499E-2</v>
      </c>
      <c r="J4" s="9">
        <f>'Proximal Validation (single)'!J3</f>
        <v>5.6162860710173802E-4</v>
      </c>
      <c r="K4" s="9">
        <f>'Proximal Validation (single)'!K3</f>
        <v>0.185834720730782</v>
      </c>
      <c r="L4" s="9">
        <f>'Proximal Validation (single)'!L3</f>
        <v>1.13257020711899E-3</v>
      </c>
      <c r="M4" s="9">
        <f>'Proximal Validation (single)'!M3</f>
        <v>0.19288232922553999</v>
      </c>
      <c r="N4" s="9"/>
      <c r="O4" s="9"/>
      <c r="P4" s="9"/>
      <c r="Q4" s="9"/>
      <c r="R4" s="10"/>
      <c r="S4" s="8">
        <f>ABS(N4-A4)</f>
        <v>0.3</v>
      </c>
      <c r="T4" s="8">
        <f t="shared" ref="T4:V19" si="0">ABS(O4-B4)</f>
        <v>0.08</v>
      </c>
      <c r="U4" s="8">
        <f t="shared" si="0"/>
        <v>1.571</v>
      </c>
      <c r="V4" s="8">
        <f t="shared" si="0"/>
        <v>0.78500000000000003</v>
      </c>
      <c r="W4" s="9">
        <f>AVERAGE(S4:S10, S19:S25,S34:S40 )</f>
        <v>0.55714285714285716</v>
      </c>
      <c r="X4" s="9">
        <f t="shared" ref="X4:Z4" si="1">AVERAGE(T4:T78)</f>
        <v>0.13066666666666663</v>
      </c>
      <c r="Y4" s="9">
        <f t="shared" si="1"/>
        <v>2.6877999999999984</v>
      </c>
      <c r="Z4" s="9">
        <f t="shared" si="1"/>
        <v>1.2041999999999984</v>
      </c>
    </row>
    <row r="5" spans="1:26" x14ac:dyDescent="0.2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-4.3474312406033299E-4</v>
      </c>
      <c r="I5" s="9">
        <f>'Proximal Validation (single)'!I4</f>
        <v>-6.2425632029771798E-2</v>
      </c>
      <c r="J5" s="9">
        <f>'Proximal Validation (single)'!J4</f>
        <v>2.5845002382993698E-3</v>
      </c>
      <c r="K5" s="9">
        <f>'Proximal Validation (single)'!K4</f>
        <v>0.25303724408149703</v>
      </c>
      <c r="L5" s="9">
        <f>'Proximal Validation (single)'!L4</f>
        <v>1.07369087636471E-2</v>
      </c>
      <c r="M5" s="9">
        <f>'Proximal Validation (single)'!M4</f>
        <v>0.27653545141220098</v>
      </c>
      <c r="N5" s="9"/>
      <c r="O5" s="9"/>
      <c r="P5" s="9"/>
      <c r="Q5" s="9"/>
      <c r="R5" s="10"/>
      <c r="S5" s="8">
        <f t="shared" ref="S5:V68" si="2">ABS(N5-A5)</f>
        <v>0.4</v>
      </c>
      <c r="T5" s="8">
        <f t="shared" si="0"/>
        <v>0.14000000000000001</v>
      </c>
      <c r="U5" s="8">
        <f t="shared" si="0"/>
        <v>1.571</v>
      </c>
      <c r="V5" s="8">
        <f t="shared" si="0"/>
        <v>0.78500000000000003</v>
      </c>
      <c r="Y5">
        <f>DEGREES(Y4)</f>
        <v>153.99959617526258</v>
      </c>
      <c r="Z5">
        <f>DEGREES(Z4)</f>
        <v>68.995577689653643</v>
      </c>
    </row>
    <row r="6" spans="1:26" x14ac:dyDescent="0.2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5.3234044462442398E-3</v>
      </c>
      <c r="I6" s="9">
        <f>'Proximal Validation (single)'!I5</f>
        <v>-0.12275674194097499</v>
      </c>
      <c r="J6" s="9">
        <f>'Proximal Validation (single)'!J5</f>
        <v>-8.3989212289452605E-3</v>
      </c>
      <c r="K6" s="9">
        <f>'Proximal Validation (single)'!K5</f>
        <v>0.26806160807609603</v>
      </c>
      <c r="L6" s="9">
        <f>'Proximal Validation (single)'!L5</f>
        <v>-2.4467468261718799E-2</v>
      </c>
      <c r="M6" s="9">
        <f>'Proximal Validation (single)'!M5</f>
        <v>0.52633810043335005</v>
      </c>
      <c r="N6" s="9"/>
      <c r="O6" s="9"/>
      <c r="P6" s="9"/>
      <c r="Q6" s="9"/>
      <c r="R6" s="10"/>
      <c r="S6" s="8">
        <f t="shared" si="2"/>
        <v>0.6</v>
      </c>
      <c r="T6" s="8">
        <f t="shared" si="0"/>
        <v>0.16</v>
      </c>
      <c r="U6" s="8">
        <f t="shared" si="0"/>
        <v>1.571</v>
      </c>
      <c r="V6" s="8">
        <f t="shared" si="0"/>
        <v>0.78500000000000003</v>
      </c>
    </row>
    <row r="7" spans="1:26" x14ac:dyDescent="0.2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6.7002582363784302E-4</v>
      </c>
      <c r="I7" s="9">
        <f>'Proximal Validation (single)'!I6</f>
        <v>-6.6750191152095795E-2</v>
      </c>
      <c r="J7" s="9">
        <f>'Proximal Validation (single)'!J6</f>
        <v>1.6002767952158999E-3</v>
      </c>
      <c r="K7" s="9">
        <f>'Proximal Validation (single)'!K6</f>
        <v>-3.97013984620571E-2</v>
      </c>
      <c r="L7" s="9">
        <f>'Proximal Validation (single)'!L6</f>
        <v>7.3561742901802098E-3</v>
      </c>
      <c r="M7" s="9">
        <f>'Proximal Validation (single)'!M6</f>
        <v>0.423814177513123</v>
      </c>
      <c r="N7" s="9"/>
      <c r="O7" s="9"/>
      <c r="P7" s="9"/>
      <c r="Q7" s="9"/>
      <c r="R7" s="10"/>
      <c r="S7" s="8">
        <f t="shared" si="2"/>
        <v>0.4</v>
      </c>
      <c r="T7" s="8">
        <f t="shared" si="0"/>
        <v>0.06</v>
      </c>
      <c r="U7" s="8">
        <f t="shared" si="0"/>
        <v>1.571</v>
      </c>
      <c r="V7" s="8">
        <f t="shared" si="0"/>
        <v>1.571</v>
      </c>
    </row>
    <row r="8" spans="1:26" x14ac:dyDescent="0.2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7.4092089198529699E-4</v>
      </c>
      <c r="I8" s="9">
        <f>'Proximal Validation (single)'!I7</f>
        <v>-0.14775538444519001</v>
      </c>
      <c r="J8" s="9">
        <f>'Proximal Validation (single)'!J7</f>
        <v>3.4220633096993E-3</v>
      </c>
      <c r="K8" s="9">
        <f>'Proximal Validation (single)'!K7</f>
        <v>-0.161362335085869</v>
      </c>
      <c r="L8" s="9">
        <f>'Proximal Validation (single)'!L7</f>
        <v>2.0262047648429898E-2</v>
      </c>
      <c r="M8" s="9">
        <f>'Proximal Validation (single)'!M7</f>
        <v>0.82944488525390603</v>
      </c>
      <c r="N8" s="9"/>
      <c r="O8" s="9"/>
      <c r="P8" s="9"/>
      <c r="Q8" s="9"/>
      <c r="R8" s="10"/>
      <c r="S8" s="8">
        <f t="shared" si="2"/>
        <v>0.8</v>
      </c>
      <c r="T8" s="8">
        <f t="shared" si="0"/>
        <v>0.08</v>
      </c>
      <c r="U8" s="8">
        <f t="shared" si="0"/>
        <v>1.571</v>
      </c>
      <c r="V8" s="8">
        <f t="shared" si="0"/>
        <v>1.571</v>
      </c>
    </row>
    <row r="9" spans="1:26" x14ac:dyDescent="0.2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6.6551081836223602E-3</v>
      </c>
      <c r="I9" s="9">
        <f>'Proximal Validation (single)'!I8</f>
        <v>-0.148307904601097</v>
      </c>
      <c r="J9" s="9">
        <f>'Proximal Validation (single)'!J8</f>
        <v>-1.0527462000027299E-3</v>
      </c>
      <c r="K9" s="9">
        <f>'Proximal Validation (single)'!K8</f>
        <v>-0.444706320762634</v>
      </c>
      <c r="L9" s="9">
        <f>'Proximal Validation (single)'!L8</f>
        <v>-2.19946205615997E-2</v>
      </c>
      <c r="M9" s="9">
        <f>'Proximal Validation (single)'!M8</f>
        <v>0.489793181419373</v>
      </c>
      <c r="N9" s="9"/>
      <c r="O9" s="9"/>
      <c r="P9" s="9"/>
      <c r="Q9" s="9"/>
      <c r="R9" s="10"/>
      <c r="S9" s="8">
        <f t="shared" si="2"/>
        <v>0.7</v>
      </c>
      <c r="T9" s="8">
        <f t="shared" si="0"/>
        <v>0.16</v>
      </c>
      <c r="U9" s="8">
        <f t="shared" si="0"/>
        <v>1.571</v>
      </c>
      <c r="V9" s="8">
        <f t="shared" si="0"/>
        <v>1.571</v>
      </c>
    </row>
    <row r="10" spans="1:26" x14ac:dyDescent="0.2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8.7637116666883198E-4</v>
      </c>
      <c r="I10" s="9">
        <f>'Proximal Validation (single)'!I9</f>
        <v>-0.164488449692726</v>
      </c>
      <c r="J10" s="9">
        <f>'Proximal Validation (single)'!J9</f>
        <v>3.7763002328574701E-3</v>
      </c>
      <c r="K10" s="9">
        <f>'Proximal Validation (single)'!K9</f>
        <v>-0.58729076385498002</v>
      </c>
      <c r="L10" s="9">
        <f>'Proximal Validation (single)'!L9</f>
        <v>7.8071318566799199E-3</v>
      </c>
      <c r="M10" s="9">
        <f>'Proximal Validation (single)'!M9</f>
        <v>0.38755592703819303</v>
      </c>
      <c r="N10" s="9"/>
      <c r="O10" s="9"/>
      <c r="P10" s="9"/>
      <c r="Q10" s="9"/>
      <c r="R10" s="10"/>
      <c r="S10" s="8">
        <f t="shared" si="2"/>
        <v>0.7</v>
      </c>
      <c r="T10" s="8">
        <f t="shared" si="0"/>
        <v>0.2</v>
      </c>
      <c r="U10" s="8">
        <f t="shared" si="0"/>
        <v>1.571</v>
      </c>
      <c r="V10" s="8">
        <f t="shared" si="0"/>
        <v>1.571</v>
      </c>
    </row>
    <row r="11" spans="1:26" x14ac:dyDescent="0.2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-8.6323916912078901E-4</v>
      </c>
      <c r="I11" s="9">
        <f>'Proximal Validation (single)'!I10</f>
        <v>4.2902048677205998E-2</v>
      </c>
      <c r="J11" s="9">
        <f>'Proximal Validation (single)'!J10</f>
        <v>-8.0319754779338795E-2</v>
      </c>
      <c r="K11" s="9">
        <f>'Proximal Validation (single)'!K10</f>
        <v>0.61245459318161</v>
      </c>
      <c r="L11" s="9">
        <f>'Proximal Validation (single)'!L10</f>
        <v>-0.54026973247528098</v>
      </c>
      <c r="M11" s="9">
        <f>'Proximal Validation (single)'!M10</f>
        <v>-0.28817486763000499</v>
      </c>
      <c r="N11" s="9"/>
      <c r="O11" s="9"/>
      <c r="P11" s="9"/>
      <c r="Q11" s="9"/>
      <c r="R11" s="10"/>
      <c r="S11" s="8">
        <f t="shared" si="2"/>
        <v>0.7</v>
      </c>
      <c r="T11" s="8">
        <f t="shared" si="0"/>
        <v>0.06</v>
      </c>
      <c r="U11" s="8">
        <f t="shared" si="0"/>
        <v>3.665</v>
      </c>
      <c r="V11" s="8">
        <f t="shared" si="0"/>
        <v>0.78500000000000003</v>
      </c>
    </row>
    <row r="12" spans="1:26" x14ac:dyDescent="0.2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-8.0120982602238698E-4</v>
      </c>
      <c r="I12" s="9">
        <f>'Proximal Validation (single)'!I11</f>
        <v>4.2666438966989503E-2</v>
      </c>
      <c r="J12" s="9">
        <f>'Proximal Validation (single)'!J11</f>
        <v>-8.0293677747249603E-2</v>
      </c>
      <c r="K12" s="9">
        <f>'Proximal Validation (single)'!K11</f>
        <v>0.443310797214508</v>
      </c>
      <c r="L12" s="9">
        <f>'Proximal Validation (single)'!L11</f>
        <v>-0.42717015743255599</v>
      </c>
      <c r="M12" s="9">
        <f>'Proximal Validation (single)'!M11</f>
        <v>-0.22529536485672</v>
      </c>
      <c r="N12" s="9"/>
      <c r="O12" s="9"/>
      <c r="P12" s="9"/>
      <c r="Q12" s="9"/>
      <c r="R12" s="10"/>
      <c r="S12" s="8">
        <f t="shared" si="2"/>
        <v>0.6</v>
      </c>
      <c r="T12" s="8">
        <f t="shared" si="0"/>
        <v>0.1</v>
      </c>
      <c r="U12" s="8">
        <f t="shared" si="0"/>
        <v>3.665</v>
      </c>
      <c r="V12" s="8">
        <f t="shared" si="0"/>
        <v>0.78500000000000003</v>
      </c>
    </row>
    <row r="13" spans="1:26" x14ac:dyDescent="0.2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-5.5334065109491301E-5</v>
      </c>
      <c r="I13" s="9">
        <f>'Proximal Validation (single)'!I12</f>
        <v>7.7956624329090105E-2</v>
      </c>
      <c r="J13" s="9">
        <f>'Proximal Validation (single)'!J12</f>
        <v>-0.13737398386001601</v>
      </c>
      <c r="K13" s="9">
        <f>'Proximal Validation (single)'!K12</f>
        <v>0.41918036341667197</v>
      </c>
      <c r="L13" s="9">
        <f>'Proximal Validation (single)'!L12</f>
        <v>-0.55125319957733199</v>
      </c>
      <c r="M13" s="9">
        <f>'Proximal Validation (single)'!M12</f>
        <v>-0.30630308389663702</v>
      </c>
      <c r="N13" s="9"/>
      <c r="O13" s="9"/>
      <c r="P13" s="9"/>
      <c r="Q13" s="9"/>
      <c r="R13" s="10"/>
      <c r="S13" s="8">
        <f t="shared" si="2"/>
        <v>0.8</v>
      </c>
      <c r="T13" s="8">
        <f t="shared" si="0"/>
        <v>0.18</v>
      </c>
      <c r="U13" s="8">
        <f t="shared" si="0"/>
        <v>3.665</v>
      </c>
      <c r="V13" s="8">
        <f t="shared" si="0"/>
        <v>0.78500000000000003</v>
      </c>
    </row>
    <row r="14" spans="1:26" x14ac:dyDescent="0.2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-9.6024014055728899E-5</v>
      </c>
      <c r="I14" s="9">
        <f>'Proximal Validation (single)'!I13</f>
        <v>3.4424368292093298E-2</v>
      </c>
      <c r="J14" s="9">
        <f>'Proximal Validation (single)'!J13</f>
        <v>-6.16564750671387E-2</v>
      </c>
      <c r="K14" s="9">
        <f>'Proximal Validation (single)'!K13</f>
        <v>0.267098218202591</v>
      </c>
      <c r="L14" s="9">
        <f>'Proximal Validation (single)'!L13</f>
        <v>-0.21448078751564001</v>
      </c>
      <c r="M14" s="9">
        <f>'Proximal Validation (single)'!M13</f>
        <v>-0.115060687065125</v>
      </c>
      <c r="N14" s="9"/>
      <c r="O14" s="9"/>
      <c r="P14" s="9"/>
      <c r="Q14" s="9"/>
      <c r="R14" s="10"/>
      <c r="S14" s="8">
        <f t="shared" si="2"/>
        <v>0.4</v>
      </c>
      <c r="T14" s="8">
        <f t="shared" si="0"/>
        <v>0.2</v>
      </c>
      <c r="U14" s="8">
        <f t="shared" si="0"/>
        <v>3.665</v>
      </c>
      <c r="V14" s="8">
        <f t="shared" si="0"/>
        <v>0.78500000000000003</v>
      </c>
    </row>
    <row r="15" spans="1:26" x14ac:dyDescent="0.2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-3.7108035758137698E-4</v>
      </c>
      <c r="I15" s="9">
        <f>'Proximal Validation (single)'!I14</f>
        <v>3.7644270807504703E-2</v>
      </c>
      <c r="J15" s="9">
        <f>'Proximal Validation (single)'!J14</f>
        <v>-6.73996657133102E-2</v>
      </c>
      <c r="K15" s="9">
        <f>'Proximal Validation (single)'!K14</f>
        <v>1.67829748243093E-2</v>
      </c>
      <c r="L15" s="9">
        <f>'Proximal Validation (single)'!L14</f>
        <v>-0.33880779147148099</v>
      </c>
      <c r="M15" s="9">
        <f>'Proximal Validation (single)'!M14</f>
        <v>-0.185297966003418</v>
      </c>
      <c r="N15" s="9"/>
      <c r="O15" s="9"/>
      <c r="P15" s="9"/>
      <c r="Q15" s="9"/>
      <c r="R15" s="10"/>
      <c r="S15" s="8">
        <f t="shared" si="2"/>
        <v>0.4</v>
      </c>
      <c r="T15" s="8">
        <f t="shared" si="0"/>
        <v>0.1</v>
      </c>
      <c r="U15" s="8">
        <f t="shared" si="0"/>
        <v>3.665</v>
      </c>
      <c r="V15" s="8">
        <f t="shared" si="0"/>
        <v>1.571</v>
      </c>
    </row>
    <row r="16" spans="1:26" x14ac:dyDescent="0.2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-1.02429185062647E-3</v>
      </c>
      <c r="I16" s="9">
        <f>'Proximal Validation (single)'!I15</f>
        <v>7.0613205432891804E-2</v>
      </c>
      <c r="J16" s="9">
        <f>'Proximal Validation (single)'!J15</f>
        <v>-0.12678831815719599</v>
      </c>
      <c r="K16" s="9">
        <f>'Proximal Validation (single)'!K15</f>
        <v>-2.9671346768736801E-2</v>
      </c>
      <c r="L16" s="9">
        <f>'Proximal Validation (single)'!L15</f>
        <v>-0.63574087619781505</v>
      </c>
      <c r="M16" s="9">
        <f>'Proximal Validation (single)'!M15</f>
        <v>-0.34651768207549999</v>
      </c>
      <c r="N16" s="9"/>
      <c r="O16" s="9"/>
      <c r="P16" s="9"/>
      <c r="Q16" s="9"/>
      <c r="R16" s="10"/>
      <c r="S16" s="8">
        <f t="shared" si="2"/>
        <v>0.7</v>
      </c>
      <c r="T16" s="8">
        <f t="shared" si="0"/>
        <v>0.1</v>
      </c>
      <c r="U16" s="8">
        <f t="shared" si="0"/>
        <v>3.665</v>
      </c>
      <c r="V16" s="8">
        <f t="shared" si="0"/>
        <v>1.571</v>
      </c>
    </row>
    <row r="17" spans="1:22" x14ac:dyDescent="0.2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-6.0879066586494402E-4</v>
      </c>
      <c r="I17" s="9">
        <f>'Proximal Validation (single)'!I16</f>
        <v>4.7145899385213901E-2</v>
      </c>
      <c r="J17" s="9">
        <f>'Proximal Validation (single)'!J16</f>
        <v>-8.5028916597366305E-2</v>
      </c>
      <c r="K17" s="9">
        <f>'Proximal Validation (single)'!K16</f>
        <v>-7.4065491557121305E-2</v>
      </c>
      <c r="L17" s="9">
        <f>'Proximal Validation (single)'!L16</f>
        <v>-0.31546109914779702</v>
      </c>
      <c r="M17" s="9">
        <f>'Proximal Validation (single)'!M16</f>
        <v>-0.17043319344520599</v>
      </c>
      <c r="N17" s="9"/>
      <c r="O17" s="9"/>
      <c r="P17" s="9"/>
      <c r="Q17" s="9"/>
      <c r="R17" s="10"/>
      <c r="S17" s="8">
        <f t="shared" si="2"/>
        <v>0.4</v>
      </c>
      <c r="T17" s="8">
        <f t="shared" si="0"/>
        <v>0.16</v>
      </c>
      <c r="U17" s="8">
        <f t="shared" si="0"/>
        <v>3.665</v>
      </c>
      <c r="V17" s="8">
        <f t="shared" si="0"/>
        <v>1.571</v>
      </c>
    </row>
    <row r="18" spans="1:22" x14ac:dyDescent="0.2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3.8368394598364803E-5</v>
      </c>
      <c r="I18" s="9">
        <f>'Proximal Validation (single)'!I17</f>
        <v>3.2897148281335803E-2</v>
      </c>
      <c r="J18" s="9">
        <f>'Proximal Validation (single)'!J17</f>
        <v>-5.8571800589561497E-2</v>
      </c>
      <c r="K18" s="9">
        <f>'Proximal Validation (single)'!K17</f>
        <v>-6.3505612313747406E-2</v>
      </c>
      <c r="L18" s="9">
        <f>'Proximal Validation (single)'!L17</f>
        <v>-0.19738522171974199</v>
      </c>
      <c r="M18" s="9">
        <f>'Proximal Validation (single)'!M17</f>
        <v>-0.108248926699162</v>
      </c>
      <c r="N18" s="9"/>
      <c r="O18" s="9"/>
      <c r="P18" s="9"/>
      <c r="Q18" s="9"/>
      <c r="R18" s="10"/>
      <c r="S18" s="8">
        <f t="shared" si="2"/>
        <v>0.3</v>
      </c>
      <c r="T18" s="8">
        <f t="shared" si="0"/>
        <v>0.18</v>
      </c>
      <c r="U18" s="8">
        <f t="shared" si="0"/>
        <v>3.665</v>
      </c>
      <c r="V18" s="8">
        <f t="shared" si="0"/>
        <v>1.571</v>
      </c>
    </row>
    <row r="19" spans="1:22" x14ac:dyDescent="0.2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/>
      <c r="O19" s="9"/>
      <c r="P19" s="9"/>
      <c r="Q19" s="9"/>
      <c r="R19" s="10"/>
      <c r="S19" s="8">
        <f t="shared" si="2"/>
        <v>0.3</v>
      </c>
      <c r="T19" s="8">
        <f t="shared" si="0"/>
        <v>0.08</v>
      </c>
      <c r="U19" s="8">
        <f t="shared" si="0"/>
        <v>1.571</v>
      </c>
      <c r="V19" s="8">
        <f t="shared" si="0"/>
        <v>0.78500000000000003</v>
      </c>
    </row>
    <row r="20" spans="1:22" x14ac:dyDescent="0.2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/>
      <c r="O20" s="9"/>
      <c r="P20" s="9"/>
      <c r="Q20" s="9"/>
      <c r="R20" s="10"/>
      <c r="S20" s="8">
        <f t="shared" si="2"/>
        <v>0.4</v>
      </c>
      <c r="T20" s="8">
        <f t="shared" si="2"/>
        <v>0.14000000000000001</v>
      </c>
      <c r="U20" s="8">
        <f t="shared" si="2"/>
        <v>1.571</v>
      </c>
      <c r="V20" s="8">
        <f t="shared" si="2"/>
        <v>0.78500000000000003</v>
      </c>
    </row>
    <row r="21" spans="1:22" x14ac:dyDescent="0.2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/>
      <c r="O21" s="9"/>
      <c r="P21" s="9"/>
      <c r="Q21" s="9"/>
      <c r="R21" s="10"/>
      <c r="S21" s="8">
        <f t="shared" si="2"/>
        <v>0.6</v>
      </c>
      <c r="T21" s="8">
        <f t="shared" si="2"/>
        <v>0.16</v>
      </c>
      <c r="U21" s="8">
        <f t="shared" si="2"/>
        <v>1.571</v>
      </c>
      <c r="V21" s="8">
        <f t="shared" si="2"/>
        <v>0.78500000000000003</v>
      </c>
    </row>
    <row r="22" spans="1:22" x14ac:dyDescent="0.2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/>
      <c r="O22" s="9"/>
      <c r="P22" s="9"/>
      <c r="Q22" s="9"/>
      <c r="R22" s="10"/>
      <c r="S22" s="8">
        <f t="shared" si="2"/>
        <v>0.4</v>
      </c>
      <c r="T22" s="8">
        <f t="shared" si="2"/>
        <v>0.06</v>
      </c>
      <c r="U22" s="8">
        <f t="shared" si="2"/>
        <v>1.571</v>
      </c>
      <c r="V22" s="8">
        <f t="shared" si="2"/>
        <v>1.571</v>
      </c>
    </row>
    <row r="23" spans="1:22" x14ac:dyDescent="0.2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/>
      <c r="O23" s="9"/>
      <c r="P23" s="9"/>
      <c r="Q23" s="9"/>
      <c r="R23" s="10"/>
      <c r="S23" s="8">
        <f t="shared" si="2"/>
        <v>0.8</v>
      </c>
      <c r="T23" s="8">
        <f t="shared" si="2"/>
        <v>0.08</v>
      </c>
      <c r="U23" s="8">
        <f t="shared" si="2"/>
        <v>1.571</v>
      </c>
      <c r="V23" s="8">
        <f t="shared" si="2"/>
        <v>1.571</v>
      </c>
    </row>
    <row r="24" spans="1:22" x14ac:dyDescent="0.2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/>
      <c r="O24" s="9"/>
      <c r="P24" s="9"/>
      <c r="Q24" s="9"/>
      <c r="R24" s="10"/>
      <c r="S24" s="8">
        <f t="shared" si="2"/>
        <v>0.7</v>
      </c>
      <c r="T24" s="8">
        <f t="shared" si="2"/>
        <v>0.16</v>
      </c>
      <c r="U24" s="8">
        <f t="shared" si="2"/>
        <v>1.571</v>
      </c>
      <c r="V24" s="8">
        <f t="shared" si="2"/>
        <v>1.571</v>
      </c>
    </row>
    <row r="25" spans="1:22" x14ac:dyDescent="0.2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/>
      <c r="O25" s="9"/>
      <c r="P25" s="9"/>
      <c r="Q25" s="9"/>
      <c r="R25" s="10"/>
      <c r="S25" s="8">
        <f t="shared" si="2"/>
        <v>0.7</v>
      </c>
      <c r="T25" s="8">
        <f t="shared" si="2"/>
        <v>0.2</v>
      </c>
      <c r="U25" s="8">
        <f t="shared" si="2"/>
        <v>1.571</v>
      </c>
      <c r="V25" s="8">
        <f t="shared" si="2"/>
        <v>1.571</v>
      </c>
    </row>
    <row r="26" spans="1:22" x14ac:dyDescent="0.2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/>
      <c r="O26" s="9"/>
      <c r="P26" s="9"/>
      <c r="Q26" s="9"/>
      <c r="R26" s="10"/>
      <c r="S26" s="8">
        <f t="shared" si="2"/>
        <v>0.7</v>
      </c>
      <c r="T26" s="8">
        <f t="shared" si="2"/>
        <v>0.06</v>
      </c>
      <c r="U26" s="8">
        <f t="shared" si="2"/>
        <v>3.665</v>
      </c>
      <c r="V26" s="8">
        <f t="shared" si="2"/>
        <v>0.78500000000000003</v>
      </c>
    </row>
    <row r="27" spans="1:22" x14ac:dyDescent="0.2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/>
      <c r="O27" s="9"/>
      <c r="P27" s="9"/>
      <c r="Q27" s="9"/>
      <c r="R27" s="10"/>
      <c r="S27" s="8">
        <f t="shared" si="2"/>
        <v>0.6</v>
      </c>
      <c r="T27" s="8">
        <f t="shared" si="2"/>
        <v>0.1</v>
      </c>
      <c r="U27" s="8">
        <f t="shared" si="2"/>
        <v>3.665</v>
      </c>
      <c r="V27" s="8">
        <f t="shared" si="2"/>
        <v>0.78500000000000003</v>
      </c>
    </row>
    <row r="28" spans="1:22" x14ac:dyDescent="0.2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/>
      <c r="O28" s="9"/>
      <c r="P28" s="9"/>
      <c r="Q28" s="9"/>
      <c r="R28" s="10"/>
      <c r="S28" s="8">
        <f t="shared" si="2"/>
        <v>0.8</v>
      </c>
      <c r="T28" s="8">
        <f t="shared" si="2"/>
        <v>0.18</v>
      </c>
      <c r="U28" s="8">
        <f t="shared" si="2"/>
        <v>3.665</v>
      </c>
      <c r="V28" s="8">
        <f t="shared" si="2"/>
        <v>0.78500000000000003</v>
      </c>
    </row>
    <row r="29" spans="1:22" x14ac:dyDescent="0.2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/>
      <c r="O29" s="9"/>
      <c r="P29" s="9"/>
      <c r="Q29" s="9"/>
      <c r="R29" s="10"/>
      <c r="S29" s="8">
        <f t="shared" si="2"/>
        <v>0.4</v>
      </c>
      <c r="T29" s="8">
        <f t="shared" si="2"/>
        <v>0.2</v>
      </c>
      <c r="U29" s="8">
        <f t="shared" si="2"/>
        <v>3.665</v>
      </c>
      <c r="V29" s="8">
        <f t="shared" si="2"/>
        <v>0.78500000000000003</v>
      </c>
    </row>
    <row r="30" spans="1:22" x14ac:dyDescent="0.2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/>
      <c r="O30" s="9"/>
      <c r="P30" s="9"/>
      <c r="Q30" s="9"/>
      <c r="R30" s="10"/>
      <c r="S30" s="8">
        <f t="shared" si="2"/>
        <v>0.4</v>
      </c>
      <c r="T30" s="8">
        <f t="shared" si="2"/>
        <v>0.1</v>
      </c>
      <c r="U30" s="8">
        <f t="shared" si="2"/>
        <v>3.665</v>
      </c>
      <c r="V30" s="8">
        <f t="shared" si="2"/>
        <v>1.571</v>
      </c>
    </row>
    <row r="31" spans="1:22" x14ac:dyDescent="0.2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/>
      <c r="O31" s="9"/>
      <c r="P31" s="9"/>
      <c r="Q31" s="9"/>
      <c r="R31" s="10"/>
      <c r="S31" s="8">
        <f t="shared" si="2"/>
        <v>0.7</v>
      </c>
      <c r="T31" s="8">
        <f t="shared" si="2"/>
        <v>0.1</v>
      </c>
      <c r="U31" s="8">
        <f t="shared" si="2"/>
        <v>3.665</v>
      </c>
      <c r="V31" s="8">
        <f t="shared" si="2"/>
        <v>1.571</v>
      </c>
    </row>
    <row r="32" spans="1:22" x14ac:dyDescent="0.2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/>
      <c r="O32" s="9"/>
      <c r="P32" s="9"/>
      <c r="Q32" s="9"/>
      <c r="R32" s="10"/>
      <c r="S32" s="8">
        <f t="shared" si="2"/>
        <v>0.4</v>
      </c>
      <c r="T32" s="8">
        <f t="shared" si="2"/>
        <v>0.16</v>
      </c>
      <c r="U32" s="8">
        <f t="shared" si="2"/>
        <v>3.665</v>
      </c>
      <c r="V32" s="8">
        <f t="shared" si="2"/>
        <v>1.571</v>
      </c>
    </row>
    <row r="33" spans="1:22" x14ac:dyDescent="0.2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/>
      <c r="O33" s="9"/>
      <c r="P33" s="9"/>
      <c r="Q33" s="9"/>
      <c r="R33" s="10"/>
      <c r="S33" s="8">
        <f t="shared" si="2"/>
        <v>0.3</v>
      </c>
      <c r="T33" s="8">
        <f t="shared" si="2"/>
        <v>0.18</v>
      </c>
      <c r="U33" s="8">
        <f t="shared" si="2"/>
        <v>3.665</v>
      </c>
      <c r="V33" s="8">
        <f t="shared" si="2"/>
        <v>1.571</v>
      </c>
    </row>
    <row r="34" spans="1:22" x14ac:dyDescent="0.2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/>
      <c r="O34" s="9"/>
      <c r="P34" s="9"/>
      <c r="Q34" s="9"/>
      <c r="R34" s="10"/>
      <c r="S34" s="8">
        <f t="shared" si="2"/>
        <v>0.3</v>
      </c>
      <c r="T34" s="8">
        <f t="shared" si="2"/>
        <v>0.08</v>
      </c>
      <c r="U34" s="8">
        <f t="shared" si="2"/>
        <v>1.571</v>
      </c>
      <c r="V34" s="8">
        <f t="shared" si="2"/>
        <v>0.78500000000000003</v>
      </c>
    </row>
    <row r="35" spans="1:22" x14ac:dyDescent="0.2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/>
      <c r="O35" s="9"/>
      <c r="P35" s="9"/>
      <c r="Q35" s="9"/>
      <c r="R35" s="10"/>
      <c r="S35" s="8">
        <f t="shared" si="2"/>
        <v>0.4</v>
      </c>
      <c r="T35" s="8">
        <f t="shared" si="2"/>
        <v>0.14000000000000001</v>
      </c>
      <c r="U35" s="8">
        <f t="shared" si="2"/>
        <v>1.571</v>
      </c>
      <c r="V35" s="8">
        <f t="shared" si="2"/>
        <v>0.78500000000000003</v>
      </c>
    </row>
    <row r="36" spans="1:22" x14ac:dyDescent="0.2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/>
      <c r="O36" s="9"/>
      <c r="P36" s="9"/>
      <c r="Q36" s="9"/>
      <c r="R36" s="10"/>
      <c r="S36" s="8">
        <f t="shared" si="2"/>
        <v>0.6</v>
      </c>
      <c r="T36" s="8">
        <f t="shared" si="2"/>
        <v>0.16</v>
      </c>
      <c r="U36" s="8">
        <f t="shared" si="2"/>
        <v>1.571</v>
      </c>
      <c r="V36" s="8">
        <f t="shared" si="2"/>
        <v>0.78500000000000003</v>
      </c>
    </row>
    <row r="37" spans="1:22" x14ac:dyDescent="0.2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/>
      <c r="O37" s="9"/>
      <c r="P37" s="9"/>
      <c r="Q37" s="9"/>
      <c r="R37" s="10"/>
      <c r="S37" s="8">
        <f t="shared" si="2"/>
        <v>0.4</v>
      </c>
      <c r="T37" s="8">
        <f t="shared" si="2"/>
        <v>0.06</v>
      </c>
      <c r="U37" s="8">
        <f t="shared" si="2"/>
        <v>1.571</v>
      </c>
      <c r="V37" s="8">
        <f t="shared" si="2"/>
        <v>1.571</v>
      </c>
    </row>
    <row r="38" spans="1:22" x14ac:dyDescent="0.2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/>
      <c r="O38" s="9"/>
      <c r="P38" s="9"/>
      <c r="Q38" s="9"/>
      <c r="R38" s="10"/>
      <c r="S38" s="8">
        <f t="shared" si="2"/>
        <v>0.8</v>
      </c>
      <c r="T38" s="8">
        <f t="shared" si="2"/>
        <v>0.08</v>
      </c>
      <c r="U38" s="8">
        <f t="shared" si="2"/>
        <v>1.571</v>
      </c>
      <c r="V38" s="8">
        <f t="shared" si="2"/>
        <v>1.571</v>
      </c>
    </row>
    <row r="39" spans="1:22" x14ac:dyDescent="0.2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/>
      <c r="O39" s="9"/>
      <c r="P39" s="9"/>
      <c r="Q39" s="9"/>
      <c r="R39" s="10"/>
      <c r="S39" s="8">
        <f t="shared" si="2"/>
        <v>0.7</v>
      </c>
      <c r="T39" s="8">
        <f t="shared" si="2"/>
        <v>0.16</v>
      </c>
      <c r="U39" s="8">
        <f t="shared" si="2"/>
        <v>1.571</v>
      </c>
      <c r="V39" s="8">
        <f t="shared" si="2"/>
        <v>1.571</v>
      </c>
    </row>
    <row r="40" spans="1:22" x14ac:dyDescent="0.2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/>
      <c r="O40" s="9"/>
      <c r="P40" s="9"/>
      <c r="Q40" s="9"/>
      <c r="R40" s="10"/>
      <c r="S40" s="8">
        <f t="shared" si="2"/>
        <v>0.7</v>
      </c>
      <c r="T40" s="8">
        <f t="shared" si="2"/>
        <v>0.2</v>
      </c>
      <c r="U40" s="8">
        <f t="shared" si="2"/>
        <v>1.571</v>
      </c>
      <c r="V40" s="8">
        <f t="shared" si="2"/>
        <v>1.571</v>
      </c>
    </row>
    <row r="41" spans="1:22" x14ac:dyDescent="0.2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/>
      <c r="O41" s="9"/>
      <c r="P41" s="9"/>
      <c r="Q41" s="9"/>
      <c r="R41" s="10"/>
      <c r="S41" s="8">
        <f t="shared" si="2"/>
        <v>0.7</v>
      </c>
      <c r="T41" s="8">
        <f t="shared" si="2"/>
        <v>0.06</v>
      </c>
      <c r="U41" s="8">
        <f t="shared" si="2"/>
        <v>3.665</v>
      </c>
      <c r="V41" s="8">
        <f t="shared" si="2"/>
        <v>0.78500000000000003</v>
      </c>
    </row>
    <row r="42" spans="1:22" x14ac:dyDescent="0.2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/>
      <c r="O42" s="9"/>
      <c r="P42" s="9"/>
      <c r="Q42" s="9"/>
      <c r="R42" s="10"/>
      <c r="S42" s="8">
        <f t="shared" si="2"/>
        <v>0.6</v>
      </c>
      <c r="T42" s="8">
        <f t="shared" si="2"/>
        <v>0.1</v>
      </c>
      <c r="U42" s="8">
        <f t="shared" si="2"/>
        <v>3.665</v>
      </c>
      <c r="V42" s="8">
        <f t="shared" si="2"/>
        <v>0.78500000000000003</v>
      </c>
    </row>
    <row r="43" spans="1:22" x14ac:dyDescent="0.2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/>
      <c r="O43" s="9"/>
      <c r="P43" s="9"/>
      <c r="Q43" s="9"/>
      <c r="R43" s="10"/>
      <c r="S43" s="8">
        <f t="shared" si="2"/>
        <v>0.8</v>
      </c>
      <c r="T43" s="8">
        <f t="shared" si="2"/>
        <v>0.18</v>
      </c>
      <c r="U43" s="8">
        <f t="shared" si="2"/>
        <v>3.665</v>
      </c>
      <c r="V43" s="8">
        <f t="shared" si="2"/>
        <v>0.78500000000000003</v>
      </c>
    </row>
    <row r="44" spans="1:22" x14ac:dyDescent="0.2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/>
      <c r="O44" s="9"/>
      <c r="P44" s="9"/>
      <c r="Q44" s="9"/>
      <c r="R44" s="10"/>
      <c r="S44" s="8">
        <f t="shared" si="2"/>
        <v>0.4</v>
      </c>
      <c r="T44" s="8">
        <f t="shared" si="2"/>
        <v>0.2</v>
      </c>
      <c r="U44" s="8">
        <f t="shared" si="2"/>
        <v>3.665</v>
      </c>
      <c r="V44" s="8">
        <f t="shared" si="2"/>
        <v>0.78500000000000003</v>
      </c>
    </row>
    <row r="45" spans="1:22" x14ac:dyDescent="0.2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/>
      <c r="O45" s="9"/>
      <c r="P45" s="9"/>
      <c r="Q45" s="9"/>
      <c r="R45" s="10"/>
      <c r="S45" s="8">
        <f t="shared" si="2"/>
        <v>0.4</v>
      </c>
      <c r="T45" s="8">
        <f t="shared" si="2"/>
        <v>0.1</v>
      </c>
      <c r="U45" s="8">
        <f t="shared" si="2"/>
        <v>3.665</v>
      </c>
      <c r="V45" s="8">
        <f t="shared" si="2"/>
        <v>1.571</v>
      </c>
    </row>
    <row r="46" spans="1:22" x14ac:dyDescent="0.2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/>
      <c r="O46" s="9"/>
      <c r="P46" s="9"/>
      <c r="Q46" s="9"/>
      <c r="R46" s="10"/>
      <c r="S46" s="8">
        <f t="shared" si="2"/>
        <v>0.7</v>
      </c>
      <c r="T46" s="8">
        <f t="shared" si="2"/>
        <v>0.1</v>
      </c>
      <c r="U46" s="8">
        <f t="shared" si="2"/>
        <v>3.665</v>
      </c>
      <c r="V46" s="8">
        <f t="shared" si="2"/>
        <v>1.571</v>
      </c>
    </row>
    <row r="47" spans="1:22" x14ac:dyDescent="0.2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/>
      <c r="O47" s="9"/>
      <c r="P47" s="9"/>
      <c r="Q47" s="9"/>
      <c r="R47" s="10"/>
      <c r="S47" s="8">
        <f t="shared" si="2"/>
        <v>0.4</v>
      </c>
      <c r="T47" s="8">
        <f t="shared" si="2"/>
        <v>0.16</v>
      </c>
      <c r="U47" s="8">
        <f t="shared" si="2"/>
        <v>3.665</v>
      </c>
      <c r="V47" s="8">
        <f t="shared" si="2"/>
        <v>1.571</v>
      </c>
    </row>
    <row r="48" spans="1:22" x14ac:dyDescent="0.2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/>
      <c r="O48" s="9"/>
      <c r="P48" s="9"/>
      <c r="Q48" s="9"/>
      <c r="R48" s="10"/>
      <c r="S48" s="8">
        <f t="shared" si="2"/>
        <v>0.3</v>
      </c>
      <c r="T48" s="8">
        <f t="shared" si="2"/>
        <v>0.18</v>
      </c>
      <c r="U48" s="8">
        <f t="shared" si="2"/>
        <v>3.665</v>
      </c>
      <c r="V48" s="8">
        <f t="shared" si="2"/>
        <v>1.571</v>
      </c>
    </row>
    <row r="49" spans="1:22" x14ac:dyDescent="0.2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/>
      <c r="O49" s="9"/>
      <c r="P49" s="9"/>
      <c r="Q49" s="9"/>
      <c r="R49" s="10"/>
      <c r="S49" s="8">
        <f t="shared" si="2"/>
        <v>0.3</v>
      </c>
      <c r="T49" s="8">
        <f t="shared" si="2"/>
        <v>0.08</v>
      </c>
      <c r="U49" s="8">
        <f t="shared" si="2"/>
        <v>1.571</v>
      </c>
      <c r="V49" s="8">
        <f t="shared" si="2"/>
        <v>0.78500000000000003</v>
      </c>
    </row>
    <row r="50" spans="1:22" x14ac:dyDescent="0.2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/>
      <c r="O50" s="9"/>
      <c r="P50" s="9"/>
      <c r="Q50" s="9"/>
      <c r="R50" s="10"/>
      <c r="S50" s="8">
        <f t="shared" si="2"/>
        <v>0.4</v>
      </c>
      <c r="T50" s="8">
        <f t="shared" si="2"/>
        <v>0.14000000000000001</v>
      </c>
      <c r="U50" s="8">
        <f t="shared" si="2"/>
        <v>1.571</v>
      </c>
      <c r="V50" s="8">
        <f t="shared" si="2"/>
        <v>0.78500000000000003</v>
      </c>
    </row>
    <row r="51" spans="1:22" x14ac:dyDescent="0.2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/>
      <c r="O51" s="9"/>
      <c r="P51" s="9"/>
      <c r="Q51" s="9"/>
      <c r="R51" s="10"/>
      <c r="S51" s="8">
        <f t="shared" si="2"/>
        <v>0.6</v>
      </c>
      <c r="T51" s="8">
        <f t="shared" si="2"/>
        <v>0.16</v>
      </c>
      <c r="U51" s="8">
        <f t="shared" si="2"/>
        <v>1.571</v>
      </c>
      <c r="V51" s="8">
        <f t="shared" si="2"/>
        <v>0.78500000000000003</v>
      </c>
    </row>
    <row r="52" spans="1:22" x14ac:dyDescent="0.2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/>
      <c r="O52" s="9"/>
      <c r="P52" s="9"/>
      <c r="Q52" s="9"/>
      <c r="R52" s="10"/>
      <c r="S52" s="8">
        <f t="shared" si="2"/>
        <v>0.4</v>
      </c>
      <c r="T52" s="8">
        <f t="shared" si="2"/>
        <v>0.06</v>
      </c>
      <c r="U52" s="8">
        <f t="shared" si="2"/>
        <v>1.571</v>
      </c>
      <c r="V52" s="8">
        <f t="shared" si="2"/>
        <v>1.571</v>
      </c>
    </row>
    <row r="53" spans="1:22" x14ac:dyDescent="0.2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/>
      <c r="O53" s="9"/>
      <c r="P53" s="9"/>
      <c r="Q53" s="9"/>
      <c r="R53" s="10"/>
      <c r="S53" s="8">
        <f t="shared" si="2"/>
        <v>0.8</v>
      </c>
      <c r="T53" s="8">
        <f t="shared" si="2"/>
        <v>0.08</v>
      </c>
      <c r="U53" s="8">
        <f t="shared" si="2"/>
        <v>1.571</v>
      </c>
      <c r="V53" s="8">
        <f t="shared" si="2"/>
        <v>1.571</v>
      </c>
    </row>
    <row r="54" spans="1:22" x14ac:dyDescent="0.2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/>
      <c r="O54" s="9"/>
      <c r="P54" s="9"/>
      <c r="Q54" s="9"/>
      <c r="R54" s="10"/>
      <c r="S54" s="8">
        <f t="shared" si="2"/>
        <v>0.7</v>
      </c>
      <c r="T54" s="8">
        <f t="shared" si="2"/>
        <v>0.16</v>
      </c>
      <c r="U54" s="8">
        <f t="shared" si="2"/>
        <v>1.571</v>
      </c>
      <c r="V54" s="8">
        <f t="shared" si="2"/>
        <v>1.571</v>
      </c>
    </row>
    <row r="55" spans="1:22" x14ac:dyDescent="0.2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/>
      <c r="O55" s="9"/>
      <c r="P55" s="9"/>
      <c r="Q55" s="9"/>
      <c r="R55" s="10"/>
      <c r="S55" s="8">
        <f t="shared" si="2"/>
        <v>0.7</v>
      </c>
      <c r="T55" s="8">
        <f t="shared" si="2"/>
        <v>0.2</v>
      </c>
      <c r="U55" s="8">
        <f t="shared" si="2"/>
        <v>1.571</v>
      </c>
      <c r="V55" s="8">
        <f t="shared" si="2"/>
        <v>1.571</v>
      </c>
    </row>
    <row r="56" spans="1:22" x14ac:dyDescent="0.2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/>
      <c r="O56" s="9"/>
      <c r="P56" s="9"/>
      <c r="Q56" s="9"/>
      <c r="R56" s="10"/>
      <c r="S56" s="8">
        <f t="shared" si="2"/>
        <v>0.7</v>
      </c>
      <c r="T56" s="8">
        <f t="shared" si="2"/>
        <v>0.06</v>
      </c>
      <c r="U56" s="8">
        <f t="shared" si="2"/>
        <v>3.665</v>
      </c>
      <c r="V56" s="8">
        <f t="shared" si="2"/>
        <v>0.78500000000000003</v>
      </c>
    </row>
    <row r="57" spans="1:22" x14ac:dyDescent="0.2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/>
      <c r="O57" s="9"/>
      <c r="P57" s="9"/>
      <c r="Q57" s="9"/>
      <c r="R57" s="10"/>
      <c r="S57" s="8">
        <f t="shared" si="2"/>
        <v>0.6</v>
      </c>
      <c r="T57" s="8">
        <f t="shared" si="2"/>
        <v>0.1</v>
      </c>
      <c r="U57" s="8">
        <f t="shared" si="2"/>
        <v>3.665</v>
      </c>
      <c r="V57" s="8">
        <f t="shared" si="2"/>
        <v>0.78500000000000003</v>
      </c>
    </row>
    <row r="58" spans="1:22" x14ac:dyDescent="0.2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/>
      <c r="O58" s="9"/>
      <c r="P58" s="9"/>
      <c r="Q58" s="9"/>
      <c r="R58" s="10"/>
      <c r="S58" s="8">
        <f t="shared" si="2"/>
        <v>0.8</v>
      </c>
      <c r="T58" s="8">
        <f t="shared" si="2"/>
        <v>0.18</v>
      </c>
      <c r="U58" s="8">
        <f t="shared" si="2"/>
        <v>3.665</v>
      </c>
      <c r="V58" s="8">
        <f t="shared" si="2"/>
        <v>0.78500000000000003</v>
      </c>
    </row>
    <row r="59" spans="1:22" x14ac:dyDescent="0.2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/>
      <c r="O59" s="9"/>
      <c r="P59" s="9"/>
      <c r="Q59" s="9"/>
      <c r="R59" s="10"/>
      <c r="S59" s="8">
        <f t="shared" si="2"/>
        <v>0.4</v>
      </c>
      <c r="T59" s="8">
        <f t="shared" si="2"/>
        <v>0.2</v>
      </c>
      <c r="U59" s="8">
        <f t="shared" si="2"/>
        <v>3.665</v>
      </c>
      <c r="V59" s="8">
        <f t="shared" si="2"/>
        <v>0.78500000000000003</v>
      </c>
    </row>
    <row r="60" spans="1:22" x14ac:dyDescent="0.2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/>
      <c r="O60" s="9"/>
      <c r="P60" s="9"/>
      <c r="Q60" s="9"/>
      <c r="R60" s="10"/>
      <c r="S60" s="8">
        <f t="shared" si="2"/>
        <v>0.4</v>
      </c>
      <c r="T60" s="8">
        <f t="shared" si="2"/>
        <v>0.1</v>
      </c>
      <c r="U60" s="8">
        <f t="shared" si="2"/>
        <v>3.665</v>
      </c>
      <c r="V60" s="8">
        <f t="shared" si="2"/>
        <v>1.571</v>
      </c>
    </row>
    <row r="61" spans="1:22" x14ac:dyDescent="0.2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/>
      <c r="O61" s="9"/>
      <c r="P61" s="9"/>
      <c r="Q61" s="9"/>
      <c r="R61" s="10"/>
      <c r="S61" s="8">
        <f t="shared" si="2"/>
        <v>0.7</v>
      </c>
      <c r="T61" s="8">
        <f t="shared" si="2"/>
        <v>0.1</v>
      </c>
      <c r="U61" s="8">
        <f t="shared" si="2"/>
        <v>3.665</v>
      </c>
      <c r="V61" s="8">
        <f t="shared" si="2"/>
        <v>1.571</v>
      </c>
    </row>
    <row r="62" spans="1:22" x14ac:dyDescent="0.2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/>
      <c r="O62" s="9"/>
      <c r="P62" s="9"/>
      <c r="Q62" s="9"/>
      <c r="R62" s="10"/>
      <c r="S62" s="8">
        <f t="shared" si="2"/>
        <v>0.4</v>
      </c>
      <c r="T62" s="8">
        <f t="shared" si="2"/>
        <v>0.16</v>
      </c>
      <c r="U62" s="8">
        <f t="shared" si="2"/>
        <v>3.665</v>
      </c>
      <c r="V62" s="8">
        <f t="shared" si="2"/>
        <v>1.571</v>
      </c>
    </row>
    <row r="63" spans="1:22" x14ac:dyDescent="0.2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/>
      <c r="O63" s="9"/>
      <c r="P63" s="9"/>
      <c r="Q63" s="9"/>
      <c r="R63" s="10"/>
      <c r="S63" s="8">
        <f t="shared" si="2"/>
        <v>0.3</v>
      </c>
      <c r="T63" s="8">
        <f t="shared" si="2"/>
        <v>0.18</v>
      </c>
      <c r="U63" s="8">
        <f t="shared" si="2"/>
        <v>3.665</v>
      </c>
      <c r="V63" s="8">
        <f t="shared" si="2"/>
        <v>1.571</v>
      </c>
    </row>
    <row r="64" spans="1:22" x14ac:dyDescent="0.2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/>
      <c r="O64" s="9"/>
      <c r="P64" s="9"/>
      <c r="Q64" s="9"/>
      <c r="R64" s="10"/>
      <c r="S64" s="8">
        <f t="shared" si="2"/>
        <v>0.3</v>
      </c>
      <c r="T64" s="8">
        <f t="shared" si="2"/>
        <v>0.08</v>
      </c>
      <c r="U64" s="8">
        <f t="shared" si="2"/>
        <v>1.571</v>
      </c>
      <c r="V64" s="8">
        <f t="shared" si="2"/>
        <v>0.78500000000000003</v>
      </c>
    </row>
    <row r="65" spans="1:22" x14ac:dyDescent="0.2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/>
      <c r="O65" s="9"/>
      <c r="P65" s="9"/>
      <c r="Q65" s="9"/>
      <c r="R65" s="10"/>
      <c r="S65" s="8">
        <f t="shared" si="2"/>
        <v>0.4</v>
      </c>
      <c r="T65" s="8">
        <f t="shared" si="2"/>
        <v>0.14000000000000001</v>
      </c>
      <c r="U65" s="8">
        <f t="shared" si="2"/>
        <v>1.571</v>
      </c>
      <c r="V65" s="8">
        <f t="shared" si="2"/>
        <v>0.78500000000000003</v>
      </c>
    </row>
    <row r="66" spans="1:22" x14ac:dyDescent="0.2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/>
      <c r="O66" s="9"/>
      <c r="P66" s="9"/>
      <c r="Q66" s="9"/>
      <c r="R66" s="10"/>
      <c r="S66" s="8">
        <f t="shared" si="2"/>
        <v>0.6</v>
      </c>
      <c r="T66" s="8">
        <f t="shared" si="2"/>
        <v>0.16</v>
      </c>
      <c r="U66" s="8">
        <f t="shared" si="2"/>
        <v>1.571</v>
      </c>
      <c r="V66" s="8">
        <f t="shared" si="2"/>
        <v>0.78500000000000003</v>
      </c>
    </row>
    <row r="67" spans="1:22" x14ac:dyDescent="0.2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/>
      <c r="O67" s="9"/>
      <c r="P67" s="9"/>
      <c r="Q67" s="9"/>
      <c r="R67" s="10"/>
      <c r="S67" s="8">
        <f t="shared" si="2"/>
        <v>0.4</v>
      </c>
      <c r="T67" s="8">
        <f t="shared" si="2"/>
        <v>0.06</v>
      </c>
      <c r="U67" s="8">
        <f t="shared" si="2"/>
        <v>1.571</v>
      </c>
      <c r="V67" s="8">
        <f t="shared" si="2"/>
        <v>1.571</v>
      </c>
    </row>
    <row r="68" spans="1:22" x14ac:dyDescent="0.2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/>
      <c r="O68" s="9"/>
      <c r="P68" s="9"/>
      <c r="Q68" s="9"/>
      <c r="R68" s="10"/>
      <c r="S68" s="8">
        <f t="shared" si="2"/>
        <v>0.8</v>
      </c>
      <c r="T68" s="8">
        <f t="shared" si="2"/>
        <v>0.08</v>
      </c>
      <c r="U68" s="8">
        <f t="shared" si="2"/>
        <v>1.571</v>
      </c>
      <c r="V68" s="8">
        <f t="shared" si="2"/>
        <v>1.571</v>
      </c>
    </row>
    <row r="69" spans="1:22" x14ac:dyDescent="0.2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/>
      <c r="O69" s="9"/>
      <c r="P69" s="9"/>
      <c r="Q69" s="9"/>
      <c r="R69" s="10"/>
      <c r="S69" s="8">
        <f t="shared" ref="S69:V78" si="3">ABS(N69-A69)</f>
        <v>0.7</v>
      </c>
      <c r="T69" s="8">
        <f t="shared" si="3"/>
        <v>0.16</v>
      </c>
      <c r="U69" s="8">
        <f t="shared" si="3"/>
        <v>1.571</v>
      </c>
      <c r="V69" s="8">
        <f t="shared" si="3"/>
        <v>1.571</v>
      </c>
    </row>
    <row r="70" spans="1:22" x14ac:dyDescent="0.2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/>
      <c r="O70" s="9"/>
      <c r="P70" s="9"/>
      <c r="Q70" s="9"/>
      <c r="R70" s="10"/>
      <c r="S70" s="8">
        <f t="shared" si="3"/>
        <v>0.7</v>
      </c>
      <c r="T70" s="8">
        <f t="shared" si="3"/>
        <v>0.2</v>
      </c>
      <c r="U70" s="8">
        <f t="shared" si="3"/>
        <v>1.571</v>
      </c>
      <c r="V70" s="8">
        <f t="shared" si="3"/>
        <v>1.571</v>
      </c>
    </row>
    <row r="71" spans="1:22" x14ac:dyDescent="0.2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/>
      <c r="O71" s="9"/>
      <c r="P71" s="9"/>
      <c r="Q71" s="9"/>
      <c r="R71" s="10"/>
      <c r="S71" s="8">
        <f t="shared" si="3"/>
        <v>0.7</v>
      </c>
      <c r="T71" s="8">
        <f t="shared" si="3"/>
        <v>0.06</v>
      </c>
      <c r="U71" s="8">
        <f t="shared" si="3"/>
        <v>3.665</v>
      </c>
      <c r="V71" s="8">
        <f t="shared" si="3"/>
        <v>0.78500000000000003</v>
      </c>
    </row>
    <row r="72" spans="1:22" x14ac:dyDescent="0.2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/>
      <c r="O72" s="9"/>
      <c r="P72" s="9"/>
      <c r="Q72" s="9"/>
      <c r="R72" s="10"/>
      <c r="S72" s="8">
        <f t="shared" si="3"/>
        <v>0.6</v>
      </c>
      <c r="T72" s="8">
        <f t="shared" si="3"/>
        <v>0.1</v>
      </c>
      <c r="U72" s="8">
        <f t="shared" si="3"/>
        <v>3.665</v>
      </c>
      <c r="V72" s="8">
        <f t="shared" si="3"/>
        <v>0.78500000000000003</v>
      </c>
    </row>
    <row r="73" spans="1:22" x14ac:dyDescent="0.2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/>
      <c r="O73" s="9"/>
      <c r="P73" s="9"/>
      <c r="Q73" s="9"/>
      <c r="R73" s="10"/>
      <c r="S73" s="8">
        <f t="shared" si="3"/>
        <v>0.8</v>
      </c>
      <c r="T73" s="8">
        <f t="shared" si="3"/>
        <v>0.18</v>
      </c>
      <c r="U73" s="8">
        <f t="shared" si="3"/>
        <v>3.665</v>
      </c>
      <c r="V73" s="8">
        <f t="shared" si="3"/>
        <v>0.78500000000000003</v>
      </c>
    </row>
    <row r="74" spans="1:22" x14ac:dyDescent="0.2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/>
      <c r="O74" s="9"/>
      <c r="P74" s="9"/>
      <c r="Q74" s="9"/>
      <c r="R74" s="10"/>
      <c r="S74" s="8">
        <f t="shared" si="3"/>
        <v>0.4</v>
      </c>
      <c r="T74" s="8">
        <f t="shared" si="3"/>
        <v>0.2</v>
      </c>
      <c r="U74" s="8">
        <f t="shared" si="3"/>
        <v>3.665</v>
      </c>
      <c r="V74" s="8">
        <f t="shared" si="3"/>
        <v>0.78500000000000003</v>
      </c>
    </row>
    <row r="75" spans="1:22" x14ac:dyDescent="0.2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/>
      <c r="O75" s="9"/>
      <c r="P75" s="9"/>
      <c r="Q75" s="9"/>
      <c r="R75" s="10"/>
      <c r="S75" s="8">
        <f t="shared" si="3"/>
        <v>0.4</v>
      </c>
      <c r="T75" s="8">
        <f t="shared" si="3"/>
        <v>0.1</v>
      </c>
      <c r="U75" s="8">
        <f t="shared" si="3"/>
        <v>3.665</v>
      </c>
      <c r="V75" s="8">
        <f t="shared" si="3"/>
        <v>1.571</v>
      </c>
    </row>
    <row r="76" spans="1:22" x14ac:dyDescent="0.2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/>
      <c r="O76" s="9"/>
      <c r="P76" s="9"/>
      <c r="Q76" s="9"/>
      <c r="R76" s="10"/>
      <c r="S76" s="8">
        <f t="shared" si="3"/>
        <v>0.7</v>
      </c>
      <c r="T76" s="8">
        <f t="shared" si="3"/>
        <v>0.1</v>
      </c>
      <c r="U76" s="8">
        <f t="shared" si="3"/>
        <v>3.665</v>
      </c>
      <c r="V76" s="8">
        <f t="shared" si="3"/>
        <v>1.571</v>
      </c>
    </row>
    <row r="77" spans="1:22" x14ac:dyDescent="0.2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/>
      <c r="O77" s="9"/>
      <c r="P77" s="9"/>
      <c r="Q77" s="9"/>
      <c r="R77" s="10"/>
      <c r="S77" s="8">
        <f t="shared" si="3"/>
        <v>0.4</v>
      </c>
      <c r="T77" s="8">
        <f t="shared" si="3"/>
        <v>0.16</v>
      </c>
      <c r="U77" s="8">
        <f t="shared" si="3"/>
        <v>3.665</v>
      </c>
      <c r="V77" s="8">
        <f t="shared" si="3"/>
        <v>1.571</v>
      </c>
    </row>
    <row r="78" spans="1:22" x14ac:dyDescent="0.2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/>
      <c r="O78" s="9"/>
      <c r="P78" s="9"/>
      <c r="Q78" s="9"/>
      <c r="R78" s="10"/>
      <c r="S78" s="8">
        <f t="shared" si="3"/>
        <v>0.3</v>
      </c>
      <c r="T78" s="8">
        <f t="shared" si="3"/>
        <v>0.18</v>
      </c>
      <c r="U78" s="8">
        <f t="shared" si="3"/>
        <v>3.665</v>
      </c>
      <c r="V78" s="8">
        <f t="shared" si="3"/>
        <v>1.571</v>
      </c>
    </row>
    <row r="79" spans="1:22" x14ac:dyDescent="0.2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2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2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2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2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2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2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2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2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2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2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2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2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2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2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2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2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2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2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2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2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2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2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2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2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2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2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2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2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2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2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2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2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2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2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2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2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2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2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2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2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2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2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2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2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2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2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2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2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2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2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2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2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2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2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2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2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2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2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2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2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2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2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2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2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2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2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2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2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2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2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2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2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2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2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</sheetData>
  <mergeCells count="6">
    <mergeCell ref="W2:Y2"/>
    <mergeCell ref="A1:V1"/>
    <mergeCell ref="A2:G2"/>
    <mergeCell ref="H2:M2"/>
    <mergeCell ref="N2:R2"/>
    <mergeCell ref="S2:U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6A89-8847-49ED-9DE7-EA0328264273}">
  <dimension ref="A1:Z153"/>
  <sheetViews>
    <sheetView tabSelected="1" workbookViewId="0">
      <selection activeCell="X14" sqref="X14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26" x14ac:dyDescent="0.25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6" ht="15.75" x14ac:dyDescent="0.25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5.75" x14ac:dyDescent="0.25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2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2.6342464843764901E-4</v>
      </c>
      <c r="I4" s="9">
        <f>'Proximal Validation (single)'!I3</f>
        <v>-3.2978262752294499E-2</v>
      </c>
      <c r="J4" s="9">
        <f>'Proximal Validation (single)'!J3</f>
        <v>5.6162860710173802E-4</v>
      </c>
      <c r="K4" s="9">
        <f>'Proximal Validation (single)'!K3</f>
        <v>0.185834720730782</v>
      </c>
      <c r="L4" s="9">
        <f>'Proximal Validation (single)'!L3</f>
        <v>1.13257020711899E-3</v>
      </c>
      <c r="M4" s="9">
        <f>'Proximal Validation (single)'!M3</f>
        <v>0.19288232922553999</v>
      </c>
      <c r="N4" s="9"/>
      <c r="O4" s="9"/>
      <c r="P4" s="9"/>
      <c r="Q4" s="9"/>
      <c r="R4" s="10"/>
      <c r="S4" s="8">
        <f>ABS(N4-A4)</f>
        <v>0.3</v>
      </c>
      <c r="T4" s="8">
        <f t="shared" ref="T4:V19" si="0">ABS(O4-B4)</f>
        <v>0.08</v>
      </c>
      <c r="U4" s="8">
        <f t="shared" si="0"/>
        <v>1.571</v>
      </c>
      <c r="V4" s="8">
        <f t="shared" si="0"/>
        <v>0.78500000000000003</v>
      </c>
      <c r="W4" s="9">
        <f>AVERAGE(S4:S10, S19:S25,S34:S40 )</f>
        <v>0.55714285714285716</v>
      </c>
      <c r="X4" s="9">
        <f t="shared" ref="X4:Z4" si="1">AVERAGE(T4:T78)</f>
        <v>0.13066666666666663</v>
      </c>
      <c r="Y4" s="9">
        <f t="shared" si="1"/>
        <v>2.6877999999999984</v>
      </c>
      <c r="Z4" s="9">
        <f t="shared" si="1"/>
        <v>1.2041999999999984</v>
      </c>
    </row>
    <row r="5" spans="1:26" x14ac:dyDescent="0.2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-4.3474312406033299E-4</v>
      </c>
      <c r="I5" s="9">
        <f>'Proximal Validation (single)'!I4</f>
        <v>-6.2425632029771798E-2</v>
      </c>
      <c r="J5" s="9">
        <f>'Proximal Validation (single)'!J4</f>
        <v>2.5845002382993698E-3</v>
      </c>
      <c r="K5" s="9">
        <f>'Proximal Validation (single)'!K4</f>
        <v>0.25303724408149703</v>
      </c>
      <c r="L5" s="9">
        <f>'Proximal Validation (single)'!L4</f>
        <v>1.07369087636471E-2</v>
      </c>
      <c r="M5" s="9">
        <f>'Proximal Validation (single)'!M4</f>
        <v>0.27653545141220098</v>
      </c>
      <c r="N5" s="9"/>
      <c r="O5" s="9"/>
      <c r="P5" s="9"/>
      <c r="Q5" s="9"/>
      <c r="R5" s="10"/>
      <c r="S5" s="8">
        <f t="shared" ref="S5:V68" si="2">ABS(N5-A5)</f>
        <v>0.4</v>
      </c>
      <c r="T5" s="8">
        <f t="shared" si="0"/>
        <v>0.14000000000000001</v>
      </c>
      <c r="U5" s="8">
        <f t="shared" si="0"/>
        <v>1.571</v>
      </c>
      <c r="V5" s="8">
        <f t="shared" si="0"/>
        <v>0.78500000000000003</v>
      </c>
      <c r="Y5">
        <f>DEGREES(Y4)</f>
        <v>153.99959617526258</v>
      </c>
      <c r="Z5">
        <f>DEGREES(Z4)</f>
        <v>68.995577689653643</v>
      </c>
    </row>
    <row r="6" spans="1:26" x14ac:dyDescent="0.2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5.3234044462442398E-3</v>
      </c>
      <c r="I6" s="9">
        <f>'Proximal Validation (single)'!I5</f>
        <v>-0.12275674194097499</v>
      </c>
      <c r="J6" s="9">
        <f>'Proximal Validation (single)'!J5</f>
        <v>-8.3989212289452605E-3</v>
      </c>
      <c r="K6" s="9">
        <f>'Proximal Validation (single)'!K5</f>
        <v>0.26806160807609603</v>
      </c>
      <c r="L6" s="9">
        <f>'Proximal Validation (single)'!L5</f>
        <v>-2.4467468261718799E-2</v>
      </c>
      <c r="M6" s="9">
        <f>'Proximal Validation (single)'!M5</f>
        <v>0.52633810043335005</v>
      </c>
      <c r="N6" s="9"/>
      <c r="O6" s="9"/>
      <c r="P6" s="9"/>
      <c r="Q6" s="9"/>
      <c r="R6" s="10"/>
      <c r="S6" s="8">
        <f t="shared" si="2"/>
        <v>0.6</v>
      </c>
      <c r="T6" s="8">
        <f t="shared" si="0"/>
        <v>0.16</v>
      </c>
      <c r="U6" s="8">
        <f t="shared" si="0"/>
        <v>1.571</v>
      </c>
      <c r="V6" s="8">
        <f t="shared" si="0"/>
        <v>0.78500000000000003</v>
      </c>
    </row>
    <row r="7" spans="1:26" x14ac:dyDescent="0.2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6.7002582363784302E-4</v>
      </c>
      <c r="I7" s="9">
        <f>'Proximal Validation (single)'!I6</f>
        <v>-6.6750191152095795E-2</v>
      </c>
      <c r="J7" s="9">
        <f>'Proximal Validation (single)'!J6</f>
        <v>1.6002767952158999E-3</v>
      </c>
      <c r="K7" s="9">
        <f>'Proximal Validation (single)'!K6</f>
        <v>-3.97013984620571E-2</v>
      </c>
      <c r="L7" s="9">
        <f>'Proximal Validation (single)'!L6</f>
        <v>7.3561742901802098E-3</v>
      </c>
      <c r="M7" s="9">
        <f>'Proximal Validation (single)'!M6</f>
        <v>0.423814177513123</v>
      </c>
      <c r="N7" s="9"/>
      <c r="O7" s="9"/>
      <c r="P7" s="9"/>
      <c r="Q7" s="9"/>
      <c r="R7" s="10"/>
      <c r="S7" s="8">
        <f t="shared" si="2"/>
        <v>0.4</v>
      </c>
      <c r="T7" s="8">
        <f t="shared" si="0"/>
        <v>0.06</v>
      </c>
      <c r="U7" s="8">
        <f t="shared" si="0"/>
        <v>1.571</v>
      </c>
      <c r="V7" s="8">
        <f t="shared" si="0"/>
        <v>1.571</v>
      </c>
    </row>
    <row r="8" spans="1:26" x14ac:dyDescent="0.2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7.4092089198529699E-4</v>
      </c>
      <c r="I8" s="9">
        <f>'Proximal Validation (single)'!I7</f>
        <v>-0.14775538444519001</v>
      </c>
      <c r="J8" s="9">
        <f>'Proximal Validation (single)'!J7</f>
        <v>3.4220633096993E-3</v>
      </c>
      <c r="K8" s="9">
        <f>'Proximal Validation (single)'!K7</f>
        <v>-0.161362335085869</v>
      </c>
      <c r="L8" s="9">
        <f>'Proximal Validation (single)'!L7</f>
        <v>2.0262047648429898E-2</v>
      </c>
      <c r="M8" s="9">
        <f>'Proximal Validation (single)'!M7</f>
        <v>0.82944488525390603</v>
      </c>
      <c r="N8" s="9"/>
      <c r="O8" s="9"/>
      <c r="P8" s="9"/>
      <c r="Q8" s="9"/>
      <c r="R8" s="10"/>
      <c r="S8" s="8">
        <f t="shared" si="2"/>
        <v>0.8</v>
      </c>
      <c r="T8" s="8">
        <f t="shared" si="0"/>
        <v>0.08</v>
      </c>
      <c r="U8" s="8">
        <f t="shared" si="0"/>
        <v>1.571</v>
      </c>
      <c r="V8" s="8">
        <f t="shared" si="0"/>
        <v>1.571</v>
      </c>
    </row>
    <row r="9" spans="1:26" x14ac:dyDescent="0.2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6.6551081836223602E-3</v>
      </c>
      <c r="I9" s="9">
        <f>'Proximal Validation (single)'!I8</f>
        <v>-0.148307904601097</v>
      </c>
      <c r="J9" s="9">
        <f>'Proximal Validation (single)'!J8</f>
        <v>-1.0527462000027299E-3</v>
      </c>
      <c r="K9" s="9">
        <f>'Proximal Validation (single)'!K8</f>
        <v>-0.444706320762634</v>
      </c>
      <c r="L9" s="9">
        <f>'Proximal Validation (single)'!L8</f>
        <v>-2.19946205615997E-2</v>
      </c>
      <c r="M9" s="9">
        <f>'Proximal Validation (single)'!M8</f>
        <v>0.489793181419373</v>
      </c>
      <c r="N9" s="9"/>
      <c r="O9" s="9"/>
      <c r="P9" s="9"/>
      <c r="Q9" s="9"/>
      <c r="R9" s="10"/>
      <c r="S9" s="8">
        <f t="shared" si="2"/>
        <v>0.7</v>
      </c>
      <c r="T9" s="8">
        <f t="shared" si="0"/>
        <v>0.16</v>
      </c>
      <c r="U9" s="8">
        <f t="shared" si="0"/>
        <v>1.571</v>
      </c>
      <c r="V9" s="8">
        <f t="shared" si="0"/>
        <v>1.571</v>
      </c>
    </row>
    <row r="10" spans="1:26" x14ac:dyDescent="0.2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8.7637116666883198E-4</v>
      </c>
      <c r="I10" s="9">
        <f>'Proximal Validation (single)'!I9</f>
        <v>-0.164488449692726</v>
      </c>
      <c r="J10" s="9">
        <f>'Proximal Validation (single)'!J9</f>
        <v>3.7763002328574701E-3</v>
      </c>
      <c r="K10" s="9">
        <f>'Proximal Validation (single)'!K9</f>
        <v>-0.58729076385498002</v>
      </c>
      <c r="L10" s="9">
        <f>'Proximal Validation (single)'!L9</f>
        <v>7.8071318566799199E-3</v>
      </c>
      <c r="M10" s="9">
        <f>'Proximal Validation (single)'!M9</f>
        <v>0.38755592703819303</v>
      </c>
      <c r="N10" s="9"/>
      <c r="O10" s="9"/>
      <c r="P10" s="9"/>
      <c r="Q10" s="9"/>
      <c r="R10" s="10"/>
      <c r="S10" s="8">
        <f t="shared" si="2"/>
        <v>0.7</v>
      </c>
      <c r="T10" s="8">
        <f t="shared" si="0"/>
        <v>0.2</v>
      </c>
      <c r="U10" s="8">
        <f t="shared" si="0"/>
        <v>1.571</v>
      </c>
      <c r="V10" s="8">
        <f t="shared" si="0"/>
        <v>1.571</v>
      </c>
    </row>
    <row r="11" spans="1:26" x14ac:dyDescent="0.2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-8.6323916912078901E-4</v>
      </c>
      <c r="I11" s="9">
        <f>'Proximal Validation (single)'!I10</f>
        <v>4.2902048677205998E-2</v>
      </c>
      <c r="J11" s="9">
        <f>'Proximal Validation (single)'!J10</f>
        <v>-8.0319754779338795E-2</v>
      </c>
      <c r="K11" s="9">
        <f>'Proximal Validation (single)'!K10</f>
        <v>0.61245459318161</v>
      </c>
      <c r="L11" s="9">
        <f>'Proximal Validation (single)'!L10</f>
        <v>-0.54026973247528098</v>
      </c>
      <c r="M11" s="9">
        <f>'Proximal Validation (single)'!M10</f>
        <v>-0.28817486763000499</v>
      </c>
      <c r="N11" s="9"/>
      <c r="O11" s="9"/>
      <c r="P11" s="9"/>
      <c r="Q11" s="9"/>
      <c r="R11" s="10"/>
      <c r="S11" s="8">
        <f t="shared" si="2"/>
        <v>0.7</v>
      </c>
      <c r="T11" s="8">
        <f t="shared" si="0"/>
        <v>0.06</v>
      </c>
      <c r="U11" s="8">
        <f t="shared" si="0"/>
        <v>3.665</v>
      </c>
      <c r="V11" s="8">
        <f t="shared" si="0"/>
        <v>0.78500000000000003</v>
      </c>
    </row>
    <row r="12" spans="1:26" x14ac:dyDescent="0.2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-8.0120982602238698E-4</v>
      </c>
      <c r="I12" s="9">
        <f>'Proximal Validation (single)'!I11</f>
        <v>4.2666438966989503E-2</v>
      </c>
      <c r="J12" s="9">
        <f>'Proximal Validation (single)'!J11</f>
        <v>-8.0293677747249603E-2</v>
      </c>
      <c r="K12" s="9">
        <f>'Proximal Validation (single)'!K11</f>
        <v>0.443310797214508</v>
      </c>
      <c r="L12" s="9">
        <f>'Proximal Validation (single)'!L11</f>
        <v>-0.42717015743255599</v>
      </c>
      <c r="M12" s="9">
        <f>'Proximal Validation (single)'!M11</f>
        <v>-0.22529536485672</v>
      </c>
      <c r="N12" s="9"/>
      <c r="O12" s="9"/>
      <c r="P12" s="9"/>
      <c r="Q12" s="9"/>
      <c r="R12" s="10"/>
      <c r="S12" s="8">
        <f t="shared" si="2"/>
        <v>0.6</v>
      </c>
      <c r="T12" s="8">
        <f t="shared" si="0"/>
        <v>0.1</v>
      </c>
      <c r="U12" s="8">
        <f t="shared" si="0"/>
        <v>3.665</v>
      </c>
      <c r="V12" s="8">
        <f t="shared" si="0"/>
        <v>0.78500000000000003</v>
      </c>
    </row>
    <row r="13" spans="1:26" x14ac:dyDescent="0.2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-5.5334065109491301E-5</v>
      </c>
      <c r="I13" s="9">
        <f>'Proximal Validation (single)'!I12</f>
        <v>7.7956624329090105E-2</v>
      </c>
      <c r="J13" s="9">
        <f>'Proximal Validation (single)'!J12</f>
        <v>-0.13737398386001601</v>
      </c>
      <c r="K13" s="9">
        <f>'Proximal Validation (single)'!K12</f>
        <v>0.41918036341667197</v>
      </c>
      <c r="L13" s="9">
        <f>'Proximal Validation (single)'!L12</f>
        <v>-0.55125319957733199</v>
      </c>
      <c r="M13" s="9">
        <f>'Proximal Validation (single)'!M12</f>
        <v>-0.30630308389663702</v>
      </c>
      <c r="N13" s="9"/>
      <c r="O13" s="9"/>
      <c r="P13" s="9"/>
      <c r="Q13" s="9"/>
      <c r="R13" s="10"/>
      <c r="S13" s="8">
        <f t="shared" si="2"/>
        <v>0.8</v>
      </c>
      <c r="T13" s="8">
        <f t="shared" si="0"/>
        <v>0.18</v>
      </c>
      <c r="U13" s="8">
        <f t="shared" si="0"/>
        <v>3.665</v>
      </c>
      <c r="V13" s="8">
        <f t="shared" si="0"/>
        <v>0.78500000000000003</v>
      </c>
    </row>
    <row r="14" spans="1:26" x14ac:dyDescent="0.2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-9.6024014055728899E-5</v>
      </c>
      <c r="I14" s="9">
        <f>'Proximal Validation (single)'!I13</f>
        <v>3.4424368292093298E-2</v>
      </c>
      <c r="J14" s="9">
        <f>'Proximal Validation (single)'!J13</f>
        <v>-6.16564750671387E-2</v>
      </c>
      <c r="K14" s="9">
        <f>'Proximal Validation (single)'!K13</f>
        <v>0.267098218202591</v>
      </c>
      <c r="L14" s="9">
        <f>'Proximal Validation (single)'!L13</f>
        <v>-0.21448078751564001</v>
      </c>
      <c r="M14" s="9">
        <f>'Proximal Validation (single)'!M13</f>
        <v>-0.115060687065125</v>
      </c>
      <c r="N14" s="9"/>
      <c r="O14" s="9"/>
      <c r="P14" s="9"/>
      <c r="Q14" s="9"/>
      <c r="R14" s="10"/>
      <c r="S14" s="8">
        <f t="shared" si="2"/>
        <v>0.4</v>
      </c>
      <c r="T14" s="8">
        <f t="shared" si="0"/>
        <v>0.2</v>
      </c>
      <c r="U14" s="8">
        <f t="shared" si="0"/>
        <v>3.665</v>
      </c>
      <c r="V14" s="8">
        <f t="shared" si="0"/>
        <v>0.78500000000000003</v>
      </c>
    </row>
    <row r="15" spans="1:26" x14ac:dyDescent="0.2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-3.7108035758137698E-4</v>
      </c>
      <c r="I15" s="9">
        <f>'Proximal Validation (single)'!I14</f>
        <v>3.7644270807504703E-2</v>
      </c>
      <c r="J15" s="9">
        <f>'Proximal Validation (single)'!J14</f>
        <v>-6.73996657133102E-2</v>
      </c>
      <c r="K15" s="9">
        <f>'Proximal Validation (single)'!K14</f>
        <v>1.67829748243093E-2</v>
      </c>
      <c r="L15" s="9">
        <f>'Proximal Validation (single)'!L14</f>
        <v>-0.33880779147148099</v>
      </c>
      <c r="M15" s="9">
        <f>'Proximal Validation (single)'!M14</f>
        <v>-0.185297966003418</v>
      </c>
      <c r="N15" s="9"/>
      <c r="O15" s="9"/>
      <c r="P15" s="9"/>
      <c r="Q15" s="9"/>
      <c r="R15" s="10"/>
      <c r="S15" s="8">
        <f t="shared" si="2"/>
        <v>0.4</v>
      </c>
      <c r="T15" s="8">
        <f t="shared" si="0"/>
        <v>0.1</v>
      </c>
      <c r="U15" s="8">
        <f t="shared" si="0"/>
        <v>3.665</v>
      </c>
      <c r="V15" s="8">
        <f t="shared" si="0"/>
        <v>1.571</v>
      </c>
    </row>
    <row r="16" spans="1:26" x14ac:dyDescent="0.2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-1.02429185062647E-3</v>
      </c>
      <c r="I16" s="9">
        <f>'Proximal Validation (single)'!I15</f>
        <v>7.0613205432891804E-2</v>
      </c>
      <c r="J16" s="9">
        <f>'Proximal Validation (single)'!J15</f>
        <v>-0.12678831815719599</v>
      </c>
      <c r="K16" s="9">
        <f>'Proximal Validation (single)'!K15</f>
        <v>-2.9671346768736801E-2</v>
      </c>
      <c r="L16" s="9">
        <f>'Proximal Validation (single)'!L15</f>
        <v>-0.63574087619781505</v>
      </c>
      <c r="M16" s="9">
        <f>'Proximal Validation (single)'!M15</f>
        <v>-0.34651768207549999</v>
      </c>
      <c r="N16" s="9"/>
      <c r="O16" s="9"/>
      <c r="P16" s="9"/>
      <c r="Q16" s="9"/>
      <c r="R16" s="10"/>
      <c r="S16" s="8">
        <f t="shared" si="2"/>
        <v>0.7</v>
      </c>
      <c r="T16" s="8">
        <f t="shared" si="0"/>
        <v>0.1</v>
      </c>
      <c r="U16" s="8">
        <f t="shared" si="0"/>
        <v>3.665</v>
      </c>
      <c r="V16" s="8">
        <f t="shared" si="0"/>
        <v>1.571</v>
      </c>
    </row>
    <row r="17" spans="1:22" x14ac:dyDescent="0.2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-6.0879066586494402E-4</v>
      </c>
      <c r="I17" s="9">
        <f>'Proximal Validation (single)'!I16</f>
        <v>4.7145899385213901E-2</v>
      </c>
      <c r="J17" s="9">
        <f>'Proximal Validation (single)'!J16</f>
        <v>-8.5028916597366305E-2</v>
      </c>
      <c r="K17" s="9">
        <f>'Proximal Validation (single)'!K16</f>
        <v>-7.4065491557121305E-2</v>
      </c>
      <c r="L17" s="9">
        <f>'Proximal Validation (single)'!L16</f>
        <v>-0.31546109914779702</v>
      </c>
      <c r="M17" s="9">
        <f>'Proximal Validation (single)'!M16</f>
        <v>-0.17043319344520599</v>
      </c>
      <c r="N17" s="9"/>
      <c r="O17" s="9"/>
      <c r="P17" s="9"/>
      <c r="Q17" s="9"/>
      <c r="R17" s="10"/>
      <c r="S17" s="8">
        <f t="shared" si="2"/>
        <v>0.4</v>
      </c>
      <c r="T17" s="8">
        <f t="shared" si="0"/>
        <v>0.16</v>
      </c>
      <c r="U17" s="8">
        <f t="shared" si="0"/>
        <v>3.665</v>
      </c>
      <c r="V17" s="8">
        <f t="shared" si="0"/>
        <v>1.571</v>
      </c>
    </row>
    <row r="18" spans="1:22" x14ac:dyDescent="0.2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3.8368394598364803E-5</v>
      </c>
      <c r="I18" s="9">
        <f>'Proximal Validation (single)'!I17</f>
        <v>3.2897148281335803E-2</v>
      </c>
      <c r="J18" s="9">
        <f>'Proximal Validation (single)'!J17</f>
        <v>-5.8571800589561497E-2</v>
      </c>
      <c r="K18" s="9">
        <f>'Proximal Validation (single)'!K17</f>
        <v>-6.3505612313747406E-2</v>
      </c>
      <c r="L18" s="9">
        <f>'Proximal Validation (single)'!L17</f>
        <v>-0.19738522171974199</v>
      </c>
      <c r="M18" s="9">
        <f>'Proximal Validation (single)'!M17</f>
        <v>-0.108248926699162</v>
      </c>
      <c r="N18" s="9"/>
      <c r="O18" s="9"/>
      <c r="P18" s="9"/>
      <c r="Q18" s="9"/>
      <c r="R18" s="10"/>
      <c r="S18" s="8">
        <f t="shared" si="2"/>
        <v>0.3</v>
      </c>
      <c r="T18" s="8">
        <f t="shared" si="0"/>
        <v>0.18</v>
      </c>
      <c r="U18" s="8">
        <f t="shared" si="0"/>
        <v>3.665</v>
      </c>
      <c r="V18" s="8">
        <f t="shared" si="0"/>
        <v>1.571</v>
      </c>
    </row>
    <row r="19" spans="1:22" x14ac:dyDescent="0.2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/>
      <c r="O19" s="9"/>
      <c r="P19" s="9"/>
      <c r="Q19" s="9"/>
      <c r="R19" s="10"/>
      <c r="S19" s="8">
        <f t="shared" si="2"/>
        <v>0.3</v>
      </c>
      <c r="T19" s="8">
        <f t="shared" si="0"/>
        <v>0.08</v>
      </c>
      <c r="U19" s="8">
        <f t="shared" si="0"/>
        <v>1.571</v>
      </c>
      <c r="V19" s="8">
        <f t="shared" si="0"/>
        <v>0.78500000000000003</v>
      </c>
    </row>
    <row r="20" spans="1:22" x14ac:dyDescent="0.2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/>
      <c r="O20" s="9"/>
      <c r="P20" s="9"/>
      <c r="Q20" s="9"/>
      <c r="R20" s="10"/>
      <c r="S20" s="8">
        <f t="shared" si="2"/>
        <v>0.4</v>
      </c>
      <c r="T20" s="8">
        <f t="shared" si="2"/>
        <v>0.14000000000000001</v>
      </c>
      <c r="U20" s="8">
        <f t="shared" si="2"/>
        <v>1.571</v>
      </c>
      <c r="V20" s="8">
        <f t="shared" si="2"/>
        <v>0.78500000000000003</v>
      </c>
    </row>
    <row r="21" spans="1:22" x14ac:dyDescent="0.2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/>
      <c r="O21" s="9"/>
      <c r="P21" s="9"/>
      <c r="Q21" s="9"/>
      <c r="R21" s="10"/>
      <c r="S21" s="8">
        <f t="shared" si="2"/>
        <v>0.6</v>
      </c>
      <c r="T21" s="8">
        <f t="shared" si="2"/>
        <v>0.16</v>
      </c>
      <c r="U21" s="8">
        <f t="shared" si="2"/>
        <v>1.571</v>
      </c>
      <c r="V21" s="8">
        <f t="shared" si="2"/>
        <v>0.78500000000000003</v>
      </c>
    </row>
    <row r="22" spans="1:22" x14ac:dyDescent="0.2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/>
      <c r="O22" s="9"/>
      <c r="P22" s="9"/>
      <c r="Q22" s="9"/>
      <c r="R22" s="10"/>
      <c r="S22" s="8">
        <f t="shared" si="2"/>
        <v>0.4</v>
      </c>
      <c r="T22" s="8">
        <f t="shared" si="2"/>
        <v>0.06</v>
      </c>
      <c r="U22" s="8">
        <f t="shared" si="2"/>
        <v>1.571</v>
      </c>
      <c r="V22" s="8">
        <f t="shared" si="2"/>
        <v>1.571</v>
      </c>
    </row>
    <row r="23" spans="1:22" x14ac:dyDescent="0.2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/>
      <c r="O23" s="9"/>
      <c r="P23" s="9"/>
      <c r="Q23" s="9"/>
      <c r="R23" s="10"/>
      <c r="S23" s="8">
        <f t="shared" si="2"/>
        <v>0.8</v>
      </c>
      <c r="T23" s="8">
        <f t="shared" si="2"/>
        <v>0.08</v>
      </c>
      <c r="U23" s="8">
        <f t="shared" si="2"/>
        <v>1.571</v>
      </c>
      <c r="V23" s="8">
        <f t="shared" si="2"/>
        <v>1.571</v>
      </c>
    </row>
    <row r="24" spans="1:22" x14ac:dyDescent="0.2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/>
      <c r="O24" s="9"/>
      <c r="P24" s="9"/>
      <c r="Q24" s="9"/>
      <c r="R24" s="10"/>
      <c r="S24" s="8">
        <f t="shared" si="2"/>
        <v>0.7</v>
      </c>
      <c r="T24" s="8">
        <f t="shared" si="2"/>
        <v>0.16</v>
      </c>
      <c r="U24" s="8">
        <f t="shared" si="2"/>
        <v>1.571</v>
      </c>
      <c r="V24" s="8">
        <f t="shared" si="2"/>
        <v>1.571</v>
      </c>
    </row>
    <row r="25" spans="1:22" x14ac:dyDescent="0.2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/>
      <c r="O25" s="9"/>
      <c r="P25" s="9"/>
      <c r="Q25" s="9"/>
      <c r="R25" s="10"/>
      <c r="S25" s="8">
        <f t="shared" si="2"/>
        <v>0.7</v>
      </c>
      <c r="T25" s="8">
        <f t="shared" si="2"/>
        <v>0.2</v>
      </c>
      <c r="U25" s="8">
        <f t="shared" si="2"/>
        <v>1.571</v>
      </c>
      <c r="V25" s="8">
        <f t="shared" si="2"/>
        <v>1.571</v>
      </c>
    </row>
    <row r="26" spans="1:22" x14ac:dyDescent="0.2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/>
      <c r="O26" s="9"/>
      <c r="P26" s="9"/>
      <c r="Q26" s="9"/>
      <c r="R26" s="10"/>
      <c r="S26" s="8">
        <f t="shared" si="2"/>
        <v>0.7</v>
      </c>
      <c r="T26" s="8">
        <f t="shared" si="2"/>
        <v>0.06</v>
      </c>
      <c r="U26" s="8">
        <f t="shared" si="2"/>
        <v>3.665</v>
      </c>
      <c r="V26" s="8">
        <f t="shared" si="2"/>
        <v>0.78500000000000003</v>
      </c>
    </row>
    <row r="27" spans="1:22" x14ac:dyDescent="0.2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/>
      <c r="O27" s="9"/>
      <c r="P27" s="9"/>
      <c r="Q27" s="9"/>
      <c r="R27" s="10"/>
      <c r="S27" s="8">
        <f t="shared" si="2"/>
        <v>0.6</v>
      </c>
      <c r="T27" s="8">
        <f t="shared" si="2"/>
        <v>0.1</v>
      </c>
      <c r="U27" s="8">
        <f t="shared" si="2"/>
        <v>3.665</v>
      </c>
      <c r="V27" s="8">
        <f t="shared" si="2"/>
        <v>0.78500000000000003</v>
      </c>
    </row>
    <row r="28" spans="1:22" x14ac:dyDescent="0.2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/>
      <c r="O28" s="9"/>
      <c r="P28" s="9"/>
      <c r="Q28" s="9"/>
      <c r="R28" s="10"/>
      <c r="S28" s="8">
        <f t="shared" si="2"/>
        <v>0.8</v>
      </c>
      <c r="T28" s="8">
        <f t="shared" si="2"/>
        <v>0.18</v>
      </c>
      <c r="U28" s="8">
        <f t="shared" si="2"/>
        <v>3.665</v>
      </c>
      <c r="V28" s="8">
        <f t="shared" si="2"/>
        <v>0.78500000000000003</v>
      </c>
    </row>
    <row r="29" spans="1:22" x14ac:dyDescent="0.2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/>
      <c r="O29" s="9"/>
      <c r="P29" s="9"/>
      <c r="Q29" s="9"/>
      <c r="R29" s="10"/>
      <c r="S29" s="8">
        <f t="shared" si="2"/>
        <v>0.4</v>
      </c>
      <c r="T29" s="8">
        <f t="shared" si="2"/>
        <v>0.2</v>
      </c>
      <c r="U29" s="8">
        <f t="shared" si="2"/>
        <v>3.665</v>
      </c>
      <c r="V29" s="8">
        <f t="shared" si="2"/>
        <v>0.78500000000000003</v>
      </c>
    </row>
    <row r="30" spans="1:22" x14ac:dyDescent="0.2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/>
      <c r="O30" s="9"/>
      <c r="P30" s="9"/>
      <c r="Q30" s="9"/>
      <c r="R30" s="10"/>
      <c r="S30" s="8">
        <f t="shared" si="2"/>
        <v>0.4</v>
      </c>
      <c r="T30" s="8">
        <f t="shared" si="2"/>
        <v>0.1</v>
      </c>
      <c r="U30" s="8">
        <f t="shared" si="2"/>
        <v>3.665</v>
      </c>
      <c r="V30" s="8">
        <f t="shared" si="2"/>
        <v>1.571</v>
      </c>
    </row>
    <row r="31" spans="1:22" x14ac:dyDescent="0.2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/>
      <c r="O31" s="9"/>
      <c r="P31" s="9"/>
      <c r="Q31" s="9"/>
      <c r="R31" s="10"/>
      <c r="S31" s="8">
        <f t="shared" si="2"/>
        <v>0.7</v>
      </c>
      <c r="T31" s="8">
        <f t="shared" si="2"/>
        <v>0.1</v>
      </c>
      <c r="U31" s="8">
        <f t="shared" si="2"/>
        <v>3.665</v>
      </c>
      <c r="V31" s="8">
        <f t="shared" si="2"/>
        <v>1.571</v>
      </c>
    </row>
    <row r="32" spans="1:22" x14ac:dyDescent="0.2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/>
      <c r="O32" s="9"/>
      <c r="P32" s="9"/>
      <c r="Q32" s="9"/>
      <c r="R32" s="10"/>
      <c r="S32" s="8">
        <f t="shared" si="2"/>
        <v>0.4</v>
      </c>
      <c r="T32" s="8">
        <f t="shared" si="2"/>
        <v>0.16</v>
      </c>
      <c r="U32" s="8">
        <f t="shared" si="2"/>
        <v>3.665</v>
      </c>
      <c r="V32" s="8">
        <f t="shared" si="2"/>
        <v>1.571</v>
      </c>
    </row>
    <row r="33" spans="1:22" x14ac:dyDescent="0.2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/>
      <c r="O33" s="9"/>
      <c r="P33" s="9"/>
      <c r="Q33" s="9"/>
      <c r="R33" s="10"/>
      <c r="S33" s="8">
        <f t="shared" si="2"/>
        <v>0.3</v>
      </c>
      <c r="T33" s="8">
        <f t="shared" si="2"/>
        <v>0.18</v>
      </c>
      <c r="U33" s="8">
        <f t="shared" si="2"/>
        <v>3.665</v>
      </c>
      <c r="V33" s="8">
        <f t="shared" si="2"/>
        <v>1.571</v>
      </c>
    </row>
    <row r="34" spans="1:22" x14ac:dyDescent="0.2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/>
      <c r="O34" s="9"/>
      <c r="P34" s="9"/>
      <c r="Q34" s="9"/>
      <c r="R34" s="10"/>
      <c r="S34" s="8">
        <f t="shared" si="2"/>
        <v>0.3</v>
      </c>
      <c r="T34" s="8">
        <f t="shared" si="2"/>
        <v>0.08</v>
      </c>
      <c r="U34" s="8">
        <f t="shared" si="2"/>
        <v>1.571</v>
      </c>
      <c r="V34" s="8">
        <f t="shared" si="2"/>
        <v>0.78500000000000003</v>
      </c>
    </row>
    <row r="35" spans="1:22" x14ac:dyDescent="0.2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/>
      <c r="O35" s="9"/>
      <c r="P35" s="9"/>
      <c r="Q35" s="9"/>
      <c r="R35" s="10"/>
      <c r="S35" s="8">
        <f t="shared" si="2"/>
        <v>0.4</v>
      </c>
      <c r="T35" s="8">
        <f t="shared" si="2"/>
        <v>0.14000000000000001</v>
      </c>
      <c r="U35" s="8">
        <f t="shared" si="2"/>
        <v>1.571</v>
      </c>
      <c r="V35" s="8">
        <f t="shared" si="2"/>
        <v>0.78500000000000003</v>
      </c>
    </row>
    <row r="36" spans="1:22" x14ac:dyDescent="0.2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/>
      <c r="O36" s="9"/>
      <c r="P36" s="9"/>
      <c r="Q36" s="9"/>
      <c r="R36" s="10"/>
      <c r="S36" s="8">
        <f t="shared" si="2"/>
        <v>0.6</v>
      </c>
      <c r="T36" s="8">
        <f t="shared" si="2"/>
        <v>0.16</v>
      </c>
      <c r="U36" s="8">
        <f t="shared" si="2"/>
        <v>1.571</v>
      </c>
      <c r="V36" s="8">
        <f t="shared" si="2"/>
        <v>0.78500000000000003</v>
      </c>
    </row>
    <row r="37" spans="1:22" x14ac:dyDescent="0.2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/>
      <c r="O37" s="9"/>
      <c r="P37" s="9"/>
      <c r="Q37" s="9"/>
      <c r="R37" s="10"/>
      <c r="S37" s="8">
        <f t="shared" si="2"/>
        <v>0.4</v>
      </c>
      <c r="T37" s="8">
        <f t="shared" si="2"/>
        <v>0.06</v>
      </c>
      <c r="U37" s="8">
        <f t="shared" si="2"/>
        <v>1.571</v>
      </c>
      <c r="V37" s="8">
        <f t="shared" si="2"/>
        <v>1.571</v>
      </c>
    </row>
    <row r="38" spans="1:22" x14ac:dyDescent="0.2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/>
      <c r="O38" s="9"/>
      <c r="P38" s="9"/>
      <c r="Q38" s="9"/>
      <c r="R38" s="10"/>
      <c r="S38" s="8">
        <f t="shared" si="2"/>
        <v>0.8</v>
      </c>
      <c r="T38" s="8">
        <f t="shared" si="2"/>
        <v>0.08</v>
      </c>
      <c r="U38" s="8">
        <f t="shared" si="2"/>
        <v>1.571</v>
      </c>
      <c r="V38" s="8">
        <f t="shared" si="2"/>
        <v>1.571</v>
      </c>
    </row>
    <row r="39" spans="1:22" x14ac:dyDescent="0.2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/>
      <c r="O39" s="9"/>
      <c r="P39" s="9"/>
      <c r="Q39" s="9"/>
      <c r="R39" s="10"/>
      <c r="S39" s="8">
        <f t="shared" si="2"/>
        <v>0.7</v>
      </c>
      <c r="T39" s="8">
        <f t="shared" si="2"/>
        <v>0.16</v>
      </c>
      <c r="U39" s="8">
        <f t="shared" si="2"/>
        <v>1.571</v>
      </c>
      <c r="V39" s="8">
        <f t="shared" si="2"/>
        <v>1.571</v>
      </c>
    </row>
    <row r="40" spans="1:22" x14ac:dyDescent="0.2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/>
      <c r="O40" s="9"/>
      <c r="P40" s="9"/>
      <c r="Q40" s="9"/>
      <c r="R40" s="10"/>
      <c r="S40" s="8">
        <f t="shared" si="2"/>
        <v>0.7</v>
      </c>
      <c r="T40" s="8">
        <f t="shared" si="2"/>
        <v>0.2</v>
      </c>
      <c r="U40" s="8">
        <f t="shared" si="2"/>
        <v>1.571</v>
      </c>
      <c r="V40" s="8">
        <f t="shared" si="2"/>
        <v>1.571</v>
      </c>
    </row>
    <row r="41" spans="1:22" x14ac:dyDescent="0.2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/>
      <c r="O41" s="9"/>
      <c r="P41" s="9"/>
      <c r="Q41" s="9"/>
      <c r="R41" s="10"/>
      <c r="S41" s="8">
        <f t="shared" si="2"/>
        <v>0.7</v>
      </c>
      <c r="T41" s="8">
        <f t="shared" si="2"/>
        <v>0.06</v>
      </c>
      <c r="U41" s="8">
        <f t="shared" si="2"/>
        <v>3.665</v>
      </c>
      <c r="V41" s="8">
        <f t="shared" si="2"/>
        <v>0.78500000000000003</v>
      </c>
    </row>
    <row r="42" spans="1:22" x14ac:dyDescent="0.2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/>
      <c r="O42" s="9"/>
      <c r="P42" s="9"/>
      <c r="Q42" s="9"/>
      <c r="R42" s="10"/>
      <c r="S42" s="8">
        <f t="shared" si="2"/>
        <v>0.6</v>
      </c>
      <c r="T42" s="8">
        <f t="shared" si="2"/>
        <v>0.1</v>
      </c>
      <c r="U42" s="8">
        <f t="shared" si="2"/>
        <v>3.665</v>
      </c>
      <c r="V42" s="8">
        <f t="shared" si="2"/>
        <v>0.78500000000000003</v>
      </c>
    </row>
    <row r="43" spans="1:22" x14ac:dyDescent="0.2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/>
      <c r="O43" s="9"/>
      <c r="P43" s="9"/>
      <c r="Q43" s="9"/>
      <c r="R43" s="10"/>
      <c r="S43" s="8">
        <f t="shared" si="2"/>
        <v>0.8</v>
      </c>
      <c r="T43" s="8">
        <f t="shared" si="2"/>
        <v>0.18</v>
      </c>
      <c r="U43" s="8">
        <f t="shared" si="2"/>
        <v>3.665</v>
      </c>
      <c r="V43" s="8">
        <f t="shared" si="2"/>
        <v>0.78500000000000003</v>
      </c>
    </row>
    <row r="44" spans="1:22" x14ac:dyDescent="0.2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/>
      <c r="O44" s="9"/>
      <c r="P44" s="9"/>
      <c r="Q44" s="9"/>
      <c r="R44" s="10"/>
      <c r="S44" s="8">
        <f t="shared" si="2"/>
        <v>0.4</v>
      </c>
      <c r="T44" s="8">
        <f t="shared" si="2"/>
        <v>0.2</v>
      </c>
      <c r="U44" s="8">
        <f t="shared" si="2"/>
        <v>3.665</v>
      </c>
      <c r="V44" s="8">
        <f t="shared" si="2"/>
        <v>0.78500000000000003</v>
      </c>
    </row>
    <row r="45" spans="1:22" x14ac:dyDescent="0.2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/>
      <c r="O45" s="9"/>
      <c r="P45" s="9"/>
      <c r="Q45" s="9"/>
      <c r="R45" s="10"/>
      <c r="S45" s="8">
        <f t="shared" si="2"/>
        <v>0.4</v>
      </c>
      <c r="T45" s="8">
        <f t="shared" si="2"/>
        <v>0.1</v>
      </c>
      <c r="U45" s="8">
        <f t="shared" si="2"/>
        <v>3.665</v>
      </c>
      <c r="V45" s="8">
        <f t="shared" si="2"/>
        <v>1.571</v>
      </c>
    </row>
    <row r="46" spans="1:22" x14ac:dyDescent="0.2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/>
      <c r="O46" s="9"/>
      <c r="P46" s="9"/>
      <c r="Q46" s="9"/>
      <c r="R46" s="10"/>
      <c r="S46" s="8">
        <f t="shared" si="2"/>
        <v>0.7</v>
      </c>
      <c r="T46" s="8">
        <f t="shared" si="2"/>
        <v>0.1</v>
      </c>
      <c r="U46" s="8">
        <f t="shared" si="2"/>
        <v>3.665</v>
      </c>
      <c r="V46" s="8">
        <f t="shared" si="2"/>
        <v>1.571</v>
      </c>
    </row>
    <row r="47" spans="1:22" x14ac:dyDescent="0.2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/>
      <c r="O47" s="9"/>
      <c r="P47" s="9"/>
      <c r="Q47" s="9"/>
      <c r="R47" s="10"/>
      <c r="S47" s="8">
        <f t="shared" si="2"/>
        <v>0.4</v>
      </c>
      <c r="T47" s="8">
        <f t="shared" si="2"/>
        <v>0.16</v>
      </c>
      <c r="U47" s="8">
        <f t="shared" si="2"/>
        <v>3.665</v>
      </c>
      <c r="V47" s="8">
        <f t="shared" si="2"/>
        <v>1.571</v>
      </c>
    </row>
    <row r="48" spans="1:22" x14ac:dyDescent="0.2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/>
      <c r="O48" s="9"/>
      <c r="P48" s="9"/>
      <c r="Q48" s="9"/>
      <c r="R48" s="10"/>
      <c r="S48" s="8">
        <f t="shared" si="2"/>
        <v>0.3</v>
      </c>
      <c r="T48" s="8">
        <f t="shared" si="2"/>
        <v>0.18</v>
      </c>
      <c r="U48" s="8">
        <f t="shared" si="2"/>
        <v>3.665</v>
      </c>
      <c r="V48" s="8">
        <f t="shared" si="2"/>
        <v>1.571</v>
      </c>
    </row>
    <row r="49" spans="1:22" x14ac:dyDescent="0.2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/>
      <c r="O49" s="9"/>
      <c r="P49" s="9"/>
      <c r="Q49" s="9"/>
      <c r="R49" s="10"/>
      <c r="S49" s="8">
        <f t="shared" si="2"/>
        <v>0.3</v>
      </c>
      <c r="T49" s="8">
        <f t="shared" si="2"/>
        <v>0.08</v>
      </c>
      <c r="U49" s="8">
        <f t="shared" si="2"/>
        <v>1.571</v>
      </c>
      <c r="V49" s="8">
        <f t="shared" si="2"/>
        <v>0.78500000000000003</v>
      </c>
    </row>
    <row r="50" spans="1:22" x14ac:dyDescent="0.2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/>
      <c r="O50" s="9"/>
      <c r="P50" s="9"/>
      <c r="Q50" s="9"/>
      <c r="R50" s="10"/>
      <c r="S50" s="8">
        <f t="shared" si="2"/>
        <v>0.4</v>
      </c>
      <c r="T50" s="8">
        <f t="shared" si="2"/>
        <v>0.14000000000000001</v>
      </c>
      <c r="U50" s="8">
        <f t="shared" si="2"/>
        <v>1.571</v>
      </c>
      <c r="V50" s="8">
        <f t="shared" si="2"/>
        <v>0.78500000000000003</v>
      </c>
    </row>
    <row r="51" spans="1:22" x14ac:dyDescent="0.2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/>
      <c r="O51" s="9"/>
      <c r="P51" s="9"/>
      <c r="Q51" s="9"/>
      <c r="R51" s="10"/>
      <c r="S51" s="8">
        <f t="shared" si="2"/>
        <v>0.6</v>
      </c>
      <c r="T51" s="8">
        <f t="shared" si="2"/>
        <v>0.16</v>
      </c>
      <c r="U51" s="8">
        <f t="shared" si="2"/>
        <v>1.571</v>
      </c>
      <c r="V51" s="8">
        <f t="shared" si="2"/>
        <v>0.78500000000000003</v>
      </c>
    </row>
    <row r="52" spans="1:22" x14ac:dyDescent="0.2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/>
      <c r="O52" s="9"/>
      <c r="P52" s="9"/>
      <c r="Q52" s="9"/>
      <c r="R52" s="10"/>
      <c r="S52" s="8">
        <f t="shared" si="2"/>
        <v>0.4</v>
      </c>
      <c r="T52" s="8">
        <f t="shared" si="2"/>
        <v>0.06</v>
      </c>
      <c r="U52" s="8">
        <f t="shared" si="2"/>
        <v>1.571</v>
      </c>
      <c r="V52" s="8">
        <f t="shared" si="2"/>
        <v>1.571</v>
      </c>
    </row>
    <row r="53" spans="1:22" x14ac:dyDescent="0.2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/>
      <c r="O53" s="9"/>
      <c r="P53" s="9"/>
      <c r="Q53" s="9"/>
      <c r="R53" s="10"/>
      <c r="S53" s="8">
        <f t="shared" si="2"/>
        <v>0.8</v>
      </c>
      <c r="T53" s="8">
        <f t="shared" si="2"/>
        <v>0.08</v>
      </c>
      <c r="U53" s="8">
        <f t="shared" si="2"/>
        <v>1.571</v>
      </c>
      <c r="V53" s="8">
        <f t="shared" si="2"/>
        <v>1.571</v>
      </c>
    </row>
    <row r="54" spans="1:22" x14ac:dyDescent="0.2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/>
      <c r="O54" s="9"/>
      <c r="P54" s="9"/>
      <c r="Q54" s="9"/>
      <c r="R54" s="10"/>
      <c r="S54" s="8">
        <f t="shared" si="2"/>
        <v>0.7</v>
      </c>
      <c r="T54" s="8">
        <f t="shared" si="2"/>
        <v>0.16</v>
      </c>
      <c r="U54" s="8">
        <f t="shared" si="2"/>
        <v>1.571</v>
      </c>
      <c r="V54" s="8">
        <f t="shared" si="2"/>
        <v>1.571</v>
      </c>
    </row>
    <row r="55" spans="1:22" x14ac:dyDescent="0.2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/>
      <c r="O55" s="9"/>
      <c r="P55" s="9"/>
      <c r="Q55" s="9"/>
      <c r="R55" s="10"/>
      <c r="S55" s="8">
        <f t="shared" si="2"/>
        <v>0.7</v>
      </c>
      <c r="T55" s="8">
        <f t="shared" si="2"/>
        <v>0.2</v>
      </c>
      <c r="U55" s="8">
        <f t="shared" si="2"/>
        <v>1.571</v>
      </c>
      <c r="V55" s="8">
        <f t="shared" si="2"/>
        <v>1.571</v>
      </c>
    </row>
    <row r="56" spans="1:22" x14ac:dyDescent="0.2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/>
      <c r="O56" s="9"/>
      <c r="P56" s="9"/>
      <c r="Q56" s="9"/>
      <c r="R56" s="10"/>
      <c r="S56" s="8">
        <f t="shared" si="2"/>
        <v>0.7</v>
      </c>
      <c r="T56" s="8">
        <f t="shared" si="2"/>
        <v>0.06</v>
      </c>
      <c r="U56" s="8">
        <f t="shared" si="2"/>
        <v>3.665</v>
      </c>
      <c r="V56" s="8">
        <f t="shared" si="2"/>
        <v>0.78500000000000003</v>
      </c>
    </row>
    <row r="57" spans="1:22" x14ac:dyDescent="0.2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/>
      <c r="O57" s="9"/>
      <c r="P57" s="9"/>
      <c r="Q57" s="9"/>
      <c r="R57" s="10"/>
      <c r="S57" s="8">
        <f t="shared" si="2"/>
        <v>0.6</v>
      </c>
      <c r="T57" s="8">
        <f t="shared" si="2"/>
        <v>0.1</v>
      </c>
      <c r="U57" s="8">
        <f t="shared" si="2"/>
        <v>3.665</v>
      </c>
      <c r="V57" s="8">
        <f t="shared" si="2"/>
        <v>0.78500000000000003</v>
      </c>
    </row>
    <row r="58" spans="1:22" x14ac:dyDescent="0.2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/>
      <c r="O58" s="9"/>
      <c r="P58" s="9"/>
      <c r="Q58" s="9"/>
      <c r="R58" s="10"/>
      <c r="S58" s="8">
        <f t="shared" si="2"/>
        <v>0.8</v>
      </c>
      <c r="T58" s="8">
        <f t="shared" si="2"/>
        <v>0.18</v>
      </c>
      <c r="U58" s="8">
        <f t="shared" si="2"/>
        <v>3.665</v>
      </c>
      <c r="V58" s="8">
        <f t="shared" si="2"/>
        <v>0.78500000000000003</v>
      </c>
    </row>
    <row r="59" spans="1:22" x14ac:dyDescent="0.2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/>
      <c r="O59" s="9"/>
      <c r="P59" s="9"/>
      <c r="Q59" s="9"/>
      <c r="R59" s="10"/>
      <c r="S59" s="8">
        <f t="shared" si="2"/>
        <v>0.4</v>
      </c>
      <c r="T59" s="8">
        <f t="shared" si="2"/>
        <v>0.2</v>
      </c>
      <c r="U59" s="8">
        <f t="shared" si="2"/>
        <v>3.665</v>
      </c>
      <c r="V59" s="8">
        <f t="shared" si="2"/>
        <v>0.78500000000000003</v>
      </c>
    </row>
    <row r="60" spans="1:22" x14ac:dyDescent="0.2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/>
      <c r="O60" s="9"/>
      <c r="P60" s="9"/>
      <c r="Q60" s="9"/>
      <c r="R60" s="10"/>
      <c r="S60" s="8">
        <f t="shared" si="2"/>
        <v>0.4</v>
      </c>
      <c r="T60" s="8">
        <f t="shared" si="2"/>
        <v>0.1</v>
      </c>
      <c r="U60" s="8">
        <f t="shared" si="2"/>
        <v>3.665</v>
      </c>
      <c r="V60" s="8">
        <f t="shared" si="2"/>
        <v>1.571</v>
      </c>
    </row>
    <row r="61" spans="1:22" x14ac:dyDescent="0.2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/>
      <c r="O61" s="9"/>
      <c r="P61" s="9"/>
      <c r="Q61" s="9"/>
      <c r="R61" s="10"/>
      <c r="S61" s="8">
        <f t="shared" si="2"/>
        <v>0.7</v>
      </c>
      <c r="T61" s="8">
        <f t="shared" si="2"/>
        <v>0.1</v>
      </c>
      <c r="U61" s="8">
        <f t="shared" si="2"/>
        <v>3.665</v>
      </c>
      <c r="V61" s="8">
        <f t="shared" si="2"/>
        <v>1.571</v>
      </c>
    </row>
    <row r="62" spans="1:22" x14ac:dyDescent="0.2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/>
      <c r="O62" s="9"/>
      <c r="P62" s="9"/>
      <c r="Q62" s="9"/>
      <c r="R62" s="10"/>
      <c r="S62" s="8">
        <f t="shared" si="2"/>
        <v>0.4</v>
      </c>
      <c r="T62" s="8">
        <f t="shared" si="2"/>
        <v>0.16</v>
      </c>
      <c r="U62" s="8">
        <f t="shared" si="2"/>
        <v>3.665</v>
      </c>
      <c r="V62" s="8">
        <f t="shared" si="2"/>
        <v>1.571</v>
      </c>
    </row>
    <row r="63" spans="1:22" x14ac:dyDescent="0.2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/>
      <c r="O63" s="9"/>
      <c r="P63" s="9"/>
      <c r="Q63" s="9"/>
      <c r="R63" s="10"/>
      <c r="S63" s="8">
        <f t="shared" si="2"/>
        <v>0.3</v>
      </c>
      <c r="T63" s="8">
        <f t="shared" si="2"/>
        <v>0.18</v>
      </c>
      <c r="U63" s="8">
        <f t="shared" si="2"/>
        <v>3.665</v>
      </c>
      <c r="V63" s="8">
        <f t="shared" si="2"/>
        <v>1.571</v>
      </c>
    </row>
    <row r="64" spans="1:22" x14ac:dyDescent="0.2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/>
      <c r="O64" s="9"/>
      <c r="P64" s="9"/>
      <c r="Q64" s="9"/>
      <c r="R64" s="10"/>
      <c r="S64" s="8">
        <f t="shared" si="2"/>
        <v>0.3</v>
      </c>
      <c r="T64" s="8">
        <f t="shared" si="2"/>
        <v>0.08</v>
      </c>
      <c r="U64" s="8">
        <f t="shared" si="2"/>
        <v>1.571</v>
      </c>
      <c r="V64" s="8">
        <f t="shared" si="2"/>
        <v>0.78500000000000003</v>
      </c>
    </row>
    <row r="65" spans="1:22" x14ac:dyDescent="0.2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/>
      <c r="O65" s="9"/>
      <c r="P65" s="9"/>
      <c r="Q65" s="9"/>
      <c r="R65" s="10"/>
      <c r="S65" s="8">
        <f t="shared" si="2"/>
        <v>0.4</v>
      </c>
      <c r="T65" s="8">
        <f t="shared" si="2"/>
        <v>0.14000000000000001</v>
      </c>
      <c r="U65" s="8">
        <f t="shared" si="2"/>
        <v>1.571</v>
      </c>
      <c r="V65" s="8">
        <f t="shared" si="2"/>
        <v>0.78500000000000003</v>
      </c>
    </row>
    <row r="66" spans="1:22" x14ac:dyDescent="0.2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/>
      <c r="O66" s="9"/>
      <c r="P66" s="9"/>
      <c r="Q66" s="9"/>
      <c r="R66" s="10"/>
      <c r="S66" s="8">
        <f t="shared" si="2"/>
        <v>0.6</v>
      </c>
      <c r="T66" s="8">
        <f t="shared" si="2"/>
        <v>0.16</v>
      </c>
      <c r="U66" s="8">
        <f t="shared" si="2"/>
        <v>1.571</v>
      </c>
      <c r="V66" s="8">
        <f t="shared" si="2"/>
        <v>0.78500000000000003</v>
      </c>
    </row>
    <row r="67" spans="1:22" x14ac:dyDescent="0.2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/>
      <c r="O67" s="9"/>
      <c r="P67" s="9"/>
      <c r="Q67" s="9"/>
      <c r="R67" s="10"/>
      <c r="S67" s="8">
        <f t="shared" si="2"/>
        <v>0.4</v>
      </c>
      <c r="T67" s="8">
        <f t="shared" si="2"/>
        <v>0.06</v>
      </c>
      <c r="U67" s="8">
        <f t="shared" si="2"/>
        <v>1.571</v>
      </c>
      <c r="V67" s="8">
        <f t="shared" si="2"/>
        <v>1.571</v>
      </c>
    </row>
    <row r="68" spans="1:22" x14ac:dyDescent="0.2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/>
      <c r="O68" s="9"/>
      <c r="P68" s="9"/>
      <c r="Q68" s="9"/>
      <c r="R68" s="10"/>
      <c r="S68" s="8">
        <f t="shared" si="2"/>
        <v>0.8</v>
      </c>
      <c r="T68" s="8">
        <f t="shared" si="2"/>
        <v>0.08</v>
      </c>
      <c r="U68" s="8">
        <f t="shared" si="2"/>
        <v>1.571</v>
      </c>
      <c r="V68" s="8">
        <f t="shared" si="2"/>
        <v>1.571</v>
      </c>
    </row>
    <row r="69" spans="1:22" x14ac:dyDescent="0.2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/>
      <c r="O69" s="9"/>
      <c r="P69" s="9"/>
      <c r="Q69" s="9"/>
      <c r="R69" s="10"/>
      <c r="S69" s="8">
        <f t="shared" ref="S69:V78" si="3">ABS(N69-A69)</f>
        <v>0.7</v>
      </c>
      <c r="T69" s="8">
        <f t="shared" si="3"/>
        <v>0.16</v>
      </c>
      <c r="U69" s="8">
        <f t="shared" si="3"/>
        <v>1.571</v>
      </c>
      <c r="V69" s="8">
        <f t="shared" si="3"/>
        <v>1.571</v>
      </c>
    </row>
    <row r="70" spans="1:22" x14ac:dyDescent="0.2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/>
      <c r="O70" s="9"/>
      <c r="P70" s="9"/>
      <c r="Q70" s="9"/>
      <c r="R70" s="10"/>
      <c r="S70" s="8">
        <f t="shared" si="3"/>
        <v>0.7</v>
      </c>
      <c r="T70" s="8">
        <f t="shared" si="3"/>
        <v>0.2</v>
      </c>
      <c r="U70" s="8">
        <f t="shared" si="3"/>
        <v>1.571</v>
      </c>
      <c r="V70" s="8">
        <f t="shared" si="3"/>
        <v>1.571</v>
      </c>
    </row>
    <row r="71" spans="1:22" x14ac:dyDescent="0.2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/>
      <c r="O71" s="9"/>
      <c r="P71" s="9"/>
      <c r="Q71" s="9"/>
      <c r="R71" s="10"/>
      <c r="S71" s="8">
        <f t="shared" si="3"/>
        <v>0.7</v>
      </c>
      <c r="T71" s="8">
        <f t="shared" si="3"/>
        <v>0.06</v>
      </c>
      <c r="U71" s="8">
        <f t="shared" si="3"/>
        <v>3.665</v>
      </c>
      <c r="V71" s="8">
        <f t="shared" si="3"/>
        <v>0.78500000000000003</v>
      </c>
    </row>
    <row r="72" spans="1:22" x14ac:dyDescent="0.2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/>
      <c r="O72" s="9"/>
      <c r="P72" s="9"/>
      <c r="Q72" s="9"/>
      <c r="R72" s="10"/>
      <c r="S72" s="8">
        <f t="shared" si="3"/>
        <v>0.6</v>
      </c>
      <c r="T72" s="8">
        <f t="shared" si="3"/>
        <v>0.1</v>
      </c>
      <c r="U72" s="8">
        <f t="shared" si="3"/>
        <v>3.665</v>
      </c>
      <c r="V72" s="8">
        <f t="shared" si="3"/>
        <v>0.78500000000000003</v>
      </c>
    </row>
    <row r="73" spans="1:22" x14ac:dyDescent="0.2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/>
      <c r="O73" s="9"/>
      <c r="P73" s="9"/>
      <c r="Q73" s="9"/>
      <c r="R73" s="10"/>
      <c r="S73" s="8">
        <f t="shared" si="3"/>
        <v>0.8</v>
      </c>
      <c r="T73" s="8">
        <f t="shared" si="3"/>
        <v>0.18</v>
      </c>
      <c r="U73" s="8">
        <f t="shared" si="3"/>
        <v>3.665</v>
      </c>
      <c r="V73" s="8">
        <f t="shared" si="3"/>
        <v>0.78500000000000003</v>
      </c>
    </row>
    <row r="74" spans="1:22" x14ac:dyDescent="0.2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/>
      <c r="O74" s="9"/>
      <c r="P74" s="9"/>
      <c r="Q74" s="9"/>
      <c r="R74" s="10"/>
      <c r="S74" s="8">
        <f t="shared" si="3"/>
        <v>0.4</v>
      </c>
      <c r="T74" s="8">
        <f t="shared" si="3"/>
        <v>0.2</v>
      </c>
      <c r="U74" s="8">
        <f t="shared" si="3"/>
        <v>3.665</v>
      </c>
      <c r="V74" s="8">
        <f t="shared" si="3"/>
        <v>0.78500000000000003</v>
      </c>
    </row>
    <row r="75" spans="1:22" x14ac:dyDescent="0.2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/>
      <c r="O75" s="9"/>
      <c r="P75" s="9"/>
      <c r="Q75" s="9"/>
      <c r="R75" s="10"/>
      <c r="S75" s="8">
        <f t="shared" si="3"/>
        <v>0.4</v>
      </c>
      <c r="T75" s="8">
        <f t="shared" si="3"/>
        <v>0.1</v>
      </c>
      <c r="U75" s="8">
        <f t="shared" si="3"/>
        <v>3.665</v>
      </c>
      <c r="V75" s="8">
        <f t="shared" si="3"/>
        <v>1.571</v>
      </c>
    </row>
    <row r="76" spans="1:22" x14ac:dyDescent="0.2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/>
      <c r="O76" s="9"/>
      <c r="P76" s="9"/>
      <c r="Q76" s="9"/>
      <c r="R76" s="10"/>
      <c r="S76" s="8">
        <f t="shared" si="3"/>
        <v>0.7</v>
      </c>
      <c r="T76" s="8">
        <f t="shared" si="3"/>
        <v>0.1</v>
      </c>
      <c r="U76" s="8">
        <f t="shared" si="3"/>
        <v>3.665</v>
      </c>
      <c r="V76" s="8">
        <f t="shared" si="3"/>
        <v>1.571</v>
      </c>
    </row>
    <row r="77" spans="1:22" x14ac:dyDescent="0.2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/>
      <c r="O77" s="9"/>
      <c r="P77" s="9"/>
      <c r="Q77" s="9"/>
      <c r="R77" s="10"/>
      <c r="S77" s="8">
        <f t="shared" si="3"/>
        <v>0.4</v>
      </c>
      <c r="T77" s="8">
        <f t="shared" si="3"/>
        <v>0.16</v>
      </c>
      <c r="U77" s="8">
        <f t="shared" si="3"/>
        <v>3.665</v>
      </c>
      <c r="V77" s="8">
        <f t="shared" si="3"/>
        <v>1.571</v>
      </c>
    </row>
    <row r="78" spans="1:22" x14ac:dyDescent="0.2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/>
      <c r="O78" s="9"/>
      <c r="P78" s="9"/>
      <c r="Q78" s="9"/>
      <c r="R78" s="10"/>
      <c r="S78" s="8">
        <f t="shared" si="3"/>
        <v>0.3</v>
      </c>
      <c r="T78" s="8">
        <f t="shared" si="3"/>
        <v>0.18</v>
      </c>
      <c r="U78" s="8">
        <f t="shared" si="3"/>
        <v>3.665</v>
      </c>
      <c r="V78" s="8">
        <f t="shared" si="3"/>
        <v>1.571</v>
      </c>
    </row>
    <row r="79" spans="1:22" x14ac:dyDescent="0.2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2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2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2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2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2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2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2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2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2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2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2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2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2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2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2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2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2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2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2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2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2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2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2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2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2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2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2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2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2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2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2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2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2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2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2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2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2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2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2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2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2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2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2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2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2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2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2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2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2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2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2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2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2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2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2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2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2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2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2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2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2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2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2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2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2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2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2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2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2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2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2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2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2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2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</sheetData>
  <mergeCells count="6">
    <mergeCell ref="W2:Y2"/>
    <mergeCell ref="A1:V1"/>
    <mergeCell ref="A2:G2"/>
    <mergeCell ref="H2:M2"/>
    <mergeCell ref="N2:R2"/>
    <mergeCell ref="S2:U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Q11" sqref="Q11"/>
    </sheetView>
  </sheetViews>
  <sheetFormatPr defaultRowHeight="15" x14ac:dyDescent="0.25"/>
  <sheetData>
    <row r="1" spans="1:13" ht="15.75" x14ac:dyDescent="0.25">
      <c r="A1" s="28" t="s">
        <v>23</v>
      </c>
      <c r="B1" s="29"/>
      <c r="C1" s="29"/>
      <c r="D1" s="29"/>
      <c r="E1" s="29"/>
      <c r="F1" s="30"/>
      <c r="H1" s="28" t="s">
        <v>24</v>
      </c>
      <c r="I1" s="29"/>
      <c r="J1" s="29"/>
      <c r="K1" s="29"/>
      <c r="L1" s="29"/>
      <c r="M1" s="30"/>
    </row>
    <row r="2" spans="1:13" ht="15.75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H2" s="3" t="s">
        <v>20</v>
      </c>
      <c r="I2" s="3" t="s">
        <v>21</v>
      </c>
      <c r="J2" s="3" t="s">
        <v>22</v>
      </c>
      <c r="K2" s="3" t="s">
        <v>17</v>
      </c>
      <c r="L2" s="3" t="s">
        <v>18</v>
      </c>
      <c r="M2" s="3" t="s">
        <v>19</v>
      </c>
    </row>
    <row r="3" spans="1:13" x14ac:dyDescent="0.25">
      <c r="A3">
        <v>0.19288232922553999</v>
      </c>
      <c r="B3">
        <v>-1.13257020711899E-3</v>
      </c>
      <c r="C3">
        <v>0.185834720730782</v>
      </c>
      <c r="D3">
        <v>5.6162860710173802E-4</v>
      </c>
      <c r="E3">
        <v>3.2978262752294499E-2</v>
      </c>
      <c r="F3" s="5">
        <v>2.6342464843764901E-4</v>
      </c>
      <c r="H3">
        <f>$F3</f>
        <v>2.6342464843764901E-4</v>
      </c>
      <c r="I3">
        <f>-1*$E3</f>
        <v>-3.2978262752294499E-2</v>
      </c>
      <c r="J3">
        <f>$D3</f>
        <v>5.6162860710173802E-4</v>
      </c>
      <c r="K3">
        <f>$C3</f>
        <v>0.185834720730782</v>
      </c>
      <c r="L3">
        <f>-1*$B3</f>
        <v>1.13257020711899E-3</v>
      </c>
      <c r="M3">
        <f>$A3</f>
        <v>0.19288232922553999</v>
      </c>
    </row>
    <row r="4" spans="1:13" x14ac:dyDescent="0.25">
      <c r="A4">
        <v>0.27653545141220098</v>
      </c>
      <c r="B4">
        <v>-1.07369087636471E-2</v>
      </c>
      <c r="C4">
        <v>0.25303724408149703</v>
      </c>
      <c r="D4">
        <v>2.5845002382993698E-3</v>
      </c>
      <c r="E4">
        <v>6.2425632029771798E-2</v>
      </c>
      <c r="F4">
        <v>-4.3474312406033299E-4</v>
      </c>
      <c r="H4">
        <f t="shared" ref="H4:H28" si="0">$F4</f>
        <v>-4.3474312406033299E-4</v>
      </c>
      <c r="I4">
        <f t="shared" ref="I4:I28" si="1">-1*$E4</f>
        <v>-6.2425632029771798E-2</v>
      </c>
      <c r="J4">
        <f t="shared" ref="J4:J28" si="2">$D4</f>
        <v>2.5845002382993698E-3</v>
      </c>
      <c r="K4">
        <f t="shared" ref="K4:K28" si="3">$C4</f>
        <v>0.25303724408149703</v>
      </c>
      <c r="L4">
        <f t="shared" ref="L4:L28" si="4">-1*$B4</f>
        <v>1.07369087636471E-2</v>
      </c>
      <c r="M4">
        <f t="shared" ref="M4:M28" si="5">$A4</f>
        <v>0.27653545141220098</v>
      </c>
    </row>
    <row r="5" spans="1:13" x14ac:dyDescent="0.25">
      <c r="A5">
        <v>0.52633810043335005</v>
      </c>
      <c r="B5">
        <v>2.4467468261718799E-2</v>
      </c>
      <c r="C5">
        <v>0.26806160807609603</v>
      </c>
      <c r="D5">
        <v>-8.3989212289452605E-3</v>
      </c>
      <c r="E5">
        <v>0.12275674194097499</v>
      </c>
      <c r="F5">
        <v>5.3234044462442398E-3</v>
      </c>
      <c r="H5">
        <f t="shared" si="0"/>
        <v>5.3234044462442398E-3</v>
      </c>
      <c r="I5">
        <f t="shared" si="1"/>
        <v>-0.12275674194097499</v>
      </c>
      <c r="J5">
        <f t="shared" si="2"/>
        <v>-8.3989212289452605E-3</v>
      </c>
      <c r="K5">
        <f t="shared" si="3"/>
        <v>0.26806160807609603</v>
      </c>
      <c r="L5">
        <f t="shared" si="4"/>
        <v>-2.4467468261718799E-2</v>
      </c>
      <c r="M5">
        <f t="shared" si="5"/>
        <v>0.52633810043335005</v>
      </c>
    </row>
    <row r="6" spans="1:13" x14ac:dyDescent="0.25">
      <c r="A6">
        <v>0.423814177513123</v>
      </c>
      <c r="B6">
        <v>-7.3561742901802098E-3</v>
      </c>
      <c r="C6">
        <v>-3.97013984620571E-2</v>
      </c>
      <c r="D6">
        <v>1.6002767952158999E-3</v>
      </c>
      <c r="E6">
        <v>6.6750191152095795E-2</v>
      </c>
      <c r="F6">
        <v>6.7002582363784302E-4</v>
      </c>
      <c r="H6">
        <f t="shared" si="0"/>
        <v>6.7002582363784302E-4</v>
      </c>
      <c r="I6">
        <f t="shared" si="1"/>
        <v>-6.6750191152095795E-2</v>
      </c>
      <c r="J6">
        <f t="shared" si="2"/>
        <v>1.6002767952158999E-3</v>
      </c>
      <c r="K6">
        <f t="shared" si="3"/>
        <v>-3.97013984620571E-2</v>
      </c>
      <c r="L6">
        <f t="shared" si="4"/>
        <v>7.3561742901802098E-3</v>
      </c>
      <c r="M6">
        <f t="shared" si="5"/>
        <v>0.423814177513123</v>
      </c>
    </row>
    <row r="7" spans="1:13" x14ac:dyDescent="0.25">
      <c r="A7">
        <v>0.82944488525390603</v>
      </c>
      <c r="B7">
        <v>-2.0262047648429898E-2</v>
      </c>
      <c r="C7">
        <v>-0.161362335085869</v>
      </c>
      <c r="D7">
        <v>3.4220633096993E-3</v>
      </c>
      <c r="E7">
        <v>0.14775538444519001</v>
      </c>
      <c r="F7">
        <v>7.4092089198529699E-4</v>
      </c>
      <c r="H7">
        <f t="shared" si="0"/>
        <v>7.4092089198529699E-4</v>
      </c>
      <c r="I7">
        <f t="shared" si="1"/>
        <v>-0.14775538444519001</v>
      </c>
      <c r="J7">
        <f t="shared" si="2"/>
        <v>3.4220633096993E-3</v>
      </c>
      <c r="K7">
        <f t="shared" si="3"/>
        <v>-0.161362335085869</v>
      </c>
      <c r="L7">
        <f t="shared" si="4"/>
        <v>2.0262047648429898E-2</v>
      </c>
      <c r="M7">
        <f t="shared" si="5"/>
        <v>0.82944488525390603</v>
      </c>
    </row>
    <row r="8" spans="1:13" x14ac:dyDescent="0.25">
      <c r="A8">
        <v>0.489793181419373</v>
      </c>
      <c r="B8">
        <v>2.19946205615997E-2</v>
      </c>
      <c r="C8">
        <v>-0.444706320762634</v>
      </c>
      <c r="D8">
        <v>-1.0527462000027299E-3</v>
      </c>
      <c r="E8">
        <v>0.148307904601097</v>
      </c>
      <c r="F8">
        <v>6.6551081836223602E-3</v>
      </c>
      <c r="H8">
        <f t="shared" si="0"/>
        <v>6.6551081836223602E-3</v>
      </c>
      <c r="I8">
        <f t="shared" si="1"/>
        <v>-0.148307904601097</v>
      </c>
      <c r="J8">
        <f t="shared" si="2"/>
        <v>-1.0527462000027299E-3</v>
      </c>
      <c r="K8">
        <f t="shared" si="3"/>
        <v>-0.444706320762634</v>
      </c>
      <c r="L8">
        <f t="shared" si="4"/>
        <v>-2.19946205615997E-2</v>
      </c>
      <c r="M8">
        <f t="shared" si="5"/>
        <v>0.489793181419373</v>
      </c>
    </row>
    <row r="9" spans="1:13" x14ac:dyDescent="0.25">
      <c r="A9">
        <v>0.38755592703819303</v>
      </c>
      <c r="B9">
        <v>-7.8071318566799199E-3</v>
      </c>
      <c r="C9">
        <v>-0.58729076385498002</v>
      </c>
      <c r="D9">
        <v>3.7763002328574701E-3</v>
      </c>
      <c r="E9">
        <v>0.164488449692726</v>
      </c>
      <c r="F9">
        <v>8.7637116666883198E-4</v>
      </c>
      <c r="H9">
        <f t="shared" si="0"/>
        <v>8.7637116666883198E-4</v>
      </c>
      <c r="I9">
        <f t="shared" si="1"/>
        <v>-0.164488449692726</v>
      </c>
      <c r="J9">
        <f t="shared" si="2"/>
        <v>3.7763002328574701E-3</v>
      </c>
      <c r="K9">
        <f t="shared" si="3"/>
        <v>-0.58729076385498002</v>
      </c>
      <c r="L9">
        <f t="shared" si="4"/>
        <v>7.8071318566799199E-3</v>
      </c>
      <c r="M9">
        <f t="shared" si="5"/>
        <v>0.38755592703819303</v>
      </c>
    </row>
    <row r="10" spans="1:13" x14ac:dyDescent="0.25">
      <c r="A10">
        <v>-0.28817486763000499</v>
      </c>
      <c r="B10">
        <v>0.54026973247528098</v>
      </c>
      <c r="C10">
        <v>0.61245459318161</v>
      </c>
      <c r="D10">
        <v>-8.0319754779338795E-2</v>
      </c>
      <c r="E10">
        <v>-4.2902048677205998E-2</v>
      </c>
      <c r="F10">
        <v>-8.6323916912078901E-4</v>
      </c>
      <c r="H10">
        <f t="shared" si="0"/>
        <v>-8.6323916912078901E-4</v>
      </c>
      <c r="I10">
        <f t="shared" si="1"/>
        <v>4.2902048677205998E-2</v>
      </c>
      <c r="J10">
        <f t="shared" si="2"/>
        <v>-8.0319754779338795E-2</v>
      </c>
      <c r="K10">
        <f t="shared" si="3"/>
        <v>0.61245459318161</v>
      </c>
      <c r="L10">
        <f t="shared" si="4"/>
        <v>-0.54026973247528098</v>
      </c>
      <c r="M10">
        <f t="shared" si="5"/>
        <v>-0.28817486763000499</v>
      </c>
    </row>
    <row r="11" spans="1:13" x14ac:dyDescent="0.25">
      <c r="A11">
        <v>-0.22529536485672</v>
      </c>
      <c r="B11">
        <v>0.42717015743255599</v>
      </c>
      <c r="C11">
        <v>0.443310797214508</v>
      </c>
      <c r="D11">
        <v>-8.0293677747249603E-2</v>
      </c>
      <c r="E11">
        <v>-4.2666438966989503E-2</v>
      </c>
      <c r="F11">
        <v>-8.0120982602238698E-4</v>
      </c>
      <c r="H11">
        <f t="shared" si="0"/>
        <v>-8.0120982602238698E-4</v>
      </c>
      <c r="I11">
        <f t="shared" si="1"/>
        <v>4.2666438966989503E-2</v>
      </c>
      <c r="J11">
        <f t="shared" si="2"/>
        <v>-8.0293677747249603E-2</v>
      </c>
      <c r="K11">
        <f t="shared" si="3"/>
        <v>0.443310797214508</v>
      </c>
      <c r="L11">
        <f t="shared" si="4"/>
        <v>-0.42717015743255599</v>
      </c>
      <c r="M11">
        <f t="shared" si="5"/>
        <v>-0.22529536485672</v>
      </c>
    </row>
    <row r="12" spans="1:13" x14ac:dyDescent="0.25">
      <c r="A12">
        <v>-0.30630308389663702</v>
      </c>
      <c r="B12">
        <v>0.55125319957733199</v>
      </c>
      <c r="C12">
        <v>0.41918036341667197</v>
      </c>
      <c r="D12">
        <v>-0.13737398386001601</v>
      </c>
      <c r="E12">
        <v>-7.7956624329090105E-2</v>
      </c>
      <c r="F12">
        <v>-5.5334065109491301E-5</v>
      </c>
      <c r="H12">
        <f t="shared" si="0"/>
        <v>-5.5334065109491301E-5</v>
      </c>
      <c r="I12">
        <f t="shared" si="1"/>
        <v>7.7956624329090105E-2</v>
      </c>
      <c r="J12">
        <f t="shared" si="2"/>
        <v>-0.13737398386001601</v>
      </c>
      <c r="K12">
        <f t="shared" si="3"/>
        <v>0.41918036341667197</v>
      </c>
      <c r="L12">
        <f t="shared" si="4"/>
        <v>-0.55125319957733199</v>
      </c>
      <c r="M12">
        <f t="shared" si="5"/>
        <v>-0.30630308389663702</v>
      </c>
    </row>
    <row r="13" spans="1:13" x14ac:dyDescent="0.25">
      <c r="A13">
        <v>-0.115060687065125</v>
      </c>
      <c r="B13">
        <v>0.21448078751564001</v>
      </c>
      <c r="C13">
        <v>0.267098218202591</v>
      </c>
      <c r="D13">
        <v>-6.16564750671387E-2</v>
      </c>
      <c r="E13">
        <v>-3.4424368292093298E-2</v>
      </c>
      <c r="F13">
        <v>-9.6024014055728899E-5</v>
      </c>
      <c r="H13">
        <f t="shared" si="0"/>
        <v>-9.6024014055728899E-5</v>
      </c>
      <c r="I13">
        <f t="shared" si="1"/>
        <v>3.4424368292093298E-2</v>
      </c>
      <c r="J13">
        <f t="shared" si="2"/>
        <v>-6.16564750671387E-2</v>
      </c>
      <c r="K13">
        <f t="shared" si="3"/>
        <v>0.267098218202591</v>
      </c>
      <c r="L13">
        <f t="shared" si="4"/>
        <v>-0.21448078751564001</v>
      </c>
      <c r="M13">
        <f t="shared" si="5"/>
        <v>-0.115060687065125</v>
      </c>
    </row>
    <row r="14" spans="1:13" x14ac:dyDescent="0.25">
      <c r="A14">
        <v>-0.185297966003418</v>
      </c>
      <c r="B14">
        <v>0.33880779147148099</v>
      </c>
      <c r="C14">
        <v>1.67829748243093E-2</v>
      </c>
      <c r="D14">
        <v>-6.73996657133102E-2</v>
      </c>
      <c r="E14">
        <v>-3.7644270807504703E-2</v>
      </c>
      <c r="F14">
        <v>-3.7108035758137698E-4</v>
      </c>
      <c r="H14">
        <f t="shared" si="0"/>
        <v>-3.7108035758137698E-4</v>
      </c>
      <c r="I14">
        <f t="shared" si="1"/>
        <v>3.7644270807504703E-2</v>
      </c>
      <c r="J14">
        <f t="shared" si="2"/>
        <v>-6.73996657133102E-2</v>
      </c>
      <c r="K14">
        <f t="shared" si="3"/>
        <v>1.67829748243093E-2</v>
      </c>
      <c r="L14">
        <f t="shared" si="4"/>
        <v>-0.33880779147148099</v>
      </c>
      <c r="M14">
        <f t="shared" si="5"/>
        <v>-0.185297966003418</v>
      </c>
    </row>
    <row r="15" spans="1:13" x14ac:dyDescent="0.25">
      <c r="A15">
        <v>-0.34651768207549999</v>
      </c>
      <c r="B15">
        <v>0.63574087619781505</v>
      </c>
      <c r="C15">
        <v>-2.9671346768736801E-2</v>
      </c>
      <c r="D15">
        <v>-0.12678831815719599</v>
      </c>
      <c r="E15">
        <v>-7.0613205432891804E-2</v>
      </c>
      <c r="F15">
        <v>-1.02429185062647E-3</v>
      </c>
      <c r="H15">
        <f t="shared" si="0"/>
        <v>-1.02429185062647E-3</v>
      </c>
      <c r="I15">
        <f t="shared" si="1"/>
        <v>7.0613205432891804E-2</v>
      </c>
      <c r="J15">
        <f t="shared" si="2"/>
        <v>-0.12678831815719599</v>
      </c>
      <c r="K15">
        <f t="shared" si="3"/>
        <v>-2.9671346768736801E-2</v>
      </c>
      <c r="L15">
        <f t="shared" si="4"/>
        <v>-0.63574087619781505</v>
      </c>
      <c r="M15">
        <f t="shared" si="5"/>
        <v>-0.34651768207549999</v>
      </c>
    </row>
    <row r="16" spans="1:13" x14ac:dyDescent="0.25">
      <c r="A16">
        <v>-0.17043319344520599</v>
      </c>
      <c r="B16">
        <v>0.31546109914779702</v>
      </c>
      <c r="C16">
        <v>-7.4065491557121305E-2</v>
      </c>
      <c r="D16">
        <v>-8.5028916597366305E-2</v>
      </c>
      <c r="E16">
        <v>-4.7145899385213901E-2</v>
      </c>
      <c r="F16">
        <v>-6.0879066586494402E-4</v>
      </c>
      <c r="H16">
        <f t="shared" si="0"/>
        <v>-6.0879066586494402E-4</v>
      </c>
      <c r="I16">
        <f t="shared" si="1"/>
        <v>4.7145899385213901E-2</v>
      </c>
      <c r="J16">
        <f t="shared" si="2"/>
        <v>-8.5028916597366305E-2</v>
      </c>
      <c r="K16">
        <f t="shared" si="3"/>
        <v>-7.4065491557121305E-2</v>
      </c>
      <c r="L16">
        <f t="shared" si="4"/>
        <v>-0.31546109914779702</v>
      </c>
      <c r="M16">
        <f t="shared" si="5"/>
        <v>-0.17043319344520599</v>
      </c>
    </row>
    <row r="17" spans="1:13" x14ac:dyDescent="0.25">
      <c r="A17">
        <v>-0.108248926699162</v>
      </c>
      <c r="B17">
        <v>0.19738522171974199</v>
      </c>
      <c r="C17">
        <v>-6.3505612313747406E-2</v>
      </c>
      <c r="D17">
        <v>-5.8571800589561497E-2</v>
      </c>
      <c r="E17">
        <v>-3.2897148281335803E-2</v>
      </c>
      <c r="F17">
        <v>3.8368394598364803E-5</v>
      </c>
      <c r="H17">
        <f t="shared" si="0"/>
        <v>3.8368394598364803E-5</v>
      </c>
      <c r="I17">
        <f t="shared" si="1"/>
        <v>3.2897148281335803E-2</v>
      </c>
      <c r="J17">
        <f t="shared" si="2"/>
        <v>-5.8571800589561497E-2</v>
      </c>
      <c r="K17">
        <f t="shared" si="3"/>
        <v>-6.3505612313747406E-2</v>
      </c>
      <c r="L17">
        <f t="shared" si="4"/>
        <v>-0.19738522171974199</v>
      </c>
      <c r="M17">
        <f t="shared" si="5"/>
        <v>-0.108248926699162</v>
      </c>
    </row>
    <row r="18" spans="1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3" x14ac:dyDescent="0.2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1:13" x14ac:dyDescent="0.2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1:13" x14ac:dyDescent="0.2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1:13" x14ac:dyDescent="0.2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1:13" x14ac:dyDescent="0.2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1:13" x14ac:dyDescent="0.2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1:13" x14ac:dyDescent="0.2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1:13" x14ac:dyDescent="0.2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1:13" x14ac:dyDescent="0.2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1:13" x14ac:dyDescent="0.2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690C-8097-4FB5-A9E3-5EAFC6B1E284}">
  <dimension ref="J2:T16"/>
  <sheetViews>
    <sheetView workbookViewId="0">
      <selection activeCell="J2" sqref="J2:T16"/>
    </sheetView>
  </sheetViews>
  <sheetFormatPr defaultRowHeight="15" x14ac:dyDescent="0.25"/>
  <sheetData>
    <row r="2" spans="10:20" x14ac:dyDescent="0.25">
      <c r="J2" t="s">
        <v>36</v>
      </c>
      <c r="K2">
        <v>2.6342464843764901E-4</v>
      </c>
      <c r="L2">
        <v>-3.2978262752294499E-2</v>
      </c>
      <c r="M2">
        <v>5.6162860710173802E-4</v>
      </c>
      <c r="N2">
        <v>0.185834720730782</v>
      </c>
      <c r="O2">
        <v>1.13257020711899E-3</v>
      </c>
      <c r="P2">
        <v>0.19288232922553999</v>
      </c>
      <c r="Q2">
        <v>1.4</v>
      </c>
      <c r="R2">
        <v>0</v>
      </c>
      <c r="S2">
        <v>0</v>
      </c>
      <c r="T2" t="s">
        <v>37</v>
      </c>
    </row>
    <row r="3" spans="10:20" x14ac:dyDescent="0.25">
      <c r="K3">
        <v>-4.3474312406033299E-4</v>
      </c>
      <c r="L3">
        <v>-6.2425632029771798E-2</v>
      </c>
      <c r="M3">
        <v>2.5845002382993698E-3</v>
      </c>
      <c r="N3">
        <v>0.25303724408149703</v>
      </c>
      <c r="O3">
        <v>1.07369087636471E-2</v>
      </c>
      <c r="P3">
        <v>0.27653545141220098</v>
      </c>
      <c r="Q3">
        <v>0</v>
      </c>
      <c r="R3">
        <v>0</v>
      </c>
      <c r="S3">
        <v>0</v>
      </c>
      <c r="T3" t="s">
        <v>37</v>
      </c>
    </row>
    <row r="4" spans="10:20" x14ac:dyDescent="0.25">
      <c r="K4">
        <v>5.3234044462442398E-3</v>
      </c>
      <c r="L4">
        <v>-0.12275674194097499</v>
      </c>
      <c r="M4">
        <v>-8.3989212289452605E-3</v>
      </c>
      <c r="N4">
        <v>0.26806160807609603</v>
      </c>
      <c r="O4">
        <v>-2.4467468261718799E-2</v>
      </c>
      <c r="P4">
        <v>0.52633810043335005</v>
      </c>
      <c r="Q4">
        <v>1.4</v>
      </c>
      <c r="R4">
        <v>0</v>
      </c>
      <c r="S4">
        <v>0</v>
      </c>
      <c r="T4" t="s">
        <v>37</v>
      </c>
    </row>
    <row r="5" spans="10:20" x14ac:dyDescent="0.25">
      <c r="K5">
        <v>6.7002582363784302E-4</v>
      </c>
      <c r="L5">
        <v>-6.6750191152095795E-2</v>
      </c>
      <c r="M5">
        <v>1.6002767952158999E-3</v>
      </c>
      <c r="N5">
        <v>-3.97013984620571E-2</v>
      </c>
      <c r="O5">
        <v>7.3561742901802098E-3</v>
      </c>
      <c r="P5">
        <v>0.423814177513123</v>
      </c>
      <c r="Q5">
        <v>1.4</v>
      </c>
      <c r="R5">
        <v>0</v>
      </c>
      <c r="S5">
        <v>0</v>
      </c>
      <c r="T5" t="s">
        <v>37</v>
      </c>
    </row>
    <row r="6" spans="10:20" x14ac:dyDescent="0.25">
      <c r="K6">
        <v>7.4092089198529699E-4</v>
      </c>
      <c r="L6">
        <v>-0.14775538444519001</v>
      </c>
      <c r="M6">
        <v>3.4220633096993E-3</v>
      </c>
      <c r="N6">
        <v>-0.161362335085869</v>
      </c>
      <c r="O6">
        <v>2.0262047648429898E-2</v>
      </c>
      <c r="P6">
        <v>0.82944488525390603</v>
      </c>
      <c r="Q6">
        <v>0</v>
      </c>
      <c r="R6">
        <v>0</v>
      </c>
      <c r="S6">
        <v>0</v>
      </c>
      <c r="T6" t="s">
        <v>37</v>
      </c>
    </row>
    <row r="7" spans="10:20" x14ac:dyDescent="0.25">
      <c r="K7">
        <v>6.6551081836223602E-3</v>
      </c>
      <c r="L7">
        <v>-0.148307904601097</v>
      </c>
      <c r="M7">
        <v>-1.0527462000027299E-3</v>
      </c>
      <c r="N7">
        <v>-0.444706320762634</v>
      </c>
      <c r="O7">
        <v>-2.19946205615997E-2</v>
      </c>
      <c r="P7">
        <v>0.489793181419373</v>
      </c>
      <c r="Q7">
        <v>1.4</v>
      </c>
      <c r="R7">
        <v>0</v>
      </c>
      <c r="S7">
        <v>0</v>
      </c>
      <c r="T7" t="s">
        <v>37</v>
      </c>
    </row>
    <row r="8" spans="10:20" x14ac:dyDescent="0.25">
      <c r="K8">
        <v>8.7637116666883198E-4</v>
      </c>
      <c r="L8">
        <v>-0.164488449692726</v>
      </c>
      <c r="M8">
        <v>3.7763002328574701E-3</v>
      </c>
      <c r="N8">
        <v>-0.58729076385498002</v>
      </c>
      <c r="O8">
        <v>7.8071318566799199E-3</v>
      </c>
      <c r="P8">
        <v>0.38755592703819303</v>
      </c>
      <c r="Q8">
        <v>0</v>
      </c>
      <c r="R8">
        <v>0</v>
      </c>
      <c r="S8">
        <v>0</v>
      </c>
      <c r="T8" t="s">
        <v>37</v>
      </c>
    </row>
    <row r="9" spans="10:20" x14ac:dyDescent="0.25">
      <c r="K9">
        <v>-8.6323916912078901E-4</v>
      </c>
      <c r="L9">
        <v>4.2902048677205998E-2</v>
      </c>
      <c r="M9">
        <v>-8.0319754779338795E-2</v>
      </c>
      <c r="N9">
        <v>0.61245459318161</v>
      </c>
      <c r="O9">
        <v>-0.54026973247528098</v>
      </c>
      <c r="P9">
        <v>-0.28817486763000499</v>
      </c>
      <c r="Q9">
        <v>0</v>
      </c>
      <c r="R9">
        <v>0</v>
      </c>
      <c r="S9">
        <v>0</v>
      </c>
      <c r="T9" t="s">
        <v>37</v>
      </c>
    </row>
    <row r="10" spans="10:20" x14ac:dyDescent="0.25">
      <c r="K10">
        <v>-8.0120982602238698E-4</v>
      </c>
      <c r="L10">
        <v>4.2666438966989503E-2</v>
      </c>
      <c r="M10">
        <v>-8.0293677747249603E-2</v>
      </c>
      <c r="N10">
        <v>0.443310797214508</v>
      </c>
      <c r="O10">
        <v>-0.42717015743255599</v>
      </c>
      <c r="P10">
        <v>-0.22529536485672</v>
      </c>
      <c r="Q10">
        <v>0</v>
      </c>
      <c r="R10">
        <v>0</v>
      </c>
      <c r="S10">
        <v>0</v>
      </c>
      <c r="T10" t="s">
        <v>37</v>
      </c>
    </row>
    <row r="11" spans="10:20" x14ac:dyDescent="0.25">
      <c r="K11">
        <v>-5.5334065109491301E-5</v>
      </c>
      <c r="L11">
        <v>7.7956624329090105E-2</v>
      </c>
      <c r="M11">
        <v>-0.13737398386001601</v>
      </c>
      <c r="N11">
        <v>0.41918036341667197</v>
      </c>
      <c r="O11">
        <v>-0.55125319957733199</v>
      </c>
      <c r="P11">
        <v>-0.30630308389663702</v>
      </c>
      <c r="Q11">
        <v>1.4</v>
      </c>
      <c r="R11">
        <v>0</v>
      </c>
      <c r="S11">
        <v>0</v>
      </c>
      <c r="T11" t="s">
        <v>37</v>
      </c>
    </row>
    <row r="12" spans="10:20" x14ac:dyDescent="0.25">
      <c r="K12">
        <v>-9.6024014055728899E-5</v>
      </c>
      <c r="L12">
        <v>3.4424368292093298E-2</v>
      </c>
      <c r="M12">
        <v>-6.16564750671387E-2</v>
      </c>
      <c r="N12">
        <v>0.267098218202591</v>
      </c>
      <c r="O12">
        <v>-0.21448078751564001</v>
      </c>
      <c r="P12">
        <v>-0.115060687065125</v>
      </c>
      <c r="Q12">
        <v>1.4</v>
      </c>
      <c r="R12">
        <v>0</v>
      </c>
      <c r="S12">
        <v>0</v>
      </c>
      <c r="T12" t="s">
        <v>37</v>
      </c>
    </row>
    <row r="13" spans="10:20" x14ac:dyDescent="0.25">
      <c r="K13">
        <v>-3.7108035758137698E-4</v>
      </c>
      <c r="L13">
        <v>3.7644270807504703E-2</v>
      </c>
      <c r="M13">
        <v>-6.73996657133102E-2</v>
      </c>
      <c r="N13">
        <v>1.67829748243093E-2</v>
      </c>
      <c r="O13">
        <v>-0.33880779147148099</v>
      </c>
      <c r="P13">
        <v>-0.185297966003418</v>
      </c>
      <c r="Q13">
        <v>1.4</v>
      </c>
      <c r="R13">
        <v>0</v>
      </c>
      <c r="S13">
        <v>0</v>
      </c>
      <c r="T13" t="s">
        <v>37</v>
      </c>
    </row>
    <row r="14" spans="10:20" x14ac:dyDescent="0.25">
      <c r="K14">
        <v>-1.02429185062647E-3</v>
      </c>
      <c r="L14">
        <v>7.0613205432891804E-2</v>
      </c>
      <c r="M14">
        <v>-0.12678831815719599</v>
      </c>
      <c r="N14">
        <v>-2.9671346768736801E-2</v>
      </c>
      <c r="O14">
        <v>-0.63574087619781505</v>
      </c>
      <c r="P14">
        <v>-0.34651768207549999</v>
      </c>
      <c r="Q14">
        <v>1.4</v>
      </c>
      <c r="R14">
        <v>0</v>
      </c>
      <c r="S14">
        <v>0</v>
      </c>
      <c r="T14" t="s">
        <v>37</v>
      </c>
    </row>
    <row r="15" spans="10:20" x14ac:dyDescent="0.25">
      <c r="K15">
        <v>-6.0879066586494402E-4</v>
      </c>
      <c r="L15">
        <v>4.7145899385213901E-2</v>
      </c>
      <c r="M15">
        <v>-8.5028916597366305E-2</v>
      </c>
      <c r="N15">
        <v>-7.4065491557121305E-2</v>
      </c>
      <c r="O15">
        <v>-0.31546109914779702</v>
      </c>
      <c r="P15">
        <v>-0.17043319344520599</v>
      </c>
      <c r="Q15">
        <v>0</v>
      </c>
      <c r="R15">
        <v>0</v>
      </c>
      <c r="S15">
        <v>0</v>
      </c>
      <c r="T15" t="s">
        <v>37</v>
      </c>
    </row>
    <row r="16" spans="10:20" x14ac:dyDescent="0.25">
      <c r="K16">
        <v>3.8368394598364803E-5</v>
      </c>
      <c r="L16">
        <v>3.2897148281335803E-2</v>
      </c>
      <c r="M16">
        <v>-5.8571800589561497E-2</v>
      </c>
      <c r="N16">
        <v>-6.3505612313747406E-2</v>
      </c>
      <c r="O16">
        <v>-0.19738522171974199</v>
      </c>
      <c r="P16">
        <v>-0.108248926699162</v>
      </c>
      <c r="Q16">
        <v>0</v>
      </c>
      <c r="R16">
        <v>0</v>
      </c>
      <c r="S16">
        <v>0</v>
      </c>
      <c r="T16" t="s">
        <v>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Proximal Validation (single)</vt:lpstr>
      <vt:lpstr>Distal Validation (single)</vt:lpstr>
      <vt:lpstr>Distal Vali (noise 0.5x spec)</vt:lpstr>
      <vt:lpstr>Distal Vali (noise 1.0x spec)</vt:lpstr>
      <vt:lpstr>Distal Vali (noise 0.5x spec 2)</vt:lpstr>
      <vt:lpstr>Distal Vali (noise 1.0x spec 2)</vt:lpstr>
      <vt:lpstr>Distal Vali (noise 2.0x spec 2)</vt:lpstr>
      <vt:lpstr>Conversion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2025-10-16T04:30:36Z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