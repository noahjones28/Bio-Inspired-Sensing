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Raw Data/single force (10 trials)(perturbed)/"/>
    </mc:Choice>
  </mc:AlternateContent>
  <xr:revisionPtr revIDLastSave="4773" documentId="8_{DFFD6B0C-681F-42C8-B2E4-5D4B90AAE966}" xr6:coauthVersionLast="47" xr6:coauthVersionMax="47" xr10:uidLastSave="{0A3BD3FB-2BBA-42C0-8F86-3851A4E8D796}"/>
  <bookViews>
    <workbookView xWindow="-120" yWindow="-120" windowWidth="29040" windowHeight="15720" firstSheet="1" activeTab="4" xr2:uid="{3D16C37F-3C74-4527-A308-796C339DFE9F}"/>
  </bookViews>
  <sheets>
    <sheet name="Proximal Validation" sheetId="12" r:id="rId1"/>
    <sheet name="Distal Vali (0N perturb)" sheetId="37" r:id="rId2"/>
    <sheet name="Distal Vali (0.5N perturb)" sheetId="19" r:id="rId3"/>
    <sheet name="Distal Vali (1N perturb)" sheetId="38" r:id="rId4"/>
    <sheet name="Distal Vali (1.5N perturb)" sheetId="39" r:id="rId5"/>
    <sheet name="Conversion" sheetId="4" r:id="rId6"/>
    <sheet name="Sheet5" sheetId="3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" i="39" l="1" a="1"/>
  <c r="X4" i="39" s="1"/>
  <c r="Y4" i="39" a="1"/>
  <c r="Y4" i="39"/>
  <c r="W4" i="39" a="1"/>
  <c r="W4" i="39" s="1"/>
  <c r="AA4" i="38" l="1"/>
  <c r="AQ4" i="38" s="1"/>
  <c r="AB4" i="38"/>
  <c r="AC4" i="38"/>
  <c r="AD4" i="38"/>
  <c r="AE4" i="38"/>
  <c r="AF4" i="38"/>
  <c r="AG4" i="38"/>
  <c r="AH4" i="38"/>
  <c r="AI4" i="38"/>
  <c r="AJ4" i="38"/>
  <c r="AK4" i="38"/>
  <c r="AL4" i="38"/>
  <c r="AA5" i="38"/>
  <c r="AQ5" i="38" s="1"/>
  <c r="AT5" i="38" s="1"/>
  <c r="AB5" i="38"/>
  <c r="AC5" i="38"/>
  <c r="AS5" i="38" s="1"/>
  <c r="AV5" i="38" s="1"/>
  <c r="AD5" i="38"/>
  <c r="AE5" i="38"/>
  <c r="AF5" i="38"/>
  <c r="AG5" i="38"/>
  <c r="AH5" i="38"/>
  <c r="AI5" i="38"/>
  <c r="AJ5" i="38"/>
  <c r="AK5" i="38"/>
  <c r="AL5" i="38"/>
  <c r="AA6" i="38"/>
  <c r="AQ6" i="38" s="1"/>
  <c r="AT6" i="38" s="1"/>
  <c r="AB6" i="38"/>
  <c r="AC6" i="38"/>
  <c r="AD6" i="38"/>
  <c r="AE6" i="38"/>
  <c r="AF6" i="38"/>
  <c r="AG6" i="38"/>
  <c r="AH6" i="38"/>
  <c r="AI6" i="38"/>
  <c r="AJ6" i="38"/>
  <c r="AK6" i="38"/>
  <c r="AL6" i="38"/>
  <c r="AA7" i="38"/>
  <c r="AQ7" i="38" s="1"/>
  <c r="AT7" i="38" s="1"/>
  <c r="AB7" i="38"/>
  <c r="AC7" i="38"/>
  <c r="AS7" i="38" s="1"/>
  <c r="AV7" i="38" s="1"/>
  <c r="AD7" i="38"/>
  <c r="AE7" i="38"/>
  <c r="AF7" i="38"/>
  <c r="AG7" i="38"/>
  <c r="AH7" i="38"/>
  <c r="AI7" i="38"/>
  <c r="AJ7" i="38"/>
  <c r="AK7" i="38"/>
  <c r="AL7" i="38"/>
  <c r="AA8" i="38"/>
  <c r="AQ8" i="38" s="1"/>
  <c r="AT8" i="38" s="1"/>
  <c r="AB8" i="38"/>
  <c r="AC8" i="38"/>
  <c r="AD8" i="38"/>
  <c r="AE8" i="38"/>
  <c r="AF8" i="38"/>
  <c r="AG8" i="38"/>
  <c r="AH8" i="38"/>
  <c r="AI8" i="38"/>
  <c r="AJ8" i="38"/>
  <c r="AK8" i="38"/>
  <c r="AL8" i="38"/>
  <c r="AA9" i="38"/>
  <c r="AQ9" i="38" s="1"/>
  <c r="AT9" i="38" s="1"/>
  <c r="AB9" i="38"/>
  <c r="AC9" i="38"/>
  <c r="AD9" i="38"/>
  <c r="AE9" i="38"/>
  <c r="AF9" i="38"/>
  <c r="AG9" i="38"/>
  <c r="AH9" i="38"/>
  <c r="AI9" i="38"/>
  <c r="AJ9" i="38"/>
  <c r="AK9" i="38"/>
  <c r="AL9" i="38"/>
  <c r="AA10" i="38"/>
  <c r="AQ10" i="38" s="1"/>
  <c r="AT10" i="38" s="1"/>
  <c r="AB10" i="38"/>
  <c r="AC10" i="38"/>
  <c r="AD10" i="38"/>
  <c r="AE10" i="38"/>
  <c r="AF10" i="38"/>
  <c r="AG10" i="38"/>
  <c r="AH10" i="38"/>
  <c r="AI10" i="38"/>
  <c r="AJ10" i="38"/>
  <c r="AK10" i="38"/>
  <c r="AL10" i="38"/>
  <c r="AA11" i="38"/>
  <c r="AQ11" i="38" s="1"/>
  <c r="AT11" i="38" s="1"/>
  <c r="AB11" i="38"/>
  <c r="AC11" i="38"/>
  <c r="AS11" i="38" s="1"/>
  <c r="AV11" i="38" s="1"/>
  <c r="AD11" i="38"/>
  <c r="AE11" i="38"/>
  <c r="AF11" i="38"/>
  <c r="AG11" i="38"/>
  <c r="AH11" i="38"/>
  <c r="AI11" i="38"/>
  <c r="AJ11" i="38"/>
  <c r="AK11" i="38"/>
  <c r="AL11" i="38"/>
  <c r="AA12" i="38"/>
  <c r="AQ12" i="38" s="1"/>
  <c r="AT12" i="38" s="1"/>
  <c r="AB12" i="38"/>
  <c r="AC12" i="38"/>
  <c r="AD12" i="38"/>
  <c r="AE12" i="38"/>
  <c r="AF12" i="38"/>
  <c r="AG12" i="38"/>
  <c r="AH12" i="38"/>
  <c r="AI12" i="38"/>
  <c r="AJ12" i="38"/>
  <c r="AK12" i="38"/>
  <c r="AL12" i="38"/>
  <c r="AA13" i="38"/>
  <c r="AQ13" i="38" s="1"/>
  <c r="AT13" i="38" s="1"/>
  <c r="AB13" i="38"/>
  <c r="AC13" i="38"/>
  <c r="AS13" i="38" s="1"/>
  <c r="AV13" i="38" s="1"/>
  <c r="AD13" i="38"/>
  <c r="AE13" i="38"/>
  <c r="AF13" i="38"/>
  <c r="AG13" i="38"/>
  <c r="AH13" i="38"/>
  <c r="AI13" i="38"/>
  <c r="AJ13" i="38"/>
  <c r="AK13" i="38"/>
  <c r="AL13" i="38"/>
  <c r="AR13" i="38"/>
  <c r="AU13" i="38" s="1"/>
  <c r="AR12" i="38"/>
  <c r="AU12" i="38" s="1"/>
  <c r="AS12" i="38"/>
  <c r="AV12" i="38" s="1"/>
  <c r="AR11" i="38"/>
  <c r="AU11" i="38" s="1"/>
  <c r="AS10" i="38"/>
  <c r="AV10" i="38" s="1"/>
  <c r="AR10" i="38"/>
  <c r="AU10" i="38" s="1"/>
  <c r="AS9" i="38"/>
  <c r="AV9" i="38" s="1"/>
  <c r="AR9" i="38"/>
  <c r="AU9" i="38" s="1"/>
  <c r="AR8" i="38"/>
  <c r="AU8" i="38" s="1"/>
  <c r="AS8" i="38"/>
  <c r="AV8" i="38" s="1"/>
  <c r="AR7" i="38"/>
  <c r="AU7" i="38" s="1"/>
  <c r="AS6" i="38"/>
  <c r="AV6" i="38" s="1"/>
  <c r="AR6" i="38"/>
  <c r="AU6" i="38" s="1"/>
  <c r="AR5" i="38"/>
  <c r="AU5" i="38" s="1"/>
  <c r="AS4" i="38"/>
  <c r="AR4" i="38"/>
  <c r="AT4" i="38" l="1"/>
  <c r="AW5" i="38" a="1"/>
  <c r="AW5" i="38" s="1"/>
  <c r="AX5" i="38" a="1"/>
  <c r="AX5" i="38" s="1"/>
  <c r="AU4" i="38"/>
  <c r="AV4" i="38"/>
  <c r="AY5" i="38" a="1"/>
  <c r="AY5" i="38" s="1"/>
  <c r="H55" i="4"/>
  <c r="I55" i="4"/>
  <c r="J55" i="4"/>
  <c r="K55" i="4"/>
  <c r="L55" i="4"/>
  <c r="M55" i="4"/>
  <c r="H56" i="4"/>
  <c r="I56" i="4"/>
  <c r="J56" i="4"/>
  <c r="K56" i="4"/>
  <c r="L56" i="4"/>
  <c r="M56" i="4"/>
  <c r="H57" i="4"/>
  <c r="I57" i="4"/>
  <c r="J57" i="4"/>
  <c r="K57" i="4"/>
  <c r="L57" i="4"/>
  <c r="M57" i="4"/>
  <c r="H58" i="4"/>
  <c r="I58" i="4"/>
  <c r="J58" i="4"/>
  <c r="K58" i="4"/>
  <c r="L58" i="4"/>
  <c r="M58" i="4"/>
  <c r="H59" i="4"/>
  <c r="I59" i="4"/>
  <c r="J59" i="4"/>
  <c r="K59" i="4"/>
  <c r="L59" i="4"/>
  <c r="M59" i="4"/>
  <c r="H60" i="4"/>
  <c r="I60" i="4"/>
  <c r="J60" i="4"/>
  <c r="K60" i="4"/>
  <c r="L60" i="4"/>
  <c r="M60" i="4"/>
  <c r="H61" i="4"/>
  <c r="I61" i="4"/>
  <c r="J61" i="4"/>
  <c r="K61" i="4"/>
  <c r="L61" i="4"/>
  <c r="M61" i="4"/>
  <c r="H62" i="4"/>
  <c r="I62" i="4"/>
  <c r="J62" i="4"/>
  <c r="K62" i="4"/>
  <c r="L62" i="4"/>
  <c r="M62" i="4"/>
  <c r="L12" i="39"/>
  <c r="L57" i="39" s="1"/>
  <c r="K12" i="39"/>
  <c r="K57" i="39" s="1"/>
  <c r="J12" i="39"/>
  <c r="J57" i="39" s="1"/>
  <c r="I12" i="39"/>
  <c r="I57" i="39" s="1"/>
  <c r="H12" i="39"/>
  <c r="H57" i="39" s="1"/>
  <c r="G12" i="39"/>
  <c r="G57" i="39" s="1"/>
  <c r="F12" i="39"/>
  <c r="E12" i="39"/>
  <c r="D12" i="39"/>
  <c r="C12" i="39"/>
  <c r="B12" i="39"/>
  <c r="A12" i="39"/>
  <c r="L11" i="39"/>
  <c r="L53" i="39" s="1"/>
  <c r="K11" i="39"/>
  <c r="K53" i="39" s="1"/>
  <c r="J11" i="39"/>
  <c r="J53" i="39" s="1"/>
  <c r="I11" i="39"/>
  <c r="I53" i="39" s="1"/>
  <c r="H11" i="39"/>
  <c r="H53" i="39" s="1"/>
  <c r="G11" i="39"/>
  <c r="G53" i="39" s="1"/>
  <c r="F11" i="39"/>
  <c r="E11" i="39"/>
  <c r="D11" i="39"/>
  <c r="C11" i="39"/>
  <c r="B11" i="39"/>
  <c r="A11" i="39"/>
  <c r="L10" i="39"/>
  <c r="L49" i="39" s="1"/>
  <c r="K10" i="39"/>
  <c r="K49" i="39" s="1"/>
  <c r="J10" i="39"/>
  <c r="J49" i="39" s="1"/>
  <c r="I10" i="39"/>
  <c r="I49" i="39" s="1"/>
  <c r="H10" i="39"/>
  <c r="H49" i="39" s="1"/>
  <c r="G10" i="39"/>
  <c r="G49" i="39" s="1"/>
  <c r="F10" i="39"/>
  <c r="E10" i="39"/>
  <c r="D10" i="39"/>
  <c r="C10" i="39"/>
  <c r="B10" i="39"/>
  <c r="A10" i="39"/>
  <c r="L9" i="39"/>
  <c r="L45" i="39" s="1"/>
  <c r="K9" i="39"/>
  <c r="K45" i="39" s="1"/>
  <c r="J9" i="39"/>
  <c r="J45" i="39" s="1"/>
  <c r="I9" i="39"/>
  <c r="I45" i="39" s="1"/>
  <c r="H9" i="39"/>
  <c r="H45" i="39" s="1"/>
  <c r="G9" i="39"/>
  <c r="G45" i="39" s="1"/>
  <c r="F9" i="39"/>
  <c r="E9" i="39"/>
  <c r="D9" i="39"/>
  <c r="C9" i="39"/>
  <c r="B9" i="39"/>
  <c r="A9" i="39"/>
  <c r="L8" i="39"/>
  <c r="L41" i="39" s="1"/>
  <c r="K8" i="39"/>
  <c r="K41" i="39" s="1"/>
  <c r="J8" i="39"/>
  <c r="J41" i="39" s="1"/>
  <c r="I8" i="39"/>
  <c r="I41" i="39" s="1"/>
  <c r="H8" i="39"/>
  <c r="H41" i="39" s="1"/>
  <c r="G8" i="39"/>
  <c r="G41" i="39" s="1"/>
  <c r="F8" i="39"/>
  <c r="E8" i="39"/>
  <c r="D8" i="39"/>
  <c r="C8" i="39"/>
  <c r="B8" i="39"/>
  <c r="A8" i="39"/>
  <c r="L7" i="39"/>
  <c r="L37" i="39" s="1"/>
  <c r="K7" i="39"/>
  <c r="K37" i="39" s="1"/>
  <c r="J7" i="39"/>
  <c r="J37" i="39" s="1"/>
  <c r="I7" i="39"/>
  <c r="I37" i="39" s="1"/>
  <c r="H7" i="39"/>
  <c r="H37" i="39" s="1"/>
  <c r="G7" i="39"/>
  <c r="G37" i="39" s="1"/>
  <c r="F7" i="39"/>
  <c r="E7" i="39"/>
  <c r="D7" i="39"/>
  <c r="C7" i="39"/>
  <c r="B7" i="39"/>
  <c r="A7" i="39"/>
  <c r="L6" i="39"/>
  <c r="L33" i="39" s="1"/>
  <c r="K6" i="39"/>
  <c r="K33" i="39" s="1"/>
  <c r="J6" i="39"/>
  <c r="J33" i="39" s="1"/>
  <c r="I6" i="39"/>
  <c r="I33" i="39" s="1"/>
  <c r="H6" i="39"/>
  <c r="H33" i="39" s="1"/>
  <c r="G6" i="39"/>
  <c r="G33" i="39" s="1"/>
  <c r="F6" i="39"/>
  <c r="E6" i="39"/>
  <c r="D6" i="39"/>
  <c r="C6" i="39"/>
  <c r="B6" i="39"/>
  <c r="A6" i="39"/>
  <c r="L5" i="39"/>
  <c r="L29" i="39" s="1"/>
  <c r="K5" i="39"/>
  <c r="K29" i="39" s="1"/>
  <c r="J5" i="39"/>
  <c r="J29" i="39" s="1"/>
  <c r="I5" i="39"/>
  <c r="I29" i="39" s="1"/>
  <c r="H5" i="39"/>
  <c r="H29" i="39" s="1"/>
  <c r="G5" i="39"/>
  <c r="G29" i="39" s="1"/>
  <c r="F5" i="39"/>
  <c r="E5" i="39"/>
  <c r="D5" i="39"/>
  <c r="C5" i="39"/>
  <c r="B5" i="39"/>
  <c r="A5" i="39"/>
  <c r="L4" i="39"/>
  <c r="L25" i="39" s="1"/>
  <c r="K4" i="39"/>
  <c r="K25" i="39" s="1"/>
  <c r="J4" i="39"/>
  <c r="J25" i="39" s="1"/>
  <c r="I4" i="39"/>
  <c r="I25" i="39" s="1"/>
  <c r="H4" i="39"/>
  <c r="H25" i="39" s="1"/>
  <c r="G4" i="39"/>
  <c r="G25" i="39" s="1"/>
  <c r="F4" i="39"/>
  <c r="E4" i="39"/>
  <c r="D4" i="39"/>
  <c r="C4" i="39"/>
  <c r="B4" i="39"/>
  <c r="A4" i="39"/>
  <c r="L3" i="39"/>
  <c r="L21" i="39" s="1"/>
  <c r="K3" i="39"/>
  <c r="K21" i="39" s="1"/>
  <c r="J3" i="39"/>
  <c r="J21" i="39" s="1"/>
  <c r="I3" i="39"/>
  <c r="I21" i="39" s="1"/>
  <c r="H3" i="39"/>
  <c r="H21" i="39" s="1"/>
  <c r="G3" i="39"/>
  <c r="G21" i="39" s="1"/>
  <c r="F3" i="39"/>
  <c r="F21" i="39" s="1"/>
  <c r="E3" i="39"/>
  <c r="E21" i="39" s="1"/>
  <c r="D3" i="39"/>
  <c r="D21" i="39" s="1"/>
  <c r="C3" i="39"/>
  <c r="B3" i="39"/>
  <c r="A3" i="39"/>
  <c r="L13" i="38"/>
  <c r="L58" i="38" s="1"/>
  <c r="K13" i="38"/>
  <c r="K58" i="38" s="1"/>
  <c r="J13" i="38"/>
  <c r="J58" i="38" s="1"/>
  <c r="I13" i="38"/>
  <c r="I58" i="38" s="1"/>
  <c r="H13" i="38"/>
  <c r="H58" i="38" s="1"/>
  <c r="G13" i="38"/>
  <c r="G58" i="38" s="1"/>
  <c r="F13" i="38"/>
  <c r="E13" i="38"/>
  <c r="D13" i="38"/>
  <c r="C13" i="38"/>
  <c r="S13" i="38" s="1"/>
  <c r="V13" i="38" s="1"/>
  <c r="B13" i="38"/>
  <c r="R13" i="38" s="1"/>
  <c r="U13" i="38" s="1"/>
  <c r="A13" i="38"/>
  <c r="Q13" i="38" s="1"/>
  <c r="T13" i="38" s="1"/>
  <c r="L12" i="38"/>
  <c r="L54" i="38" s="1"/>
  <c r="K12" i="38"/>
  <c r="K54" i="38" s="1"/>
  <c r="J12" i="38"/>
  <c r="J54" i="38" s="1"/>
  <c r="I12" i="38"/>
  <c r="I54" i="38" s="1"/>
  <c r="H12" i="38"/>
  <c r="H54" i="38" s="1"/>
  <c r="G12" i="38"/>
  <c r="G54" i="38" s="1"/>
  <c r="F12" i="38"/>
  <c r="E12" i="38"/>
  <c r="D12" i="38"/>
  <c r="C12" i="38"/>
  <c r="S12" i="38" s="1"/>
  <c r="V12" i="38" s="1"/>
  <c r="B12" i="38"/>
  <c r="R12" i="38" s="1"/>
  <c r="U12" i="38" s="1"/>
  <c r="A12" i="38"/>
  <c r="Q12" i="38" s="1"/>
  <c r="T12" i="38" s="1"/>
  <c r="L11" i="38"/>
  <c r="L50" i="38" s="1"/>
  <c r="K11" i="38"/>
  <c r="K50" i="38" s="1"/>
  <c r="J11" i="38"/>
  <c r="J50" i="38" s="1"/>
  <c r="I11" i="38"/>
  <c r="I50" i="38" s="1"/>
  <c r="H11" i="38"/>
  <c r="H50" i="38" s="1"/>
  <c r="G11" i="38"/>
  <c r="G50" i="38" s="1"/>
  <c r="F11" i="38"/>
  <c r="E11" i="38"/>
  <c r="D11" i="38"/>
  <c r="C11" i="38"/>
  <c r="S11" i="38" s="1"/>
  <c r="V11" i="38" s="1"/>
  <c r="B11" i="38"/>
  <c r="R11" i="38" s="1"/>
  <c r="U11" i="38" s="1"/>
  <c r="A11" i="38"/>
  <c r="Q11" i="38" s="1"/>
  <c r="T11" i="38" s="1"/>
  <c r="L10" i="38"/>
  <c r="L46" i="38" s="1"/>
  <c r="K10" i="38"/>
  <c r="K46" i="38" s="1"/>
  <c r="J10" i="38"/>
  <c r="J46" i="38" s="1"/>
  <c r="I10" i="38"/>
  <c r="I46" i="38" s="1"/>
  <c r="H10" i="38"/>
  <c r="H46" i="38" s="1"/>
  <c r="G10" i="38"/>
  <c r="G46" i="38" s="1"/>
  <c r="F10" i="38"/>
  <c r="E10" i="38"/>
  <c r="D10" i="38"/>
  <c r="C10" i="38"/>
  <c r="S10" i="38" s="1"/>
  <c r="V10" i="38" s="1"/>
  <c r="B10" i="38"/>
  <c r="R10" i="38" s="1"/>
  <c r="U10" i="38" s="1"/>
  <c r="A10" i="38"/>
  <c r="Q10" i="38" s="1"/>
  <c r="T10" i="38" s="1"/>
  <c r="L9" i="38"/>
  <c r="L42" i="38" s="1"/>
  <c r="K9" i="38"/>
  <c r="K42" i="38" s="1"/>
  <c r="J9" i="38"/>
  <c r="J42" i="38" s="1"/>
  <c r="I9" i="38"/>
  <c r="I42" i="38" s="1"/>
  <c r="H9" i="38"/>
  <c r="H42" i="38" s="1"/>
  <c r="G9" i="38"/>
  <c r="G42" i="38" s="1"/>
  <c r="F9" i="38"/>
  <c r="E9" i="38"/>
  <c r="D9" i="38"/>
  <c r="C9" i="38"/>
  <c r="S9" i="38" s="1"/>
  <c r="V9" i="38" s="1"/>
  <c r="B9" i="38"/>
  <c r="R9" i="38" s="1"/>
  <c r="U9" i="38" s="1"/>
  <c r="A9" i="38"/>
  <c r="Q9" i="38" s="1"/>
  <c r="T9" i="38" s="1"/>
  <c r="L8" i="38"/>
  <c r="L38" i="38" s="1"/>
  <c r="K8" i="38"/>
  <c r="K38" i="38" s="1"/>
  <c r="J8" i="38"/>
  <c r="J38" i="38" s="1"/>
  <c r="I8" i="38"/>
  <c r="I38" i="38" s="1"/>
  <c r="H8" i="38"/>
  <c r="H38" i="38" s="1"/>
  <c r="G8" i="38"/>
  <c r="G38" i="38" s="1"/>
  <c r="F8" i="38"/>
  <c r="E8" i="38"/>
  <c r="D8" i="38"/>
  <c r="C8" i="38"/>
  <c r="S8" i="38" s="1"/>
  <c r="V8" i="38" s="1"/>
  <c r="B8" i="38"/>
  <c r="R8" i="38" s="1"/>
  <c r="U8" i="38" s="1"/>
  <c r="A8" i="38"/>
  <c r="Q8" i="38" s="1"/>
  <c r="T8" i="38" s="1"/>
  <c r="L7" i="38"/>
  <c r="L34" i="38" s="1"/>
  <c r="K7" i="38"/>
  <c r="K34" i="38" s="1"/>
  <c r="J7" i="38"/>
  <c r="J34" i="38" s="1"/>
  <c r="I7" i="38"/>
  <c r="I34" i="38" s="1"/>
  <c r="H7" i="38"/>
  <c r="H34" i="38" s="1"/>
  <c r="G7" i="38"/>
  <c r="G34" i="38" s="1"/>
  <c r="F7" i="38"/>
  <c r="E7" i="38"/>
  <c r="D7" i="38"/>
  <c r="C7" i="38"/>
  <c r="S7" i="38" s="1"/>
  <c r="V7" i="38" s="1"/>
  <c r="B7" i="38"/>
  <c r="R7" i="38" s="1"/>
  <c r="U7" i="38" s="1"/>
  <c r="A7" i="38"/>
  <c r="Q7" i="38" s="1"/>
  <c r="T7" i="38" s="1"/>
  <c r="L6" i="38"/>
  <c r="L30" i="38" s="1"/>
  <c r="K6" i="38"/>
  <c r="K30" i="38" s="1"/>
  <c r="J6" i="38"/>
  <c r="J30" i="38" s="1"/>
  <c r="I6" i="38"/>
  <c r="I30" i="38" s="1"/>
  <c r="H6" i="38"/>
  <c r="H30" i="38" s="1"/>
  <c r="G6" i="38"/>
  <c r="G30" i="38" s="1"/>
  <c r="F6" i="38"/>
  <c r="E6" i="38"/>
  <c r="D6" i="38"/>
  <c r="C6" i="38"/>
  <c r="S6" i="38" s="1"/>
  <c r="V6" i="38" s="1"/>
  <c r="B6" i="38"/>
  <c r="R6" i="38" s="1"/>
  <c r="U6" i="38" s="1"/>
  <c r="A6" i="38"/>
  <c r="Q6" i="38" s="1"/>
  <c r="T6" i="38" s="1"/>
  <c r="L5" i="38"/>
  <c r="L26" i="38" s="1"/>
  <c r="K5" i="38"/>
  <c r="K26" i="38" s="1"/>
  <c r="J5" i="38"/>
  <c r="J26" i="38" s="1"/>
  <c r="I5" i="38"/>
  <c r="I26" i="38" s="1"/>
  <c r="H5" i="38"/>
  <c r="H26" i="38" s="1"/>
  <c r="G5" i="38"/>
  <c r="G26" i="38" s="1"/>
  <c r="F5" i="38"/>
  <c r="E5" i="38"/>
  <c r="D5" i="38"/>
  <c r="C5" i="38"/>
  <c r="S5" i="38" s="1"/>
  <c r="V5" i="38" s="1"/>
  <c r="B5" i="38"/>
  <c r="R5" i="38" s="1"/>
  <c r="U5" i="38" s="1"/>
  <c r="A5" i="38"/>
  <c r="Q5" i="38" s="1"/>
  <c r="T5" i="38" s="1"/>
  <c r="L4" i="38"/>
  <c r="L22" i="38" s="1"/>
  <c r="K4" i="38"/>
  <c r="K22" i="38" s="1"/>
  <c r="J4" i="38"/>
  <c r="J22" i="38" s="1"/>
  <c r="I4" i="38"/>
  <c r="I22" i="38" s="1"/>
  <c r="H4" i="38"/>
  <c r="H22" i="38" s="1"/>
  <c r="G4" i="38"/>
  <c r="G22" i="38" s="1"/>
  <c r="F4" i="38"/>
  <c r="F22" i="38" s="1"/>
  <c r="E4" i="38"/>
  <c r="E22" i="38" s="1"/>
  <c r="D4" i="38"/>
  <c r="D22" i="38" s="1"/>
  <c r="C4" i="38"/>
  <c r="S4" i="38" s="1"/>
  <c r="B4" i="38"/>
  <c r="R4" i="38" s="1"/>
  <c r="A4" i="38"/>
  <c r="Q4" i="38" s="1"/>
  <c r="L12" i="37"/>
  <c r="K12" i="37"/>
  <c r="J12" i="37"/>
  <c r="I12" i="37"/>
  <c r="H12" i="37"/>
  <c r="G12" i="37"/>
  <c r="F12" i="37"/>
  <c r="E12" i="37"/>
  <c r="D12" i="37"/>
  <c r="C12" i="37"/>
  <c r="S12" i="37" s="1"/>
  <c r="V12" i="37" s="1"/>
  <c r="B12" i="37"/>
  <c r="R12" i="37" s="1"/>
  <c r="U12" i="37" s="1"/>
  <c r="A12" i="37"/>
  <c r="Q12" i="37" s="1"/>
  <c r="T12" i="37" s="1"/>
  <c r="L11" i="37"/>
  <c r="K11" i="37"/>
  <c r="J11" i="37"/>
  <c r="I11" i="37"/>
  <c r="H11" i="37"/>
  <c r="G11" i="37"/>
  <c r="F11" i="37"/>
  <c r="E11" i="37"/>
  <c r="D11" i="37"/>
  <c r="C11" i="37"/>
  <c r="S11" i="37" s="1"/>
  <c r="V11" i="37" s="1"/>
  <c r="B11" i="37"/>
  <c r="R11" i="37" s="1"/>
  <c r="U11" i="37" s="1"/>
  <c r="A11" i="37"/>
  <c r="Q11" i="37" s="1"/>
  <c r="T11" i="37" s="1"/>
  <c r="L10" i="37"/>
  <c r="K10" i="37"/>
  <c r="J10" i="37"/>
  <c r="I10" i="37"/>
  <c r="H10" i="37"/>
  <c r="G10" i="37"/>
  <c r="F10" i="37"/>
  <c r="E10" i="37"/>
  <c r="D10" i="37"/>
  <c r="C10" i="37"/>
  <c r="S10" i="37" s="1"/>
  <c r="V10" i="37" s="1"/>
  <c r="B10" i="37"/>
  <c r="R10" i="37" s="1"/>
  <c r="U10" i="37" s="1"/>
  <c r="A10" i="37"/>
  <c r="Q10" i="37" s="1"/>
  <c r="T10" i="37" s="1"/>
  <c r="L9" i="37"/>
  <c r="K9" i="37"/>
  <c r="J9" i="37"/>
  <c r="I9" i="37"/>
  <c r="H9" i="37"/>
  <c r="G9" i="37"/>
  <c r="F9" i="37"/>
  <c r="E9" i="37"/>
  <c r="D9" i="37"/>
  <c r="C9" i="37"/>
  <c r="S9" i="37" s="1"/>
  <c r="V9" i="37" s="1"/>
  <c r="B9" i="37"/>
  <c r="R9" i="37" s="1"/>
  <c r="U9" i="37" s="1"/>
  <c r="A9" i="37"/>
  <c r="Q9" i="37" s="1"/>
  <c r="T9" i="37" s="1"/>
  <c r="L8" i="37"/>
  <c r="K8" i="37"/>
  <c r="J8" i="37"/>
  <c r="I8" i="37"/>
  <c r="H8" i="37"/>
  <c r="G8" i="37"/>
  <c r="F8" i="37"/>
  <c r="E8" i="37"/>
  <c r="D8" i="37"/>
  <c r="C8" i="37"/>
  <c r="S8" i="37" s="1"/>
  <c r="V8" i="37" s="1"/>
  <c r="B8" i="37"/>
  <c r="R8" i="37" s="1"/>
  <c r="U8" i="37" s="1"/>
  <c r="A8" i="37"/>
  <c r="Q8" i="37" s="1"/>
  <c r="T8" i="37" s="1"/>
  <c r="L7" i="37"/>
  <c r="K7" i="37"/>
  <c r="J7" i="37"/>
  <c r="I7" i="37"/>
  <c r="H7" i="37"/>
  <c r="G7" i="37"/>
  <c r="F7" i="37"/>
  <c r="E7" i="37"/>
  <c r="D7" i="37"/>
  <c r="C7" i="37"/>
  <c r="S7" i="37" s="1"/>
  <c r="V7" i="37" s="1"/>
  <c r="B7" i="37"/>
  <c r="R7" i="37" s="1"/>
  <c r="U7" i="37" s="1"/>
  <c r="A7" i="37"/>
  <c r="Q7" i="37" s="1"/>
  <c r="T7" i="37" s="1"/>
  <c r="L6" i="37"/>
  <c r="K6" i="37"/>
  <c r="J6" i="37"/>
  <c r="I6" i="37"/>
  <c r="H6" i="37"/>
  <c r="G6" i="37"/>
  <c r="F6" i="37"/>
  <c r="E6" i="37"/>
  <c r="D6" i="37"/>
  <c r="C6" i="37"/>
  <c r="S6" i="37" s="1"/>
  <c r="V6" i="37" s="1"/>
  <c r="B6" i="37"/>
  <c r="R6" i="37" s="1"/>
  <c r="U6" i="37" s="1"/>
  <c r="A6" i="37"/>
  <c r="Q6" i="37" s="1"/>
  <c r="T6" i="37" s="1"/>
  <c r="L5" i="37"/>
  <c r="K5" i="37"/>
  <c r="J5" i="37"/>
  <c r="I5" i="37"/>
  <c r="H5" i="37"/>
  <c r="G5" i="37"/>
  <c r="F5" i="37"/>
  <c r="E5" i="37"/>
  <c r="D5" i="37"/>
  <c r="C5" i="37"/>
  <c r="S5" i="37" s="1"/>
  <c r="V5" i="37" s="1"/>
  <c r="B5" i="37"/>
  <c r="R5" i="37" s="1"/>
  <c r="U5" i="37" s="1"/>
  <c r="A5" i="37"/>
  <c r="Q5" i="37" s="1"/>
  <c r="T5" i="37" s="1"/>
  <c r="L4" i="37"/>
  <c r="K4" i="37"/>
  <c r="J4" i="37"/>
  <c r="I4" i="37"/>
  <c r="H4" i="37"/>
  <c r="G4" i="37"/>
  <c r="F4" i="37"/>
  <c r="E4" i="37"/>
  <c r="D4" i="37"/>
  <c r="C4" i="37"/>
  <c r="S4" i="37" s="1"/>
  <c r="V4" i="37" s="1"/>
  <c r="B4" i="37"/>
  <c r="R4" i="37" s="1"/>
  <c r="U4" i="37" s="1"/>
  <c r="A4" i="37"/>
  <c r="Q4" i="37" s="1"/>
  <c r="T4" i="37" s="1"/>
  <c r="L3" i="37"/>
  <c r="K3" i="37"/>
  <c r="J3" i="37"/>
  <c r="I3" i="37"/>
  <c r="H3" i="37"/>
  <c r="G3" i="37"/>
  <c r="F3" i="37"/>
  <c r="E3" i="37"/>
  <c r="D3" i="37"/>
  <c r="C3" i="37"/>
  <c r="S3" i="37" s="1"/>
  <c r="B3" i="37"/>
  <c r="R3" i="37" s="1"/>
  <c r="A3" i="37"/>
  <c r="Q3" i="37" s="1"/>
  <c r="A3" i="19"/>
  <c r="B3" i="19"/>
  <c r="C3" i="19"/>
  <c r="D3" i="19"/>
  <c r="D21" i="19" s="1"/>
  <c r="D24" i="19" s="1"/>
  <c r="E3" i="19"/>
  <c r="E21" i="19" s="1"/>
  <c r="E24" i="19" s="1"/>
  <c r="F3" i="19"/>
  <c r="F21" i="19" s="1"/>
  <c r="F24" i="19" s="1"/>
  <c r="G3" i="19"/>
  <c r="G21" i="19" s="1"/>
  <c r="H3" i="19"/>
  <c r="H21" i="19" s="1"/>
  <c r="I3" i="19"/>
  <c r="I21" i="19" s="1"/>
  <c r="J3" i="19"/>
  <c r="J21" i="19" s="1"/>
  <c r="K3" i="19"/>
  <c r="K21" i="19" s="1"/>
  <c r="L3" i="19"/>
  <c r="L21" i="19" s="1"/>
  <c r="A4" i="19"/>
  <c r="B4" i="19"/>
  <c r="C4" i="19"/>
  <c r="D4" i="19"/>
  <c r="E4" i="19"/>
  <c r="F4" i="19"/>
  <c r="G4" i="19"/>
  <c r="G25" i="19" s="1"/>
  <c r="H4" i="19"/>
  <c r="H25" i="19" s="1"/>
  <c r="I4" i="19"/>
  <c r="I25" i="19" s="1"/>
  <c r="J4" i="19"/>
  <c r="J25" i="19" s="1"/>
  <c r="K4" i="19"/>
  <c r="K25" i="19" s="1"/>
  <c r="L4" i="19"/>
  <c r="L25" i="19" s="1"/>
  <c r="A5" i="19"/>
  <c r="B5" i="19"/>
  <c r="C5" i="19"/>
  <c r="D5" i="19"/>
  <c r="E5" i="19"/>
  <c r="F5" i="19"/>
  <c r="G5" i="19"/>
  <c r="G29" i="19" s="1"/>
  <c r="H5" i="19"/>
  <c r="H29" i="19" s="1"/>
  <c r="I5" i="19"/>
  <c r="I29" i="19" s="1"/>
  <c r="J5" i="19"/>
  <c r="J29" i="19" s="1"/>
  <c r="K5" i="19"/>
  <c r="K29" i="19" s="1"/>
  <c r="L5" i="19"/>
  <c r="L29" i="19" s="1"/>
  <c r="A6" i="19"/>
  <c r="B6" i="19"/>
  <c r="C6" i="19"/>
  <c r="D6" i="19"/>
  <c r="E6" i="19"/>
  <c r="F6" i="19"/>
  <c r="G6" i="19"/>
  <c r="G33" i="19" s="1"/>
  <c r="H6" i="19"/>
  <c r="H33" i="19" s="1"/>
  <c r="I6" i="19"/>
  <c r="I33" i="19" s="1"/>
  <c r="J6" i="19"/>
  <c r="J33" i="19" s="1"/>
  <c r="K6" i="19"/>
  <c r="K33" i="19" s="1"/>
  <c r="L6" i="19"/>
  <c r="L33" i="19" s="1"/>
  <c r="A7" i="19"/>
  <c r="B7" i="19"/>
  <c r="C7" i="19"/>
  <c r="D7" i="19"/>
  <c r="E7" i="19"/>
  <c r="F7" i="19"/>
  <c r="G7" i="19"/>
  <c r="G37" i="19" s="1"/>
  <c r="H7" i="19"/>
  <c r="H37" i="19" s="1"/>
  <c r="I7" i="19"/>
  <c r="I37" i="19" s="1"/>
  <c r="J7" i="19"/>
  <c r="J37" i="19" s="1"/>
  <c r="K7" i="19"/>
  <c r="K37" i="19" s="1"/>
  <c r="L7" i="19"/>
  <c r="L37" i="19" s="1"/>
  <c r="A8" i="19"/>
  <c r="B8" i="19"/>
  <c r="C8" i="19"/>
  <c r="D8" i="19"/>
  <c r="E8" i="19"/>
  <c r="F8" i="19"/>
  <c r="G8" i="19"/>
  <c r="G41" i="19" s="1"/>
  <c r="H8" i="19"/>
  <c r="H41" i="19" s="1"/>
  <c r="I8" i="19"/>
  <c r="I41" i="19" s="1"/>
  <c r="J8" i="19"/>
  <c r="J41" i="19" s="1"/>
  <c r="K8" i="19"/>
  <c r="K41" i="19" s="1"/>
  <c r="L8" i="19"/>
  <c r="L41" i="19" s="1"/>
  <c r="A9" i="19"/>
  <c r="B9" i="19"/>
  <c r="C9" i="19"/>
  <c r="D9" i="19"/>
  <c r="E9" i="19"/>
  <c r="F9" i="19"/>
  <c r="G9" i="19"/>
  <c r="G45" i="19" s="1"/>
  <c r="H9" i="19"/>
  <c r="H45" i="19" s="1"/>
  <c r="I9" i="19"/>
  <c r="I45" i="19" s="1"/>
  <c r="J9" i="19"/>
  <c r="J45" i="19" s="1"/>
  <c r="K9" i="19"/>
  <c r="K45" i="19" s="1"/>
  <c r="L9" i="19"/>
  <c r="L45" i="19" s="1"/>
  <c r="A10" i="19"/>
  <c r="B10" i="19"/>
  <c r="C10" i="19"/>
  <c r="D10" i="19"/>
  <c r="E10" i="19"/>
  <c r="F10" i="19"/>
  <c r="G10" i="19"/>
  <c r="G49" i="19" s="1"/>
  <c r="H10" i="19"/>
  <c r="H49" i="19" s="1"/>
  <c r="I10" i="19"/>
  <c r="I49" i="19" s="1"/>
  <c r="J10" i="19"/>
  <c r="J49" i="19" s="1"/>
  <c r="K10" i="19"/>
  <c r="K49" i="19" s="1"/>
  <c r="L10" i="19"/>
  <c r="L49" i="19" s="1"/>
  <c r="A11" i="19"/>
  <c r="B11" i="19"/>
  <c r="C11" i="19"/>
  <c r="D11" i="19"/>
  <c r="E11" i="19"/>
  <c r="F11" i="19"/>
  <c r="G11" i="19"/>
  <c r="G53" i="19" s="1"/>
  <c r="H11" i="19"/>
  <c r="H53" i="19" s="1"/>
  <c r="I11" i="19"/>
  <c r="I53" i="19" s="1"/>
  <c r="J11" i="19"/>
  <c r="J53" i="19" s="1"/>
  <c r="K11" i="19"/>
  <c r="K53" i="19" s="1"/>
  <c r="L11" i="19"/>
  <c r="L53" i="19" s="1"/>
  <c r="A12" i="19"/>
  <c r="B12" i="19"/>
  <c r="C12" i="19"/>
  <c r="D12" i="19"/>
  <c r="E12" i="19"/>
  <c r="F12" i="19"/>
  <c r="G12" i="19"/>
  <c r="G57" i="19" s="1"/>
  <c r="H12" i="19"/>
  <c r="H57" i="19" s="1"/>
  <c r="I12" i="19"/>
  <c r="I57" i="19" s="1"/>
  <c r="J12" i="19"/>
  <c r="J57" i="19" s="1"/>
  <c r="K12" i="19"/>
  <c r="K57" i="19" s="1"/>
  <c r="L12" i="19"/>
  <c r="L57" i="19" s="1"/>
  <c r="C4" i="12"/>
  <c r="C5" i="12"/>
  <c r="C6" i="12"/>
  <c r="C7" i="12"/>
  <c r="C8" i="12"/>
  <c r="C9" i="12"/>
  <c r="C10" i="12"/>
  <c r="C11" i="12"/>
  <c r="C12" i="12"/>
  <c r="C3" i="12"/>
  <c r="S3" i="39" l="1"/>
  <c r="S27" i="39"/>
  <c r="V27" i="39" s="1"/>
  <c r="S15" i="39"/>
  <c r="V15" i="39" s="1"/>
  <c r="S4" i="39"/>
  <c r="V4" i="39" s="1"/>
  <c r="S28" i="39"/>
  <c r="V28" i="39" s="1"/>
  <c r="S16" i="39"/>
  <c r="V16" i="39" s="1"/>
  <c r="S5" i="39"/>
  <c r="V5" i="39" s="1"/>
  <c r="S29" i="39"/>
  <c r="V29" i="39" s="1"/>
  <c r="S17" i="39"/>
  <c r="V17" i="39" s="1"/>
  <c r="S7" i="39"/>
  <c r="S19" i="39"/>
  <c r="S31" i="39"/>
  <c r="S11" i="39"/>
  <c r="V11" i="39" s="1"/>
  <c r="S23" i="39"/>
  <c r="V23" i="39" s="1"/>
  <c r="S35" i="39"/>
  <c r="V35" i="39" s="1"/>
  <c r="S10" i="39"/>
  <c r="V10" i="39" s="1"/>
  <c r="S22" i="39"/>
  <c r="V22" i="39" s="1"/>
  <c r="S34" i="39"/>
  <c r="V34" i="39" s="1"/>
  <c r="S8" i="39"/>
  <c r="V8" i="39" s="1"/>
  <c r="S20" i="39"/>
  <c r="V20" i="39" s="1"/>
  <c r="S32" i="39"/>
  <c r="V32" i="39" s="1"/>
  <c r="S6" i="39"/>
  <c r="V6" i="39" s="1"/>
  <c r="S18" i="39"/>
  <c r="V18" i="39" s="1"/>
  <c r="S30" i="39"/>
  <c r="V30" i="39" s="1"/>
  <c r="T3" i="37"/>
  <c r="W4" i="37" a="1"/>
  <c r="W4" i="37" s="1"/>
  <c r="Q3" i="39"/>
  <c r="Q27" i="39"/>
  <c r="T27" i="39" s="1"/>
  <c r="Q15" i="39"/>
  <c r="T15" i="39" s="1"/>
  <c r="Q4" i="39"/>
  <c r="T4" i="39" s="1"/>
  <c r="Q28" i="39"/>
  <c r="T28" i="39" s="1"/>
  <c r="Q16" i="39"/>
  <c r="T16" i="39" s="1"/>
  <c r="Q5" i="39"/>
  <c r="T5" i="39" s="1"/>
  <c r="Q29" i="39"/>
  <c r="T29" i="39" s="1"/>
  <c r="Q17" i="39"/>
  <c r="T17" i="39" s="1"/>
  <c r="Q6" i="39"/>
  <c r="T6" i="39" s="1"/>
  <c r="Q18" i="39"/>
  <c r="T18" i="39" s="1"/>
  <c r="Q30" i="39"/>
  <c r="T30" i="39" s="1"/>
  <c r="Q7" i="39"/>
  <c r="Q31" i="39"/>
  <c r="Q19" i="39"/>
  <c r="Q8" i="39"/>
  <c r="T8" i="39" s="1"/>
  <c r="Q32" i="39"/>
  <c r="T32" i="39" s="1"/>
  <c r="Q20" i="39"/>
  <c r="T20" i="39" s="1"/>
  <c r="Q9" i="39"/>
  <c r="T9" i="39" s="1"/>
  <c r="Q33" i="39"/>
  <c r="T33" i="39" s="1"/>
  <c r="Q21" i="39"/>
  <c r="T21" i="39" s="1"/>
  <c r="Q10" i="39"/>
  <c r="T10" i="39" s="1"/>
  <c r="Q22" i="39"/>
  <c r="T22" i="39" s="1"/>
  <c r="Q34" i="39"/>
  <c r="T34" i="39" s="1"/>
  <c r="Q11" i="39"/>
  <c r="T11" i="39" s="1"/>
  <c r="Q23" i="39"/>
  <c r="T23" i="39" s="1"/>
  <c r="Q35" i="39"/>
  <c r="T35" i="39" s="1"/>
  <c r="Q12" i="39"/>
  <c r="T12" i="39" s="1"/>
  <c r="Q36" i="39"/>
  <c r="T36" i="39" s="1"/>
  <c r="Q24" i="39"/>
  <c r="T24" i="39" s="1"/>
  <c r="U3" i="37"/>
  <c r="X4" i="37" a="1"/>
  <c r="X4" i="37" s="1"/>
  <c r="R3" i="39"/>
  <c r="U3" i="39" s="1"/>
  <c r="R27" i="39"/>
  <c r="U27" i="39" s="1"/>
  <c r="R15" i="39"/>
  <c r="U15" i="39" s="1"/>
  <c r="R4" i="39"/>
  <c r="U4" i="39" s="1"/>
  <c r="R28" i="39"/>
  <c r="U28" i="39" s="1"/>
  <c r="R16" i="39"/>
  <c r="U16" i="39" s="1"/>
  <c r="R5" i="39"/>
  <c r="U5" i="39" s="1"/>
  <c r="R17" i="39"/>
  <c r="U17" i="39" s="1"/>
  <c r="R29" i="39"/>
  <c r="U29" i="39" s="1"/>
  <c r="R6" i="39"/>
  <c r="U6" i="39" s="1"/>
  <c r="R30" i="39"/>
  <c r="U30" i="39" s="1"/>
  <c r="R18" i="39"/>
  <c r="U18" i="39" s="1"/>
  <c r="R7" i="39"/>
  <c r="R31" i="39"/>
  <c r="R19" i="39"/>
  <c r="R8" i="39"/>
  <c r="U8" i="39" s="1"/>
  <c r="R32" i="39"/>
  <c r="U32" i="39" s="1"/>
  <c r="R20" i="39"/>
  <c r="U20" i="39" s="1"/>
  <c r="R9" i="39"/>
  <c r="U9" i="39" s="1"/>
  <c r="R33" i="39"/>
  <c r="U33" i="39" s="1"/>
  <c r="R21" i="39"/>
  <c r="U21" i="39" s="1"/>
  <c r="R10" i="39"/>
  <c r="U10" i="39" s="1"/>
  <c r="R22" i="39"/>
  <c r="U22" i="39" s="1"/>
  <c r="R34" i="39"/>
  <c r="U34" i="39" s="1"/>
  <c r="R11" i="39"/>
  <c r="U11" i="39" s="1"/>
  <c r="R35" i="39"/>
  <c r="U35" i="39" s="1"/>
  <c r="R23" i="39"/>
  <c r="U23" i="39" s="1"/>
  <c r="R12" i="39"/>
  <c r="U12" i="39" s="1"/>
  <c r="R36" i="39"/>
  <c r="U36" i="39" s="1"/>
  <c r="R24" i="39"/>
  <c r="U24" i="39" s="1"/>
  <c r="V3" i="37"/>
  <c r="Y4" i="37" a="1"/>
  <c r="Y4" i="37" s="1"/>
  <c r="S12" i="39"/>
  <c r="V12" i="39" s="1"/>
  <c r="S24" i="39"/>
  <c r="V24" i="39" s="1"/>
  <c r="S36" i="39"/>
  <c r="V36" i="39" s="1"/>
  <c r="S9" i="39"/>
  <c r="V9" i="39" s="1"/>
  <c r="S21" i="39"/>
  <c r="V21" i="39" s="1"/>
  <c r="S33" i="39"/>
  <c r="V33" i="39" s="1"/>
  <c r="T4" i="38"/>
  <c r="W5" i="38" a="1"/>
  <c r="W5" i="38" s="1"/>
  <c r="U4" i="38"/>
  <c r="X5" i="38" a="1"/>
  <c r="X5" i="38" s="1"/>
  <c r="V4" i="38"/>
  <c r="Y5" i="38" a="1"/>
  <c r="Y5" i="38" s="1"/>
  <c r="V3" i="39"/>
  <c r="T3" i="39"/>
  <c r="T7" i="39"/>
  <c r="V7" i="39"/>
  <c r="D22" i="19"/>
  <c r="F22" i="19"/>
  <c r="F23" i="19"/>
  <c r="E23" i="19"/>
  <c r="D23" i="19"/>
  <c r="E22" i="19"/>
  <c r="H51" i="4"/>
  <c r="I51" i="4"/>
  <c r="J51" i="4"/>
  <c r="K51" i="4"/>
  <c r="L51" i="4"/>
  <c r="M51" i="4"/>
  <c r="H52" i="4"/>
  <c r="I52" i="4"/>
  <c r="J52" i="4"/>
  <c r="K52" i="4"/>
  <c r="L52" i="4"/>
  <c r="M52" i="4"/>
  <c r="H53" i="4"/>
  <c r="I53" i="4"/>
  <c r="J53" i="4"/>
  <c r="K53" i="4"/>
  <c r="L53" i="4"/>
  <c r="M53" i="4"/>
  <c r="H54" i="4"/>
  <c r="I54" i="4"/>
  <c r="J54" i="4"/>
  <c r="K54" i="4"/>
  <c r="L54" i="4"/>
  <c r="M54" i="4"/>
  <c r="H47" i="4"/>
  <c r="I47" i="4"/>
  <c r="J47" i="4"/>
  <c r="K47" i="4"/>
  <c r="L47" i="4"/>
  <c r="M47" i="4"/>
  <c r="H48" i="4"/>
  <c r="I48" i="4"/>
  <c r="J48" i="4"/>
  <c r="K48" i="4"/>
  <c r="L48" i="4"/>
  <c r="M48" i="4"/>
  <c r="H49" i="4"/>
  <c r="I49" i="4"/>
  <c r="J49" i="4"/>
  <c r="K49" i="4"/>
  <c r="L49" i="4"/>
  <c r="M49" i="4"/>
  <c r="H50" i="4"/>
  <c r="I50" i="4"/>
  <c r="J50" i="4"/>
  <c r="K50" i="4"/>
  <c r="L50" i="4"/>
  <c r="M50" i="4"/>
  <c r="H43" i="4"/>
  <c r="I43" i="4"/>
  <c r="J43" i="4"/>
  <c r="K43" i="4"/>
  <c r="L43" i="4"/>
  <c r="M43" i="4"/>
  <c r="H44" i="4"/>
  <c r="I44" i="4"/>
  <c r="J44" i="4"/>
  <c r="K44" i="4"/>
  <c r="L44" i="4"/>
  <c r="M44" i="4"/>
  <c r="H45" i="4"/>
  <c r="I45" i="4"/>
  <c r="J45" i="4"/>
  <c r="K45" i="4"/>
  <c r="L45" i="4"/>
  <c r="M45" i="4"/>
  <c r="H46" i="4"/>
  <c r="I46" i="4"/>
  <c r="J46" i="4"/>
  <c r="K46" i="4"/>
  <c r="L46" i="4"/>
  <c r="M46" i="4"/>
  <c r="H39" i="4"/>
  <c r="I39" i="4"/>
  <c r="J39" i="4"/>
  <c r="K39" i="4"/>
  <c r="L39" i="4"/>
  <c r="M39" i="4"/>
  <c r="H40" i="4"/>
  <c r="I40" i="4"/>
  <c r="J40" i="4"/>
  <c r="K40" i="4"/>
  <c r="L40" i="4"/>
  <c r="M40" i="4"/>
  <c r="H41" i="4"/>
  <c r="I41" i="4"/>
  <c r="J41" i="4"/>
  <c r="K41" i="4"/>
  <c r="L41" i="4"/>
  <c r="M41" i="4"/>
  <c r="H42" i="4"/>
  <c r="I42" i="4"/>
  <c r="J42" i="4"/>
  <c r="K42" i="4"/>
  <c r="L42" i="4"/>
  <c r="M42" i="4"/>
  <c r="H35" i="4"/>
  <c r="I35" i="4"/>
  <c r="J35" i="4"/>
  <c r="K35" i="4"/>
  <c r="L35" i="4"/>
  <c r="M35" i="4"/>
  <c r="H36" i="4"/>
  <c r="I36" i="4"/>
  <c r="J36" i="4"/>
  <c r="K36" i="4"/>
  <c r="L36" i="4"/>
  <c r="M36" i="4"/>
  <c r="H37" i="4"/>
  <c r="I37" i="4"/>
  <c r="J37" i="4"/>
  <c r="K37" i="4"/>
  <c r="L37" i="4"/>
  <c r="M37" i="4"/>
  <c r="H38" i="4"/>
  <c r="I38" i="4"/>
  <c r="J38" i="4"/>
  <c r="K38" i="4"/>
  <c r="L38" i="4"/>
  <c r="M38" i="4"/>
  <c r="H31" i="4"/>
  <c r="I31" i="4"/>
  <c r="J31" i="4"/>
  <c r="K31" i="4"/>
  <c r="L31" i="4"/>
  <c r="M31" i="4"/>
  <c r="H32" i="4"/>
  <c r="I32" i="4"/>
  <c r="J32" i="4"/>
  <c r="K32" i="4"/>
  <c r="L32" i="4"/>
  <c r="M32" i="4"/>
  <c r="H33" i="4"/>
  <c r="I33" i="4"/>
  <c r="J33" i="4"/>
  <c r="K33" i="4"/>
  <c r="L33" i="4"/>
  <c r="M33" i="4"/>
  <c r="H34" i="4"/>
  <c r="I34" i="4"/>
  <c r="J34" i="4"/>
  <c r="K34" i="4"/>
  <c r="L34" i="4"/>
  <c r="M34" i="4"/>
  <c r="H27" i="4"/>
  <c r="I27" i="4"/>
  <c r="J27" i="4"/>
  <c r="K27" i="4"/>
  <c r="L27" i="4"/>
  <c r="M27" i="4"/>
  <c r="H28" i="4"/>
  <c r="I28" i="4"/>
  <c r="J28" i="4"/>
  <c r="K28" i="4"/>
  <c r="L28" i="4"/>
  <c r="M28" i="4"/>
  <c r="H29" i="4"/>
  <c r="I29" i="4"/>
  <c r="J29" i="4"/>
  <c r="K29" i="4"/>
  <c r="L29" i="4"/>
  <c r="M29" i="4"/>
  <c r="H30" i="4"/>
  <c r="I30" i="4"/>
  <c r="J30" i="4"/>
  <c r="K30" i="4"/>
  <c r="L30" i="4"/>
  <c r="M30" i="4"/>
  <c r="H24" i="4"/>
  <c r="I24" i="4"/>
  <c r="J24" i="4"/>
  <c r="K24" i="4"/>
  <c r="L24" i="4"/>
  <c r="M24" i="4"/>
  <c r="H25" i="4"/>
  <c r="I25" i="4"/>
  <c r="J25" i="4"/>
  <c r="K25" i="4"/>
  <c r="L25" i="4"/>
  <c r="M25" i="4"/>
  <c r="H26" i="4"/>
  <c r="I26" i="4"/>
  <c r="J26" i="4"/>
  <c r="K26" i="4"/>
  <c r="L26" i="4"/>
  <c r="M26" i="4"/>
  <c r="H3" i="4"/>
  <c r="I3" i="4"/>
  <c r="J3" i="4"/>
  <c r="K3" i="4"/>
  <c r="L3" i="4"/>
  <c r="M3" i="4"/>
  <c r="H4" i="4"/>
  <c r="I4" i="4"/>
  <c r="J4" i="4"/>
  <c r="K4" i="4"/>
  <c r="L4" i="4"/>
  <c r="M4" i="4"/>
  <c r="H5" i="4"/>
  <c r="I5" i="4"/>
  <c r="J5" i="4"/>
  <c r="K5" i="4"/>
  <c r="L5" i="4"/>
  <c r="M5" i="4"/>
  <c r="H6" i="4"/>
  <c r="I6" i="4"/>
  <c r="J6" i="4"/>
  <c r="K6" i="4"/>
  <c r="L6" i="4"/>
  <c r="M6" i="4"/>
  <c r="H7" i="4"/>
  <c r="I7" i="4"/>
  <c r="J7" i="4"/>
  <c r="K7" i="4"/>
  <c r="L7" i="4"/>
  <c r="M7" i="4"/>
  <c r="H8" i="4"/>
  <c r="I8" i="4"/>
  <c r="J8" i="4"/>
  <c r="K8" i="4"/>
  <c r="L8" i="4"/>
  <c r="M8" i="4"/>
  <c r="H9" i="4"/>
  <c r="I9" i="4"/>
  <c r="J9" i="4"/>
  <c r="K9" i="4"/>
  <c r="L9" i="4"/>
  <c r="M9" i="4"/>
  <c r="H10" i="4"/>
  <c r="I10" i="4"/>
  <c r="J10" i="4"/>
  <c r="K10" i="4"/>
  <c r="L10" i="4"/>
  <c r="M10" i="4"/>
  <c r="H11" i="4"/>
  <c r="I11" i="4"/>
  <c r="J11" i="4"/>
  <c r="K11" i="4"/>
  <c r="L11" i="4"/>
  <c r="M11" i="4"/>
  <c r="H12" i="4"/>
  <c r="I12" i="4"/>
  <c r="J12" i="4"/>
  <c r="K12" i="4"/>
  <c r="L12" i="4"/>
  <c r="M12" i="4"/>
  <c r="H13" i="4"/>
  <c r="I13" i="4"/>
  <c r="J13" i="4"/>
  <c r="K13" i="4"/>
  <c r="L13" i="4"/>
  <c r="M13" i="4"/>
  <c r="H14" i="4"/>
  <c r="I14" i="4"/>
  <c r="J14" i="4"/>
  <c r="K14" i="4"/>
  <c r="L14" i="4"/>
  <c r="M14" i="4"/>
  <c r="H15" i="4"/>
  <c r="I15" i="4"/>
  <c r="J15" i="4"/>
  <c r="K15" i="4"/>
  <c r="L15" i="4"/>
  <c r="M15" i="4"/>
  <c r="H16" i="4"/>
  <c r="I16" i="4"/>
  <c r="J16" i="4"/>
  <c r="K16" i="4"/>
  <c r="L16" i="4"/>
  <c r="M16" i="4"/>
  <c r="H17" i="4"/>
  <c r="I17" i="4"/>
  <c r="J17" i="4"/>
  <c r="K17" i="4"/>
  <c r="L17" i="4"/>
  <c r="M17" i="4"/>
  <c r="H18" i="4"/>
  <c r="I18" i="4"/>
  <c r="J18" i="4"/>
  <c r="K18" i="4"/>
  <c r="L18" i="4"/>
  <c r="M18" i="4"/>
  <c r="H19" i="4"/>
  <c r="I19" i="4"/>
  <c r="J19" i="4"/>
  <c r="K19" i="4"/>
  <c r="L19" i="4"/>
  <c r="M19" i="4"/>
  <c r="H20" i="4"/>
  <c r="I20" i="4"/>
  <c r="J20" i="4"/>
  <c r="K20" i="4"/>
  <c r="L20" i="4"/>
  <c r="M20" i="4"/>
  <c r="H21" i="4"/>
  <c r="I21" i="4"/>
  <c r="J21" i="4"/>
  <c r="K21" i="4"/>
  <c r="L21" i="4"/>
  <c r="M21" i="4"/>
  <c r="H22" i="4"/>
  <c r="I22" i="4"/>
  <c r="J22" i="4"/>
  <c r="K22" i="4"/>
  <c r="L22" i="4"/>
  <c r="M22" i="4"/>
  <c r="H23" i="4"/>
  <c r="I23" i="4"/>
  <c r="J23" i="4"/>
  <c r="K23" i="4"/>
  <c r="L23" i="4"/>
  <c r="M23" i="4"/>
  <c r="U7" i="39" l="1"/>
  <c r="V19" i="39"/>
  <c r="Y16" i="39" a="1"/>
  <c r="Y16" i="39" s="1"/>
  <c r="U31" i="39"/>
  <c r="X28" i="39" a="1"/>
  <c r="X28" i="39" s="1"/>
  <c r="T19" i="39"/>
  <c r="W16" i="39" a="1"/>
  <c r="W16" i="39" s="1"/>
  <c r="T31" i="39"/>
  <c r="W28" i="39" a="1"/>
  <c r="W28" i="39" s="1"/>
  <c r="V31" i="39"/>
  <c r="Y28" i="39" a="1"/>
  <c r="Y28" i="39" s="1"/>
  <c r="U19" i="39"/>
  <c r="X16" i="39" a="1"/>
  <c r="X16" i="39" s="1"/>
  <c r="X12" i="12"/>
  <c r="W12" i="12"/>
  <c r="V12" i="12"/>
  <c r="U12" i="12"/>
  <c r="T12" i="12"/>
  <c r="S12" i="12"/>
  <c r="X11" i="12"/>
  <c r="W11" i="12"/>
  <c r="V11" i="12"/>
  <c r="U11" i="12"/>
  <c r="T11" i="12"/>
  <c r="S11" i="12"/>
  <c r="X10" i="12"/>
  <c r="W10" i="12"/>
  <c r="V10" i="12"/>
  <c r="U10" i="12"/>
  <c r="T10" i="12"/>
  <c r="S10" i="12"/>
  <c r="X9" i="12"/>
  <c r="W9" i="12"/>
  <c r="V9" i="12"/>
  <c r="U9" i="12"/>
  <c r="T9" i="12"/>
  <c r="S9" i="12"/>
  <c r="X8" i="12"/>
  <c r="W8" i="12"/>
  <c r="V8" i="12"/>
  <c r="U8" i="12"/>
  <c r="T8" i="12"/>
  <c r="S8" i="12"/>
  <c r="X7" i="12"/>
  <c r="W7" i="12"/>
  <c r="V7" i="12"/>
  <c r="U7" i="12"/>
  <c r="T7" i="12"/>
  <c r="S7" i="12"/>
  <c r="X6" i="12"/>
  <c r="W6" i="12"/>
  <c r="V6" i="12"/>
  <c r="U6" i="12"/>
  <c r="T6" i="12"/>
  <c r="S6" i="12"/>
  <c r="X5" i="12"/>
  <c r="W5" i="12"/>
  <c r="V5" i="12"/>
  <c r="U5" i="12"/>
  <c r="T5" i="12"/>
  <c r="S5" i="12"/>
  <c r="X4" i="12"/>
  <c r="W4" i="12"/>
  <c r="V4" i="12"/>
  <c r="U4" i="12"/>
  <c r="T4" i="12"/>
  <c r="S4" i="12"/>
  <c r="X3" i="12"/>
  <c r="W3" i="12"/>
  <c r="V3" i="12"/>
  <c r="U3" i="12"/>
  <c r="T3" i="12"/>
  <c r="S3" i="12"/>
  <c r="Q4" i="19" l="1"/>
  <c r="T4" i="19" s="1"/>
  <c r="R4" i="19"/>
  <c r="U4" i="19" s="1"/>
  <c r="S4" i="19"/>
  <c r="V4" i="19" s="1"/>
  <c r="Q5" i="19"/>
  <c r="T5" i="19" s="1"/>
  <c r="R5" i="19"/>
  <c r="U5" i="19" s="1"/>
  <c r="S5" i="19"/>
  <c r="V5" i="19" s="1"/>
  <c r="Q6" i="19"/>
  <c r="T6" i="19" s="1"/>
  <c r="R6" i="19"/>
  <c r="U6" i="19" s="1"/>
  <c r="S6" i="19"/>
  <c r="V6" i="19" s="1"/>
  <c r="Q7" i="19"/>
  <c r="T7" i="19" s="1"/>
  <c r="R7" i="19"/>
  <c r="U7" i="19" s="1"/>
  <c r="S7" i="19"/>
  <c r="V7" i="19" s="1"/>
  <c r="Q8" i="19"/>
  <c r="T8" i="19" s="1"/>
  <c r="R8" i="19"/>
  <c r="U8" i="19" s="1"/>
  <c r="S8" i="19"/>
  <c r="V8" i="19" s="1"/>
  <c r="Q9" i="19"/>
  <c r="T9" i="19" s="1"/>
  <c r="R9" i="19"/>
  <c r="U9" i="19" s="1"/>
  <c r="S9" i="19"/>
  <c r="V9" i="19" s="1"/>
  <c r="Q10" i="19"/>
  <c r="T10" i="19" s="1"/>
  <c r="R10" i="19"/>
  <c r="U10" i="19" s="1"/>
  <c r="S10" i="19"/>
  <c r="V10" i="19" s="1"/>
  <c r="Q11" i="19"/>
  <c r="T11" i="19" s="1"/>
  <c r="R11" i="19"/>
  <c r="U11" i="19" s="1"/>
  <c r="S11" i="19"/>
  <c r="V11" i="19" s="1"/>
  <c r="Q12" i="19"/>
  <c r="T12" i="19" s="1"/>
  <c r="R12" i="19"/>
  <c r="U12" i="19" s="1"/>
  <c r="S12" i="19"/>
  <c r="V12" i="19" s="1"/>
  <c r="S3" i="19" l="1"/>
  <c r="V3" i="19" s="1"/>
  <c r="R3" i="19"/>
  <c r="U3" i="19" s="1"/>
  <c r="X4" i="19" l="1" a="1"/>
  <c r="X4" i="19" s="1"/>
  <c r="Y4" i="19" a="1"/>
  <c r="Y4" i="19" s="1"/>
  <c r="Q3" i="19"/>
  <c r="T3" i="19" l="1"/>
  <c r="W4" i="19" a="1"/>
  <c r="W4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tc={9EB5CE06-DB26-4DCB-A766-79CF3EB88D3B}</author>
  </authors>
  <commentList>
    <comment ref="A9" authorId="0" shapeId="0" xr:uid="{9EB5CE06-DB26-4DCB-A766-79CF3EB88D3B}">
      <text>
        <t>[Threaded comment]
Your version of Excel allows you to read this threaded comment; however, any edits to it will get removed if the file is opened in a newer version of Excel. Learn more: https://go.microsoft.com/fwlink/?linkid=870924
Comment:
    0.07 N under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<sst xmlns="http://schemas.openxmlformats.org/spreadsheetml/2006/main" count="303" uniqueCount="47">
  <si>
    <t>Fx (N)</t>
  </si>
  <si>
    <t>Fy (N)</t>
  </si>
  <si>
    <t>Fz (N)</t>
  </si>
  <si>
    <t>Tx (Nm)</t>
  </si>
  <si>
    <t>Ty (Nm)</t>
  </si>
  <si>
    <t>Tz(Nm)</t>
  </si>
  <si>
    <t>6-Axis FT Sensor</t>
  </si>
  <si>
    <t>SoRoSim get_distal_value</t>
  </si>
  <si>
    <t>tau1 (N)</t>
  </si>
  <si>
    <t>tau2 (N)</t>
  </si>
  <si>
    <t>tau3 (N)</t>
  </si>
  <si>
    <t>Ground Truth</t>
  </si>
  <si>
    <t>SoRoSim get_proximal_value</t>
  </si>
  <si>
    <t>Distal Errors</t>
  </si>
  <si>
    <t>Proximal Errors</t>
  </si>
  <si>
    <t>Fx</t>
  </si>
  <si>
    <t>Fy</t>
  </si>
  <si>
    <t>Fz</t>
  </si>
  <si>
    <t>Tx</t>
  </si>
  <si>
    <t>Ty</t>
  </si>
  <si>
    <t>Tz</t>
  </si>
  <si>
    <t>Raw Data</t>
  </si>
  <si>
    <t>Converted</t>
  </si>
  <si>
    <t>F1 (N)</t>
  </si>
  <si>
    <t>s1 (m)</t>
  </si>
  <si>
    <t>el1 (rad)</t>
  </si>
  <si>
    <t>Absolute Mean Error</t>
  </si>
  <si>
    <t>f_final</t>
  </si>
  <si>
    <t>;</t>
  </si>
  <si>
    <t>[</t>
  </si>
  <si>
    <t>]</t>
  </si>
  <si>
    <t>Perturbation</t>
  </si>
  <si>
    <t>Supporting Measurments w Perturbation</t>
  </si>
  <si>
    <t>Trial #</t>
  </si>
  <si>
    <t>F (N)</t>
  </si>
  <si>
    <t>s (m)</t>
  </si>
  <si>
    <t>theta (rad)</t>
  </si>
  <si>
    <t>{</t>
  </si>
  <si>
    <t>}</t>
  </si>
  <si>
    <t>SoRoSim get_distal_value (lambda = 0.5)</t>
  </si>
  <si>
    <t>ABS Distal Errors</t>
  </si>
  <si>
    <t>SoRoSim get_distal_value (lambda = 1)</t>
  </si>
  <si>
    <t>3 Perturbations</t>
  </si>
  <si>
    <t>3 Perturbation (relative only)</t>
  </si>
  <si>
    <t>SoRoSim get_distal_value (3 Perturbations)</t>
  </si>
  <si>
    <t>SoRoSim get_distal_value (2 Perturbations)</t>
  </si>
  <si>
    <t>SoRoSim get_distal_value (1 Perturbations)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</si>
</sst>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0.000000"/>
  </numFmts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1BD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D6D"/>
        <bgColor indexed="64"/>
      </patternFill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10" borderId="0" applyNumberFormat="0" applyBorder="0" applyAlignment="0" applyProtection="0"/>
  </cellStyleXfs>
  <cellXfs count="36">
    <xf numFmtId="0" fontId="0" fillId="0" borderId="0" xfId="0"/>
    <xf numFmtId="0" fontId="1" fillId="6" borderId="1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11" fontId="0" fillId="0" borderId="0" xfId="0" applyNumberFormat="1"/>
    <xf numFmtId="164" fontId="3" fillId="8" borderId="1" xfId="0" applyNumberFormat="1" applyFont="1" applyFill="1" applyBorder="1"/>
    <xf numFmtId="0" fontId="0" fillId="0" borderId="1" xfId="0" applyBorder="1"/>
    <xf numFmtId="165" fontId="0" fillId="0" borderId="0" xfId="0" applyNumberFormat="1"/>
    <xf numFmtId="164" fontId="3" fillId="0" borderId="1" xfId="0" applyNumberFormat="1" applyFont="1" applyBorder="1"/>
    <xf numFmtId="164" fontId="0" fillId="0" borderId="0" xfId="0" applyNumberFormat="1"/>
    <xf numFmtId="1" fontId="3" fillId="8" borderId="1" xfId="0" applyNumberFormat="1" applyFont="1" applyFill="1" applyBorder="1"/>
    <xf numFmtId="11" fontId="3" fillId="8" borderId="1" xfId="0" applyNumberFormat="1" applyFont="1" applyFill="1" applyBorder="1"/>
    <xf numFmtId="11" fontId="3" fillId="0" borderId="1" xfId="0" applyNumberFormat="1" applyFont="1" applyBorder="1"/>
    <xf numFmtId="166" fontId="0" fillId="0" borderId="0" xfId="0" applyNumberFormat="1" applyAlignment="1">
      <alignment horizontal="left"/>
    </xf>
    <xf numFmtId="164" fontId="4" fillId="10" borderId="1" xfId="1" applyNumberFormat="1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0" fillId="0" borderId="0" xfId="0"/>
    <xf numFmtId="0" fontId="1" fillId="4" borderId="10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6" borderId="11" xfId="0" applyFont="1" applyFill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B1BDF9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oah Jones" id="{FD53D01F-641D-41FA-BC0D-3EAB90FBFB01}" userId="S::Noah@familiajones.org::c7736cb5-d3f8-4f6c-bac8-cbab17b7e33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9" dT="2025-11-19T06:23:27.36" personId="{FD53D01F-641D-41FA-BC0D-3EAB90FBFB01}" id="{9EB5CE06-DB26-4DCB-A766-79CF3EB88D3B}">
    <text>0.07 N under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3EDC-8536-442D-A8D3-F37978D4DE80}">
  <dimension ref="A1:X14"/>
  <sheetViews>
    <sheetView workbookViewId="0">
      <selection activeCell="A12" sqref="A12:F12"/>
    </sheetView>
  </sheetViews>
  <sheetFormatPr defaultRowHeight="16.5" customHeight="1" x14ac:dyDescent="0.25"/>
  <cols>
    <col min="1" max="1" width="6.5703125" bestFit="1" customWidth="1"/>
    <col min="2" max="2" width="6.85546875" bestFit="1" customWidth="1"/>
    <col min="3" max="3" width="10.7109375" bestFit="1" customWidth="1"/>
    <col min="4" max="6" width="8.42578125" bestFit="1" customWidth="1"/>
    <col min="7" max="8" width="8.140625" bestFit="1" customWidth="1"/>
    <col min="9" max="9" width="7.7109375" bestFit="1" customWidth="1"/>
    <col min="10" max="12" width="6.42578125" bestFit="1" customWidth="1"/>
    <col min="13" max="13" width="9.5703125" bestFit="1" customWidth="1"/>
    <col min="14" max="14" width="8.5703125" bestFit="1" customWidth="1"/>
    <col min="15" max="18" width="9.28515625" bestFit="1" customWidth="1"/>
    <col min="19" max="20" width="8.140625" bestFit="1" customWidth="1"/>
    <col min="21" max="21" width="7.7109375" bestFit="1" customWidth="1"/>
    <col min="22" max="24" width="7.28515625" bestFit="1" customWidth="1"/>
  </cols>
  <sheetData>
    <row r="1" spans="1:24" ht="16.5" customHeight="1" x14ac:dyDescent="0.25">
      <c r="A1" s="15" t="s">
        <v>11</v>
      </c>
      <c r="B1" s="15"/>
      <c r="C1" s="15"/>
      <c r="D1" s="15"/>
      <c r="E1" s="15"/>
      <c r="F1" s="16"/>
      <c r="G1" s="17" t="s">
        <v>6</v>
      </c>
      <c r="H1" s="18"/>
      <c r="I1" s="18"/>
      <c r="J1" s="18"/>
      <c r="K1" s="18"/>
      <c r="L1" s="18"/>
      <c r="M1" s="19" t="s">
        <v>12</v>
      </c>
      <c r="N1" s="20"/>
      <c r="O1" s="20"/>
      <c r="P1" s="20"/>
      <c r="Q1" s="20"/>
      <c r="R1" s="20"/>
      <c r="S1" s="21" t="s">
        <v>14</v>
      </c>
      <c r="T1" s="22"/>
      <c r="U1" s="22"/>
      <c r="V1" s="22"/>
      <c r="W1" s="22"/>
      <c r="X1" s="23"/>
    </row>
    <row r="2" spans="1:24" ht="16.5" customHeight="1" x14ac:dyDescent="0.25">
      <c r="A2" s="1" t="s">
        <v>34</v>
      </c>
      <c r="B2" s="1" t="s">
        <v>35</v>
      </c>
      <c r="C2" s="1" t="s">
        <v>36</v>
      </c>
      <c r="D2" s="1" t="s">
        <v>8</v>
      </c>
      <c r="E2" s="1" t="s">
        <v>9</v>
      </c>
      <c r="F2" s="1" t="s">
        <v>10</v>
      </c>
      <c r="G2" s="2" t="s">
        <v>3</v>
      </c>
      <c r="H2" s="1" t="s">
        <v>4</v>
      </c>
      <c r="I2" s="1" t="s">
        <v>5</v>
      </c>
      <c r="J2" s="1" t="s">
        <v>0</v>
      </c>
      <c r="K2" s="1" t="s">
        <v>1</v>
      </c>
      <c r="L2" s="1" t="s">
        <v>2</v>
      </c>
      <c r="M2" s="3" t="s">
        <v>3</v>
      </c>
      <c r="N2" s="1" t="s">
        <v>4</v>
      </c>
      <c r="O2" s="1" t="s">
        <v>5</v>
      </c>
      <c r="P2" s="1" t="s">
        <v>0</v>
      </c>
      <c r="Q2" s="1" t="s">
        <v>1</v>
      </c>
      <c r="R2" s="1" t="s">
        <v>2</v>
      </c>
      <c r="S2" s="1" t="s">
        <v>3</v>
      </c>
      <c r="T2" s="1" t="s">
        <v>4</v>
      </c>
      <c r="U2" s="1" t="s">
        <v>5</v>
      </c>
      <c r="V2" s="1" t="s">
        <v>0</v>
      </c>
      <c r="W2" s="1" t="s">
        <v>1</v>
      </c>
      <c r="X2" s="1" t="s">
        <v>2</v>
      </c>
    </row>
    <row r="3" spans="1:24" s="5" customFormat="1" ht="16.5" customHeight="1" x14ac:dyDescent="0.25">
      <c r="A3" s="14">
        <v>0.4</v>
      </c>
      <c r="B3" s="14">
        <v>0.06</v>
      </c>
      <c r="C3" s="14">
        <f>PI()/2</f>
        <v>1.5707963267948966</v>
      </c>
      <c r="D3" s="14">
        <v>0</v>
      </c>
      <c r="E3" s="14">
        <v>0</v>
      </c>
      <c r="F3" s="14">
        <v>0</v>
      </c>
      <c r="G3" s="5">
        <v>4.2863236740231498E-4</v>
      </c>
      <c r="H3" s="5">
        <v>-6.0315418988466298E-2</v>
      </c>
      <c r="I3" s="5">
        <v>-2.55721563007683E-4</v>
      </c>
      <c r="J3" s="5">
        <v>-4.1011810302734403E-2</v>
      </c>
      <c r="K3" s="5">
        <v>7.4238330125808705E-4</v>
      </c>
      <c r="L3" s="5">
        <v>0.38065329194068898</v>
      </c>
      <c r="S3" s="5">
        <f>G3-M3</f>
        <v>4.2863236740231498E-4</v>
      </c>
      <c r="T3" s="5">
        <f t="shared" ref="T3:X3" si="0">H3-N3</f>
        <v>-6.0315418988466298E-2</v>
      </c>
      <c r="U3" s="5">
        <f t="shared" si="0"/>
        <v>-2.55721563007683E-4</v>
      </c>
      <c r="V3" s="5">
        <f t="shared" si="0"/>
        <v>-4.1011810302734403E-2</v>
      </c>
      <c r="W3" s="5">
        <f t="shared" si="0"/>
        <v>7.4238330125808705E-4</v>
      </c>
      <c r="X3" s="5">
        <f t="shared" si="0"/>
        <v>0.38065329194068898</v>
      </c>
    </row>
    <row r="4" spans="1:24" s="5" customFormat="1" ht="16.5" customHeight="1" x14ac:dyDescent="0.25">
      <c r="A4" s="14">
        <v>0.8</v>
      </c>
      <c r="B4" s="14">
        <v>0.06</v>
      </c>
      <c r="C4" s="14">
        <f t="shared" ref="C4:C12" si="1">PI()/2</f>
        <v>1.5707963267948966</v>
      </c>
      <c r="D4" s="14">
        <v>0</v>
      </c>
      <c r="E4" s="14">
        <v>0</v>
      </c>
      <c r="F4" s="14">
        <v>0</v>
      </c>
      <c r="G4" s="5">
        <v>6.2025361694395499E-4</v>
      </c>
      <c r="H4" s="5">
        <v>-0.13314910233020799</v>
      </c>
      <c r="I4" s="5">
        <v>-2.3612950462847899E-4</v>
      </c>
      <c r="J4" s="5">
        <v>-0.197828054428101</v>
      </c>
      <c r="K4" s="5">
        <v>3.5987794399261501E-3</v>
      </c>
      <c r="L4" s="5">
        <v>0.83635294437408403</v>
      </c>
      <c r="S4" s="5">
        <f t="shared" ref="S4:S12" si="2">G4-M4</f>
        <v>6.2025361694395499E-4</v>
      </c>
      <c r="T4" s="5">
        <f t="shared" ref="T4:T12" si="3">H4-N4</f>
        <v>-0.13314910233020799</v>
      </c>
      <c r="U4" s="5">
        <f t="shared" ref="U4:U12" si="4">I4-O4</f>
        <v>-2.3612950462847899E-4</v>
      </c>
      <c r="V4" s="5">
        <f t="shared" ref="V4:V12" si="5">J4-P4</f>
        <v>-0.197828054428101</v>
      </c>
      <c r="W4" s="5">
        <f t="shared" ref="W4:W12" si="6">K4-Q4</f>
        <v>3.5987794399261501E-3</v>
      </c>
      <c r="X4" s="5">
        <f t="shared" ref="X4:X12" si="7">L4-R4</f>
        <v>0.83635294437408403</v>
      </c>
    </row>
    <row r="5" spans="1:24" s="5" customFormat="1" ht="16.5" customHeight="1" x14ac:dyDescent="0.25">
      <c r="A5" s="14">
        <v>0.3</v>
      </c>
      <c r="B5" s="14">
        <v>0.08</v>
      </c>
      <c r="C5" s="14">
        <f t="shared" si="1"/>
        <v>1.5707963267948966</v>
      </c>
      <c r="D5" s="14">
        <v>0</v>
      </c>
      <c r="E5" s="14">
        <v>0</v>
      </c>
      <c r="F5" s="14">
        <v>0</v>
      </c>
      <c r="G5" s="5">
        <v>1.679906854406E-4</v>
      </c>
      <c r="H5" s="5">
        <v>-4.5721895992755897E-2</v>
      </c>
      <c r="I5" s="5">
        <v>-3.8841026253067E-4</v>
      </c>
      <c r="J5" s="5">
        <v>-3.3596165478229502E-2</v>
      </c>
      <c r="K5" s="5">
        <v>-1.0348893702030199E-3</v>
      </c>
      <c r="L5" s="5">
        <v>0.25438803434371898</v>
      </c>
      <c r="S5" s="5">
        <f t="shared" si="2"/>
        <v>1.679906854406E-4</v>
      </c>
      <c r="T5" s="5">
        <f t="shared" si="3"/>
        <v>-4.5721895992755897E-2</v>
      </c>
      <c r="U5" s="5">
        <f t="shared" si="4"/>
        <v>-3.8841026253067E-4</v>
      </c>
      <c r="V5" s="5">
        <f t="shared" si="5"/>
        <v>-3.3596165478229502E-2</v>
      </c>
      <c r="W5" s="5">
        <f t="shared" si="6"/>
        <v>-1.0348893702030199E-3</v>
      </c>
      <c r="X5" s="5">
        <f t="shared" si="7"/>
        <v>0.25438803434371898</v>
      </c>
    </row>
    <row r="6" spans="1:24" s="5" customFormat="1" ht="16.5" customHeight="1" x14ac:dyDescent="0.25">
      <c r="A6" s="14">
        <v>0.5</v>
      </c>
      <c r="B6" s="14">
        <v>0.1</v>
      </c>
      <c r="C6" s="14">
        <f t="shared" si="1"/>
        <v>1.5707963267948966</v>
      </c>
      <c r="D6" s="14">
        <v>0</v>
      </c>
      <c r="E6" s="14">
        <v>0</v>
      </c>
      <c r="F6" s="14">
        <v>0</v>
      </c>
      <c r="G6" s="5">
        <v>3.3436843659728798E-4</v>
      </c>
      <c r="H6" s="5">
        <v>-9.1593101620674106E-2</v>
      </c>
      <c r="I6" s="5">
        <v>-1.09562510624528E-3</v>
      </c>
      <c r="J6" s="5">
        <v>-0.13726633787155201</v>
      </c>
      <c r="K6" s="5">
        <v>-2.9727667570114101E-3</v>
      </c>
      <c r="L6" s="5">
        <v>0.44673037528991699</v>
      </c>
      <c r="S6" s="5">
        <f t="shared" si="2"/>
        <v>3.3436843659728798E-4</v>
      </c>
      <c r="T6" s="5">
        <f t="shared" si="3"/>
        <v>-9.1593101620674106E-2</v>
      </c>
      <c r="U6" s="5">
        <f t="shared" si="4"/>
        <v>-1.09562510624528E-3</v>
      </c>
      <c r="V6" s="5">
        <f t="shared" si="5"/>
        <v>-0.13726633787155201</v>
      </c>
      <c r="W6" s="5">
        <f t="shared" si="6"/>
        <v>-2.9727667570114101E-3</v>
      </c>
      <c r="X6" s="5">
        <f t="shared" si="7"/>
        <v>0.44673037528991699</v>
      </c>
    </row>
    <row r="7" spans="1:24" s="5" customFormat="1" ht="16.5" customHeight="1" x14ac:dyDescent="0.25">
      <c r="A7" s="14">
        <v>0.7</v>
      </c>
      <c r="B7" s="14">
        <v>0.1</v>
      </c>
      <c r="C7" s="14">
        <f t="shared" si="1"/>
        <v>1.5707963267948966</v>
      </c>
      <c r="D7" s="14">
        <v>0</v>
      </c>
      <c r="E7" s="14">
        <v>0</v>
      </c>
      <c r="F7" s="14">
        <v>0</v>
      </c>
      <c r="G7" s="5">
        <v>5.2663497626781498E-5</v>
      </c>
      <c r="H7" s="5">
        <v>-0.12548637390136699</v>
      </c>
      <c r="I7" s="5">
        <v>-9.7444711718708298E-4</v>
      </c>
      <c r="J7" s="5">
        <v>-0.25848296284675598</v>
      </c>
      <c r="K7" s="5">
        <v>6.1889737844467196E-4</v>
      </c>
      <c r="L7" s="5">
        <v>0.60252058506011996</v>
      </c>
      <c r="S7" s="5">
        <f t="shared" si="2"/>
        <v>5.2663497626781498E-5</v>
      </c>
      <c r="T7" s="5">
        <f t="shared" si="3"/>
        <v>-0.12548637390136699</v>
      </c>
      <c r="U7" s="5">
        <f t="shared" si="4"/>
        <v>-9.7444711718708298E-4</v>
      </c>
      <c r="V7" s="5">
        <f t="shared" si="5"/>
        <v>-0.25848296284675598</v>
      </c>
      <c r="W7" s="5">
        <f t="shared" si="6"/>
        <v>6.1889737844467196E-4</v>
      </c>
      <c r="X7" s="5">
        <f t="shared" si="7"/>
        <v>0.60252058506011996</v>
      </c>
    </row>
    <row r="8" spans="1:24" s="5" customFormat="1" ht="16.5" customHeight="1" x14ac:dyDescent="0.25">
      <c r="A8" s="14">
        <v>0.4</v>
      </c>
      <c r="B8" s="14">
        <v>0.16</v>
      </c>
      <c r="C8" s="14">
        <f t="shared" si="1"/>
        <v>1.5707963267948966</v>
      </c>
      <c r="D8" s="14">
        <v>0</v>
      </c>
      <c r="E8" s="14">
        <v>0</v>
      </c>
      <c r="F8" s="14">
        <v>0</v>
      </c>
      <c r="G8" s="5">
        <v>3.1168537680059699E-4</v>
      </c>
      <c r="H8" s="5">
        <v>-7.88237899541855E-2</v>
      </c>
      <c r="I8" s="5">
        <v>-1.01786095183343E-3</v>
      </c>
      <c r="J8" s="5">
        <v>-0.13838192820549</v>
      </c>
      <c r="K8" s="5">
        <v>-1.14574655890465E-3</v>
      </c>
      <c r="L8" s="5">
        <v>0.27298316359519997</v>
      </c>
      <c r="S8" s="5">
        <f t="shared" si="2"/>
        <v>3.1168537680059699E-4</v>
      </c>
      <c r="T8" s="5">
        <f t="shared" si="3"/>
        <v>-7.88237899541855E-2</v>
      </c>
      <c r="U8" s="5">
        <f t="shared" si="4"/>
        <v>-1.01786095183343E-3</v>
      </c>
      <c r="V8" s="5">
        <f t="shared" si="5"/>
        <v>-0.13838192820549</v>
      </c>
      <c r="W8" s="5">
        <f t="shared" si="6"/>
        <v>-1.14574655890465E-3</v>
      </c>
      <c r="X8" s="5">
        <f t="shared" si="7"/>
        <v>0.27298316359519997</v>
      </c>
    </row>
    <row r="9" spans="1:24" s="5" customFormat="1" ht="16.5" customHeight="1" x14ac:dyDescent="0.25">
      <c r="A9" s="14">
        <v>0.6</v>
      </c>
      <c r="B9" s="14">
        <v>0.16</v>
      </c>
      <c r="C9" s="14">
        <f t="shared" si="1"/>
        <v>1.5707963267948966</v>
      </c>
      <c r="D9" s="14">
        <v>0</v>
      </c>
      <c r="E9" s="14">
        <v>0</v>
      </c>
      <c r="F9" s="14">
        <v>0</v>
      </c>
      <c r="G9" s="5">
        <v>4.6556734014302498E-4</v>
      </c>
      <c r="H9" s="5">
        <v>-0.13455995917320299</v>
      </c>
      <c r="I9" s="5">
        <v>-1.54974625911564E-3</v>
      </c>
      <c r="J9" s="5">
        <v>-0.33463472127914401</v>
      </c>
      <c r="K9" s="5">
        <v>-5.6979432702064503E-4</v>
      </c>
      <c r="L9" s="5">
        <v>0.42998898029327398</v>
      </c>
      <c r="S9" s="5">
        <f t="shared" si="2"/>
        <v>4.6556734014302498E-4</v>
      </c>
      <c r="T9" s="5">
        <f t="shared" si="3"/>
        <v>-0.13455995917320299</v>
      </c>
      <c r="U9" s="5">
        <f t="shared" si="4"/>
        <v>-1.54974625911564E-3</v>
      </c>
      <c r="V9" s="5">
        <f t="shared" si="5"/>
        <v>-0.33463472127914401</v>
      </c>
      <c r="W9" s="5">
        <f t="shared" si="6"/>
        <v>-5.6979432702064503E-4</v>
      </c>
      <c r="X9" s="5">
        <f t="shared" si="7"/>
        <v>0.42998898029327398</v>
      </c>
    </row>
    <row r="10" spans="1:24" s="5" customFormat="1" ht="16.5" customHeight="1" x14ac:dyDescent="0.25">
      <c r="A10" s="14">
        <v>0.8</v>
      </c>
      <c r="B10" s="14">
        <v>0.18</v>
      </c>
      <c r="C10" s="14">
        <f t="shared" si="1"/>
        <v>1.5707963267948966</v>
      </c>
      <c r="D10" s="14">
        <v>0</v>
      </c>
      <c r="E10" s="14">
        <v>0</v>
      </c>
      <c r="F10" s="14">
        <v>0</v>
      </c>
      <c r="G10" s="5">
        <v>1.2284044642001399E-3</v>
      </c>
      <c r="H10" s="5">
        <v>-0.113915167748928</v>
      </c>
      <c r="I10" s="5">
        <v>-2.0511765033006698E-3</v>
      </c>
      <c r="J10" s="5">
        <v>-0.53618127107620195</v>
      </c>
      <c r="K10" s="5">
        <v>-3.6365408450365101E-3</v>
      </c>
      <c r="L10" s="5">
        <v>0.105719238519669</v>
      </c>
      <c r="S10" s="5">
        <f t="shared" si="2"/>
        <v>1.2284044642001399E-3</v>
      </c>
      <c r="T10" s="5">
        <f t="shared" si="3"/>
        <v>-0.113915167748928</v>
      </c>
      <c r="U10" s="5">
        <f t="shared" si="4"/>
        <v>-2.0511765033006698E-3</v>
      </c>
      <c r="V10" s="5">
        <f t="shared" si="5"/>
        <v>-0.53618127107620195</v>
      </c>
      <c r="W10" s="5">
        <f t="shared" si="6"/>
        <v>-3.6365408450365101E-3</v>
      </c>
      <c r="X10" s="5">
        <f t="shared" si="7"/>
        <v>0.105719238519669</v>
      </c>
    </row>
    <row r="11" spans="1:24" s="5" customFormat="1" ht="16.5" customHeight="1" x14ac:dyDescent="0.25">
      <c r="A11" s="14">
        <v>0.3</v>
      </c>
      <c r="B11" s="14">
        <v>0.2</v>
      </c>
      <c r="C11" s="14">
        <f t="shared" si="1"/>
        <v>1.5707963267948966</v>
      </c>
      <c r="D11" s="14">
        <v>0</v>
      </c>
      <c r="E11" s="14">
        <v>0</v>
      </c>
      <c r="F11" s="14">
        <v>0</v>
      </c>
      <c r="G11" s="5">
        <v>-9.6103904070332606E-5</v>
      </c>
      <c r="H11" s="5">
        <v>-5.9686940163373899E-2</v>
      </c>
      <c r="I11" s="5">
        <v>-6.3943007262423602E-4</v>
      </c>
      <c r="J11" s="5">
        <v>-7.6781243085861206E-2</v>
      </c>
      <c r="K11" s="5">
        <v>-1.8407814204692799E-3</v>
      </c>
      <c r="L11" s="5">
        <v>0.17655885219574</v>
      </c>
      <c r="S11" s="5">
        <f t="shared" si="2"/>
        <v>-9.6103904070332606E-5</v>
      </c>
      <c r="T11" s="5">
        <f t="shared" si="3"/>
        <v>-5.9686940163373899E-2</v>
      </c>
      <c r="U11" s="5">
        <f t="shared" si="4"/>
        <v>-6.3943007262423602E-4</v>
      </c>
      <c r="V11" s="5">
        <f t="shared" si="5"/>
        <v>-7.6781243085861206E-2</v>
      </c>
      <c r="W11" s="5">
        <f t="shared" si="6"/>
        <v>-1.8407814204692799E-3</v>
      </c>
      <c r="X11" s="5">
        <f t="shared" si="7"/>
        <v>0.17655885219574</v>
      </c>
    </row>
    <row r="12" spans="1:24" s="5" customFormat="1" ht="16.5" customHeight="1" x14ac:dyDescent="0.25">
      <c r="A12" s="14">
        <v>0.7</v>
      </c>
      <c r="B12" s="14">
        <v>0.2</v>
      </c>
      <c r="C12" s="14">
        <f t="shared" si="1"/>
        <v>1.5707963267948966</v>
      </c>
      <c r="D12" s="14">
        <v>0</v>
      </c>
      <c r="E12" s="14">
        <v>0</v>
      </c>
      <c r="F12" s="14">
        <v>0</v>
      </c>
      <c r="G12" s="5">
        <v>6.8014755379408598E-4</v>
      </c>
      <c r="H12" s="5">
        <v>-8.2236602902412401E-2</v>
      </c>
      <c r="I12" s="5">
        <v>-2.0893728360533701E-3</v>
      </c>
      <c r="J12" s="5">
        <v>-0.387284815311432</v>
      </c>
      <c r="K12" s="5">
        <v>-7.8587606549263E-4</v>
      </c>
      <c r="L12" s="5">
        <v>3.3172652125358602E-2</v>
      </c>
      <c r="S12" s="5">
        <f t="shared" si="2"/>
        <v>6.8014755379408598E-4</v>
      </c>
      <c r="T12" s="5">
        <f t="shared" si="3"/>
        <v>-8.2236602902412401E-2</v>
      </c>
      <c r="U12" s="5">
        <f t="shared" si="4"/>
        <v>-2.0893728360533701E-3</v>
      </c>
      <c r="V12" s="5">
        <f t="shared" si="5"/>
        <v>-0.387284815311432</v>
      </c>
      <c r="W12" s="5">
        <f t="shared" si="6"/>
        <v>-7.8587606549263E-4</v>
      </c>
      <c r="X12" s="5">
        <f t="shared" si="7"/>
        <v>3.3172652125358602E-2</v>
      </c>
    </row>
    <row r="13" spans="1:24" ht="16.5" customHeight="1" x14ac:dyDescent="0.25">
      <c r="S13" s="9"/>
      <c r="T13" s="9"/>
      <c r="U13" s="9"/>
      <c r="V13" s="9"/>
      <c r="W13" s="9"/>
      <c r="X13" s="9"/>
    </row>
    <row r="14" spans="1:24" ht="16.5" customHeight="1" x14ac:dyDescent="0.25">
      <c r="G14" s="7"/>
      <c r="M14" s="13"/>
      <c r="N14" s="13"/>
      <c r="O14" s="13"/>
      <c r="P14" s="13"/>
      <c r="Q14" s="13"/>
      <c r="R14" s="13"/>
    </row>
  </sheetData>
  <mergeCells count="4">
    <mergeCell ref="A1:F1"/>
    <mergeCell ref="G1:L1"/>
    <mergeCell ref="M1:R1"/>
    <mergeCell ref="S1:X1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3E692-1589-4E2A-898E-0D9349F16FCD}">
  <dimension ref="A1:Y12"/>
  <sheetViews>
    <sheetView workbookViewId="0">
      <pane ySplit="2" topLeftCell="A3" activePane="bottomLeft" state="frozen"/>
      <selection activeCell="K1" sqref="K1"/>
      <selection pane="bottomLeft" activeCell="M32" sqref="M31:M32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10.7109375" bestFit="1" customWidth="1"/>
    <col min="4" max="6" width="8.42578125" bestFit="1" customWidth="1"/>
    <col min="7" max="8" width="8.140625" bestFit="1" customWidth="1"/>
    <col min="9" max="9" width="7.7109375" bestFit="1" customWidth="1"/>
    <col min="10" max="12" width="6.42578125" bestFit="1" customWidth="1"/>
    <col min="13" max="13" width="6.5703125" bestFit="1" customWidth="1"/>
    <col min="14" max="14" width="6.85546875" bestFit="1" customWidth="1"/>
    <col min="15" max="15" width="10.7109375" bestFit="1" customWidth="1"/>
    <col min="16" max="16" width="8" bestFit="1" customWidth="1"/>
    <col min="17" max="17" width="6.5703125" bestFit="1" customWidth="1"/>
    <col min="18" max="18" width="6.85546875" bestFit="1" customWidth="1"/>
    <col min="19" max="19" width="10.7109375" bestFit="1" customWidth="1"/>
    <col min="20" max="20" width="11" bestFit="1" customWidth="1"/>
    <col min="21" max="21" width="13.85546875" bestFit="1" customWidth="1"/>
    <col min="22" max="22" width="11.140625" bestFit="1" customWidth="1"/>
  </cols>
  <sheetData>
    <row r="1" spans="1:25" ht="15.75" x14ac:dyDescent="0.25">
      <c r="A1" s="15" t="s">
        <v>11</v>
      </c>
      <c r="B1" s="15"/>
      <c r="C1" s="15"/>
      <c r="D1" s="15"/>
      <c r="E1" s="15"/>
      <c r="F1" s="16"/>
      <c r="G1" s="17" t="s">
        <v>6</v>
      </c>
      <c r="H1" s="18"/>
      <c r="I1" s="18"/>
      <c r="J1" s="18"/>
      <c r="K1" s="18"/>
      <c r="L1" s="18"/>
      <c r="M1" s="25" t="s">
        <v>7</v>
      </c>
      <c r="N1" s="26"/>
      <c r="O1" s="26"/>
      <c r="P1" s="26"/>
      <c r="Q1" s="27" t="s">
        <v>13</v>
      </c>
      <c r="R1" s="27"/>
      <c r="S1" s="27"/>
      <c r="T1" s="30" t="s">
        <v>40</v>
      </c>
      <c r="U1" s="30"/>
      <c r="V1" s="30"/>
      <c r="W1" s="28"/>
      <c r="X1" s="28"/>
      <c r="Y1" s="28"/>
    </row>
    <row r="2" spans="1:25" ht="15.75" x14ac:dyDescent="0.25">
      <c r="A2" s="1" t="s">
        <v>34</v>
      </c>
      <c r="B2" s="1" t="s">
        <v>35</v>
      </c>
      <c r="C2" s="1" t="s">
        <v>36</v>
      </c>
      <c r="D2" s="1" t="s">
        <v>8</v>
      </c>
      <c r="E2" s="1" t="s">
        <v>9</v>
      </c>
      <c r="F2" s="1" t="s">
        <v>10</v>
      </c>
      <c r="G2" s="2" t="s">
        <v>3</v>
      </c>
      <c r="H2" s="1" t="s">
        <v>4</v>
      </c>
      <c r="I2" s="1" t="s">
        <v>5</v>
      </c>
      <c r="J2" s="1" t="s">
        <v>0</v>
      </c>
      <c r="K2" s="1" t="s">
        <v>1</v>
      </c>
      <c r="L2" s="1" t="s">
        <v>2</v>
      </c>
      <c r="M2" s="3" t="s">
        <v>34</v>
      </c>
      <c r="N2" s="1" t="s">
        <v>35</v>
      </c>
      <c r="O2" s="1" t="s">
        <v>36</v>
      </c>
      <c r="P2" s="2" t="s">
        <v>27</v>
      </c>
      <c r="Q2" s="3" t="s">
        <v>34</v>
      </c>
      <c r="R2" s="1" t="s">
        <v>35</v>
      </c>
      <c r="S2" s="1" t="s">
        <v>36</v>
      </c>
      <c r="T2" s="3" t="s">
        <v>34</v>
      </c>
      <c r="U2" s="1" t="s">
        <v>35</v>
      </c>
      <c r="V2" s="1" t="s">
        <v>36</v>
      </c>
      <c r="W2" s="29" t="s">
        <v>26</v>
      </c>
      <c r="X2" s="29"/>
      <c r="Y2" s="29"/>
    </row>
    <row r="3" spans="1:25" ht="15.75" x14ac:dyDescent="0.25">
      <c r="A3" s="5">
        <f>'Proximal Validation'!A3</f>
        <v>0.4</v>
      </c>
      <c r="B3" s="5">
        <f>'Proximal Validation'!B3</f>
        <v>0.06</v>
      </c>
      <c r="C3" s="5">
        <f>'Proximal Validation'!C3</f>
        <v>1.5707963267948966</v>
      </c>
      <c r="D3" s="5">
        <f>'Proximal Validation'!D3</f>
        <v>0</v>
      </c>
      <c r="E3" s="5">
        <f>'Proximal Validation'!E3</f>
        <v>0</v>
      </c>
      <c r="F3" s="5">
        <f>'Proximal Validation'!F3</f>
        <v>0</v>
      </c>
      <c r="G3" s="5">
        <f>'Proximal Validation'!G3</f>
        <v>4.2863236740231498E-4</v>
      </c>
      <c r="H3" s="5">
        <f>'Proximal Validation'!H3</f>
        <v>-6.0315418988466298E-2</v>
      </c>
      <c r="I3" s="5">
        <f>'Proximal Validation'!I3</f>
        <v>-2.55721563007683E-4</v>
      </c>
      <c r="J3" s="5">
        <f>'Proximal Validation'!J3</f>
        <v>-4.1011810302734403E-2</v>
      </c>
      <c r="K3" s="5">
        <f>'Proximal Validation'!K3</f>
        <v>7.4238330125808705E-4</v>
      </c>
      <c r="L3" s="5">
        <f>'Proximal Validation'!L3</f>
        <v>0.38065329194068898</v>
      </c>
      <c r="M3" s="5"/>
      <c r="N3" s="5"/>
      <c r="O3" s="5"/>
      <c r="P3" s="11"/>
      <c r="Q3" s="5">
        <f>M3-A3</f>
        <v>-0.4</v>
      </c>
      <c r="R3" s="5">
        <f>N3-B3</f>
        <v>-0.06</v>
      </c>
      <c r="S3" s="5">
        <f>O3-C3</f>
        <v>-1.5707963267948966</v>
      </c>
      <c r="T3" s="5">
        <f>ABS(Q3)</f>
        <v>0.4</v>
      </c>
      <c r="U3" s="5">
        <f t="shared" ref="U3:V12" si="0">ABS(R3)</f>
        <v>0.06</v>
      </c>
      <c r="V3" s="5">
        <f t="shared" si="0"/>
        <v>1.5707963267948966</v>
      </c>
      <c r="W3" s="1" t="s">
        <v>23</v>
      </c>
      <c r="X3" s="1" t="s">
        <v>24</v>
      </c>
      <c r="Y3" s="1" t="s">
        <v>25</v>
      </c>
    </row>
    <row r="4" spans="1:25" x14ac:dyDescent="0.25">
      <c r="A4" s="8">
        <f>'Proximal Validation'!A4</f>
        <v>0.8</v>
      </c>
      <c r="B4" s="8">
        <f>'Proximal Validation'!B4</f>
        <v>0.06</v>
      </c>
      <c r="C4" s="8">
        <f>'Proximal Validation'!C4</f>
        <v>1.5707963267948966</v>
      </c>
      <c r="D4" s="8">
        <f>'Proximal Validation'!D4</f>
        <v>0</v>
      </c>
      <c r="E4" s="8">
        <f>'Proximal Validation'!E4</f>
        <v>0</v>
      </c>
      <c r="F4" s="8">
        <f>'Proximal Validation'!F4</f>
        <v>0</v>
      </c>
      <c r="G4" s="8">
        <f>'Proximal Validation'!G4</f>
        <v>6.2025361694395499E-4</v>
      </c>
      <c r="H4" s="8">
        <f>'Proximal Validation'!H4</f>
        <v>-0.13314910233020799</v>
      </c>
      <c r="I4" s="8">
        <f>'Proximal Validation'!I4</f>
        <v>-2.3612950462847899E-4</v>
      </c>
      <c r="J4" s="8">
        <f>'Proximal Validation'!J4</f>
        <v>-0.197828054428101</v>
      </c>
      <c r="K4" s="8">
        <f>'Proximal Validation'!K4</f>
        <v>3.5987794399261501E-3</v>
      </c>
      <c r="L4" s="8">
        <f>'Proximal Validation'!L4</f>
        <v>0.83635294437408403</v>
      </c>
      <c r="M4" s="8"/>
      <c r="N4" s="8"/>
      <c r="O4" s="8"/>
      <c r="P4" s="12"/>
      <c r="Q4" s="5">
        <f t="shared" ref="Q4:S12" si="1">M4-A4</f>
        <v>-0.8</v>
      </c>
      <c r="R4" s="5">
        <f t="shared" si="1"/>
        <v>-0.06</v>
      </c>
      <c r="S4" s="5">
        <f t="shared" si="1"/>
        <v>-1.5707963267948966</v>
      </c>
      <c r="T4" s="5">
        <f t="shared" ref="T4:T12" si="2">ABS(Q4)</f>
        <v>0.8</v>
      </c>
      <c r="U4" s="5">
        <f t="shared" si="0"/>
        <v>0.06</v>
      </c>
      <c r="V4" s="5">
        <f t="shared" si="0"/>
        <v>1.5707963267948966</v>
      </c>
      <c r="W4" s="6" cm="1">
        <f t="array" ref="W4">AVERAGE(ABS(Q3:Q12))</f>
        <v>0.55000000000000004</v>
      </c>
      <c r="X4" s="6" cm="1">
        <f t="array" ref="X4">AVERAGE(ABS(R3:R12))</f>
        <v>0.13</v>
      </c>
      <c r="Y4" s="6" cm="1">
        <f t="array" ref="Y4">AVERAGE(ABS(S3:S12))</f>
        <v>1.5707963267948966</v>
      </c>
    </row>
    <row r="5" spans="1:25" x14ac:dyDescent="0.25">
      <c r="A5" s="5">
        <f>'Proximal Validation'!A5</f>
        <v>0.3</v>
      </c>
      <c r="B5" s="5">
        <f>'Proximal Validation'!B5</f>
        <v>0.08</v>
      </c>
      <c r="C5" s="5">
        <f>'Proximal Validation'!C5</f>
        <v>1.5707963267948966</v>
      </c>
      <c r="D5" s="5">
        <f>'Proximal Validation'!D5</f>
        <v>0</v>
      </c>
      <c r="E5" s="5">
        <f>'Proximal Validation'!E5</f>
        <v>0</v>
      </c>
      <c r="F5" s="5">
        <f>'Proximal Validation'!F5</f>
        <v>0</v>
      </c>
      <c r="G5" s="5">
        <f>'Proximal Validation'!G5</f>
        <v>1.679906854406E-4</v>
      </c>
      <c r="H5" s="5">
        <f>'Proximal Validation'!H5</f>
        <v>-4.5721895992755897E-2</v>
      </c>
      <c r="I5" s="5">
        <f>'Proximal Validation'!I5</f>
        <v>-3.8841026253067E-4</v>
      </c>
      <c r="J5" s="5">
        <f>'Proximal Validation'!J5</f>
        <v>-3.3596165478229502E-2</v>
      </c>
      <c r="K5" s="5">
        <f>'Proximal Validation'!K5</f>
        <v>-1.0348893702030199E-3</v>
      </c>
      <c r="L5" s="5">
        <f>'Proximal Validation'!L5</f>
        <v>0.25438803434371898</v>
      </c>
      <c r="M5" s="5"/>
      <c r="N5" s="5"/>
      <c r="O5" s="5"/>
      <c r="P5" s="11"/>
      <c r="Q5" s="5">
        <f t="shared" si="1"/>
        <v>-0.3</v>
      </c>
      <c r="R5" s="5">
        <f t="shared" si="1"/>
        <v>-0.08</v>
      </c>
      <c r="S5" s="5">
        <f t="shared" si="1"/>
        <v>-1.5707963267948966</v>
      </c>
      <c r="T5" s="5">
        <f t="shared" si="2"/>
        <v>0.3</v>
      </c>
      <c r="U5" s="5">
        <f t="shared" si="0"/>
        <v>0.08</v>
      </c>
      <c r="V5" s="5">
        <f t="shared" si="0"/>
        <v>1.5707963267948966</v>
      </c>
      <c r="W5" s="24"/>
      <c r="X5" s="24"/>
      <c r="Y5" s="24"/>
    </row>
    <row r="6" spans="1:25" x14ac:dyDescent="0.25">
      <c r="A6" s="5">
        <f>'Proximal Validation'!A6</f>
        <v>0.5</v>
      </c>
      <c r="B6" s="5">
        <f>'Proximal Validation'!B6</f>
        <v>0.1</v>
      </c>
      <c r="C6" s="5">
        <f>'Proximal Validation'!C6</f>
        <v>1.5707963267948966</v>
      </c>
      <c r="D6" s="5">
        <f>'Proximal Validation'!D6</f>
        <v>0</v>
      </c>
      <c r="E6" s="5">
        <f>'Proximal Validation'!E6</f>
        <v>0</v>
      </c>
      <c r="F6" s="5">
        <f>'Proximal Validation'!F6</f>
        <v>0</v>
      </c>
      <c r="G6" s="5">
        <f>'Proximal Validation'!G6</f>
        <v>3.3436843659728798E-4</v>
      </c>
      <c r="H6" s="5">
        <f>'Proximal Validation'!H6</f>
        <v>-9.1593101620674106E-2</v>
      </c>
      <c r="I6" s="5">
        <f>'Proximal Validation'!I6</f>
        <v>-1.09562510624528E-3</v>
      </c>
      <c r="J6" s="5">
        <f>'Proximal Validation'!J6</f>
        <v>-0.13726633787155201</v>
      </c>
      <c r="K6" s="5">
        <f>'Proximal Validation'!K6</f>
        <v>-2.9727667570114101E-3</v>
      </c>
      <c r="L6" s="5">
        <f>'Proximal Validation'!L6</f>
        <v>0.44673037528991699</v>
      </c>
      <c r="M6" s="5"/>
      <c r="N6" s="5"/>
      <c r="O6" s="5"/>
      <c r="P6" s="11"/>
      <c r="Q6" s="5">
        <f t="shared" si="1"/>
        <v>-0.5</v>
      </c>
      <c r="R6" s="5">
        <f t="shared" si="1"/>
        <v>-0.1</v>
      </c>
      <c r="S6" s="5">
        <f t="shared" si="1"/>
        <v>-1.5707963267948966</v>
      </c>
      <c r="T6" s="5">
        <f t="shared" si="2"/>
        <v>0.5</v>
      </c>
      <c r="U6" s="5">
        <f t="shared" si="0"/>
        <v>0.1</v>
      </c>
      <c r="V6" s="5">
        <f t="shared" si="0"/>
        <v>1.5707963267948966</v>
      </c>
    </row>
    <row r="7" spans="1:25" x14ac:dyDescent="0.25">
      <c r="A7" s="5">
        <f>'Proximal Validation'!A7</f>
        <v>0.7</v>
      </c>
      <c r="B7" s="5">
        <f>'Proximal Validation'!B7</f>
        <v>0.1</v>
      </c>
      <c r="C7" s="5">
        <f>'Proximal Validation'!C7</f>
        <v>1.5707963267948966</v>
      </c>
      <c r="D7" s="5">
        <f>'Proximal Validation'!D7</f>
        <v>0</v>
      </c>
      <c r="E7" s="5">
        <f>'Proximal Validation'!E7</f>
        <v>0</v>
      </c>
      <c r="F7" s="5">
        <f>'Proximal Validation'!F7</f>
        <v>0</v>
      </c>
      <c r="G7" s="5">
        <f>'Proximal Validation'!G7</f>
        <v>5.2663497626781498E-5</v>
      </c>
      <c r="H7" s="5">
        <f>'Proximal Validation'!H7</f>
        <v>-0.12548637390136699</v>
      </c>
      <c r="I7" s="5">
        <f>'Proximal Validation'!I7</f>
        <v>-9.7444711718708298E-4</v>
      </c>
      <c r="J7" s="5">
        <f>'Proximal Validation'!J7</f>
        <v>-0.25848296284675598</v>
      </c>
      <c r="K7" s="5">
        <f>'Proximal Validation'!K7</f>
        <v>6.1889737844467196E-4</v>
      </c>
      <c r="L7" s="5">
        <f>'Proximal Validation'!L7</f>
        <v>0.60252058506011996</v>
      </c>
      <c r="M7" s="5"/>
      <c r="N7" s="5"/>
      <c r="O7" s="5"/>
      <c r="P7" s="11"/>
      <c r="Q7" s="5">
        <f t="shared" si="1"/>
        <v>-0.7</v>
      </c>
      <c r="R7" s="5">
        <f t="shared" si="1"/>
        <v>-0.1</v>
      </c>
      <c r="S7" s="5">
        <f t="shared" si="1"/>
        <v>-1.5707963267948966</v>
      </c>
      <c r="T7" s="5">
        <f t="shared" si="2"/>
        <v>0.7</v>
      </c>
      <c r="U7" s="5">
        <f t="shared" si="0"/>
        <v>0.1</v>
      </c>
      <c r="V7" s="5">
        <f t="shared" si="0"/>
        <v>1.5707963267948966</v>
      </c>
    </row>
    <row r="8" spans="1:25" x14ac:dyDescent="0.25">
      <c r="A8" s="5">
        <f>'Proximal Validation'!A8</f>
        <v>0.4</v>
      </c>
      <c r="B8" s="5">
        <f>'Proximal Validation'!B8</f>
        <v>0.16</v>
      </c>
      <c r="C8" s="5">
        <f>'Proximal Validation'!C8</f>
        <v>1.5707963267948966</v>
      </c>
      <c r="D8" s="5">
        <f>'Proximal Validation'!D8</f>
        <v>0</v>
      </c>
      <c r="E8" s="5">
        <f>'Proximal Validation'!E8</f>
        <v>0</v>
      </c>
      <c r="F8" s="5">
        <f>'Proximal Validation'!F8</f>
        <v>0</v>
      </c>
      <c r="G8" s="5">
        <f>'Proximal Validation'!G8</f>
        <v>3.1168537680059699E-4</v>
      </c>
      <c r="H8" s="5">
        <f>'Proximal Validation'!H8</f>
        <v>-7.88237899541855E-2</v>
      </c>
      <c r="I8" s="5">
        <f>'Proximal Validation'!I8</f>
        <v>-1.01786095183343E-3</v>
      </c>
      <c r="J8" s="5">
        <f>'Proximal Validation'!J8</f>
        <v>-0.13838192820549</v>
      </c>
      <c r="K8" s="5">
        <f>'Proximal Validation'!K8</f>
        <v>-1.14574655890465E-3</v>
      </c>
      <c r="L8" s="5">
        <f>'Proximal Validation'!L8</f>
        <v>0.27298316359519997</v>
      </c>
      <c r="M8" s="5"/>
      <c r="N8" s="5"/>
      <c r="O8" s="5"/>
      <c r="P8" s="11"/>
      <c r="Q8" s="5">
        <f t="shared" si="1"/>
        <v>-0.4</v>
      </c>
      <c r="R8" s="5">
        <f t="shared" si="1"/>
        <v>-0.16</v>
      </c>
      <c r="S8" s="5">
        <f t="shared" si="1"/>
        <v>-1.5707963267948966</v>
      </c>
      <c r="T8" s="5">
        <f t="shared" si="2"/>
        <v>0.4</v>
      </c>
      <c r="U8" s="5">
        <f t="shared" si="0"/>
        <v>0.16</v>
      </c>
      <c r="V8" s="5">
        <f t="shared" si="0"/>
        <v>1.5707963267948966</v>
      </c>
    </row>
    <row r="9" spans="1:25" x14ac:dyDescent="0.25">
      <c r="A9" s="5">
        <f>'Proximal Validation'!A9</f>
        <v>0.6</v>
      </c>
      <c r="B9" s="5">
        <f>'Proximal Validation'!B9</f>
        <v>0.16</v>
      </c>
      <c r="C9" s="5">
        <f>'Proximal Validation'!C9</f>
        <v>1.5707963267948966</v>
      </c>
      <c r="D9" s="5">
        <f>'Proximal Validation'!D9</f>
        <v>0</v>
      </c>
      <c r="E9" s="5">
        <f>'Proximal Validation'!E9</f>
        <v>0</v>
      </c>
      <c r="F9" s="5">
        <f>'Proximal Validation'!F9</f>
        <v>0</v>
      </c>
      <c r="G9" s="5">
        <f>'Proximal Validation'!G9</f>
        <v>4.6556734014302498E-4</v>
      </c>
      <c r="H9" s="5">
        <f>'Proximal Validation'!H9</f>
        <v>-0.13455995917320299</v>
      </c>
      <c r="I9" s="5">
        <f>'Proximal Validation'!I9</f>
        <v>-1.54974625911564E-3</v>
      </c>
      <c r="J9" s="5">
        <f>'Proximal Validation'!J9</f>
        <v>-0.33463472127914401</v>
      </c>
      <c r="K9" s="5">
        <f>'Proximal Validation'!K9</f>
        <v>-5.6979432702064503E-4</v>
      </c>
      <c r="L9" s="5">
        <f>'Proximal Validation'!L9</f>
        <v>0.42998898029327398</v>
      </c>
      <c r="M9" s="5"/>
      <c r="N9" s="5"/>
      <c r="O9" s="5"/>
      <c r="P9" s="11"/>
      <c r="Q9" s="5">
        <f t="shared" si="1"/>
        <v>-0.6</v>
      </c>
      <c r="R9" s="5">
        <f t="shared" si="1"/>
        <v>-0.16</v>
      </c>
      <c r="S9" s="5">
        <f t="shared" si="1"/>
        <v>-1.5707963267948966</v>
      </c>
      <c r="T9" s="5">
        <f t="shared" si="2"/>
        <v>0.6</v>
      </c>
      <c r="U9" s="5">
        <f t="shared" si="0"/>
        <v>0.16</v>
      </c>
      <c r="V9" s="5">
        <f t="shared" si="0"/>
        <v>1.5707963267948966</v>
      </c>
      <c r="W9" s="7"/>
      <c r="X9" s="7"/>
      <c r="Y9" s="7"/>
    </row>
    <row r="10" spans="1:25" x14ac:dyDescent="0.25">
      <c r="A10" s="5">
        <f>'Proximal Validation'!A10</f>
        <v>0.8</v>
      </c>
      <c r="B10" s="5">
        <f>'Proximal Validation'!B10</f>
        <v>0.18</v>
      </c>
      <c r="C10" s="5">
        <f>'Proximal Validation'!C10</f>
        <v>1.5707963267948966</v>
      </c>
      <c r="D10" s="5">
        <f>'Proximal Validation'!D10</f>
        <v>0</v>
      </c>
      <c r="E10" s="5">
        <f>'Proximal Validation'!E10</f>
        <v>0</v>
      </c>
      <c r="F10" s="5">
        <f>'Proximal Validation'!F10</f>
        <v>0</v>
      </c>
      <c r="G10" s="5">
        <f>'Proximal Validation'!G10</f>
        <v>1.2284044642001399E-3</v>
      </c>
      <c r="H10" s="5">
        <f>'Proximal Validation'!H10</f>
        <v>-0.113915167748928</v>
      </c>
      <c r="I10" s="5">
        <f>'Proximal Validation'!I10</f>
        <v>-2.0511765033006698E-3</v>
      </c>
      <c r="J10" s="5">
        <f>'Proximal Validation'!J10</f>
        <v>-0.53618127107620195</v>
      </c>
      <c r="K10" s="5">
        <f>'Proximal Validation'!K10</f>
        <v>-3.6365408450365101E-3</v>
      </c>
      <c r="L10" s="5">
        <f>'Proximal Validation'!L10</f>
        <v>0.105719238519669</v>
      </c>
      <c r="M10" s="5"/>
      <c r="N10" s="5"/>
      <c r="O10" s="5"/>
      <c r="P10" s="11"/>
      <c r="Q10" s="5">
        <f t="shared" si="1"/>
        <v>-0.8</v>
      </c>
      <c r="R10" s="5">
        <f t="shared" si="1"/>
        <v>-0.18</v>
      </c>
      <c r="S10" s="5">
        <f t="shared" si="1"/>
        <v>-1.5707963267948966</v>
      </c>
      <c r="T10" s="5">
        <f t="shared" si="2"/>
        <v>0.8</v>
      </c>
      <c r="U10" s="5">
        <f t="shared" si="0"/>
        <v>0.18</v>
      </c>
      <c r="V10" s="5">
        <f t="shared" si="0"/>
        <v>1.5707963267948966</v>
      </c>
    </row>
    <row r="11" spans="1:25" x14ac:dyDescent="0.25">
      <c r="A11" s="5">
        <f>'Proximal Validation'!A11</f>
        <v>0.3</v>
      </c>
      <c r="B11" s="5">
        <f>'Proximal Validation'!B11</f>
        <v>0.2</v>
      </c>
      <c r="C11" s="5">
        <f>'Proximal Validation'!C11</f>
        <v>1.5707963267948966</v>
      </c>
      <c r="D11" s="5">
        <f>'Proximal Validation'!D11</f>
        <v>0</v>
      </c>
      <c r="E11" s="5">
        <f>'Proximal Validation'!E11</f>
        <v>0</v>
      </c>
      <c r="F11" s="5">
        <f>'Proximal Validation'!F11</f>
        <v>0</v>
      </c>
      <c r="G11" s="5">
        <f>'Proximal Validation'!G11</f>
        <v>-9.6103904070332606E-5</v>
      </c>
      <c r="H11" s="5">
        <f>'Proximal Validation'!H11</f>
        <v>-5.9686940163373899E-2</v>
      </c>
      <c r="I11" s="5">
        <f>'Proximal Validation'!I11</f>
        <v>-6.3943007262423602E-4</v>
      </c>
      <c r="J11" s="5">
        <f>'Proximal Validation'!J11</f>
        <v>-7.6781243085861206E-2</v>
      </c>
      <c r="K11" s="5">
        <f>'Proximal Validation'!K11</f>
        <v>-1.8407814204692799E-3</v>
      </c>
      <c r="L11" s="5">
        <f>'Proximal Validation'!L11</f>
        <v>0.17655885219574</v>
      </c>
      <c r="M11" s="5"/>
      <c r="N11" s="5"/>
      <c r="O11" s="5"/>
      <c r="P11" s="11"/>
      <c r="Q11" s="5">
        <f t="shared" si="1"/>
        <v>-0.3</v>
      </c>
      <c r="R11" s="5">
        <f t="shared" si="1"/>
        <v>-0.2</v>
      </c>
      <c r="S11" s="5">
        <f t="shared" si="1"/>
        <v>-1.5707963267948966</v>
      </c>
      <c r="T11" s="5">
        <f t="shared" si="2"/>
        <v>0.3</v>
      </c>
      <c r="U11" s="5">
        <f t="shared" si="0"/>
        <v>0.2</v>
      </c>
      <c r="V11" s="5">
        <f t="shared" si="0"/>
        <v>1.5707963267948966</v>
      </c>
      <c r="W11" s="7"/>
      <c r="X11" s="7"/>
      <c r="Y11" s="7"/>
    </row>
    <row r="12" spans="1:25" x14ac:dyDescent="0.25">
      <c r="A12" s="5">
        <f>'Proximal Validation'!A12</f>
        <v>0.7</v>
      </c>
      <c r="B12" s="5">
        <f>'Proximal Validation'!B12</f>
        <v>0.2</v>
      </c>
      <c r="C12" s="5">
        <f>'Proximal Validation'!C12</f>
        <v>1.5707963267948966</v>
      </c>
      <c r="D12" s="5">
        <f>'Proximal Validation'!D12</f>
        <v>0</v>
      </c>
      <c r="E12" s="5">
        <f>'Proximal Validation'!E12</f>
        <v>0</v>
      </c>
      <c r="F12" s="5">
        <f>'Proximal Validation'!F12</f>
        <v>0</v>
      </c>
      <c r="G12" s="5">
        <f>'Proximal Validation'!G12</f>
        <v>6.8014755379408598E-4</v>
      </c>
      <c r="H12" s="5">
        <f>'Proximal Validation'!H12</f>
        <v>-8.2236602902412401E-2</v>
      </c>
      <c r="I12" s="5">
        <f>'Proximal Validation'!I12</f>
        <v>-2.0893728360533701E-3</v>
      </c>
      <c r="J12" s="5">
        <f>'Proximal Validation'!J12</f>
        <v>-0.387284815311432</v>
      </c>
      <c r="K12" s="5">
        <f>'Proximal Validation'!K12</f>
        <v>-7.8587606549263E-4</v>
      </c>
      <c r="L12" s="5">
        <f>'Proximal Validation'!L12</f>
        <v>3.3172652125358602E-2</v>
      </c>
      <c r="M12" s="5"/>
      <c r="N12" s="5"/>
      <c r="O12" s="5"/>
      <c r="P12" s="11"/>
      <c r="Q12" s="5">
        <f t="shared" si="1"/>
        <v>-0.7</v>
      </c>
      <c r="R12" s="5">
        <f t="shared" si="1"/>
        <v>-0.2</v>
      </c>
      <c r="S12" s="5">
        <f t="shared" si="1"/>
        <v>-1.5707963267948966</v>
      </c>
      <c r="T12" s="5">
        <f t="shared" si="2"/>
        <v>0.7</v>
      </c>
      <c r="U12" s="5">
        <f t="shared" si="0"/>
        <v>0.2</v>
      </c>
      <c r="V12" s="5">
        <f t="shared" si="0"/>
        <v>1.5707963267948966</v>
      </c>
    </row>
  </sheetData>
  <mergeCells count="8">
    <mergeCell ref="W5:Y5"/>
    <mergeCell ref="A1:F1"/>
    <mergeCell ref="G1:L1"/>
    <mergeCell ref="M1:P1"/>
    <mergeCell ref="Q1:S1"/>
    <mergeCell ref="W1:Y1"/>
    <mergeCell ref="W2:Y2"/>
    <mergeCell ref="T1:V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E333-3BAE-4E8D-AF02-67A9E2013036}">
  <dimension ref="A1:Y60"/>
  <sheetViews>
    <sheetView workbookViewId="0">
      <pane ySplit="2" topLeftCell="A35" activePane="bottomLeft" state="frozen"/>
      <selection activeCell="K1" sqref="K1"/>
      <selection pane="bottomLeft" activeCell="G58" sqref="G58:L60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10.7109375" bestFit="1" customWidth="1"/>
    <col min="4" max="6" width="8.42578125" bestFit="1" customWidth="1"/>
    <col min="7" max="8" width="8.140625" bestFit="1" customWidth="1"/>
    <col min="9" max="9" width="7.7109375" bestFit="1" customWidth="1"/>
    <col min="10" max="12" width="6.42578125" bestFit="1" customWidth="1"/>
    <col min="13" max="13" width="6.5703125" bestFit="1" customWidth="1"/>
    <col min="14" max="14" width="6.85546875" bestFit="1" customWidth="1"/>
    <col min="15" max="15" width="10.7109375" bestFit="1" customWidth="1"/>
    <col min="16" max="16" width="15.85546875" customWidth="1"/>
    <col min="17" max="17" width="6.5703125" bestFit="1" customWidth="1"/>
    <col min="18" max="18" width="6.85546875" bestFit="1" customWidth="1"/>
    <col min="19" max="19" width="10.7109375" bestFit="1" customWidth="1"/>
    <col min="20" max="22" width="10.7109375" customWidth="1"/>
    <col min="23" max="23" width="11" bestFit="1" customWidth="1"/>
    <col min="24" max="24" width="13.85546875" bestFit="1" customWidth="1"/>
    <col min="25" max="25" width="11.140625" bestFit="1" customWidth="1"/>
  </cols>
  <sheetData>
    <row r="1" spans="1:25" ht="15.75" x14ac:dyDescent="0.25">
      <c r="A1" s="15" t="s">
        <v>11</v>
      </c>
      <c r="B1" s="15"/>
      <c r="C1" s="15"/>
      <c r="D1" s="15"/>
      <c r="E1" s="15"/>
      <c r="F1" s="16"/>
      <c r="G1" s="17" t="s">
        <v>6</v>
      </c>
      <c r="H1" s="18"/>
      <c r="I1" s="18"/>
      <c r="J1" s="18"/>
      <c r="K1" s="18"/>
      <c r="L1" s="18"/>
      <c r="M1" s="25" t="s">
        <v>39</v>
      </c>
      <c r="N1" s="26"/>
      <c r="O1" s="26"/>
      <c r="P1" s="26"/>
      <c r="Q1" s="27" t="s">
        <v>13</v>
      </c>
      <c r="R1" s="27"/>
      <c r="S1" s="27"/>
      <c r="T1" s="30" t="s">
        <v>40</v>
      </c>
      <c r="U1" s="30"/>
      <c r="V1" s="30"/>
      <c r="W1" s="28"/>
      <c r="X1" s="28"/>
      <c r="Y1" s="28"/>
    </row>
    <row r="2" spans="1:25" ht="15.75" x14ac:dyDescent="0.25">
      <c r="A2" s="1" t="s">
        <v>34</v>
      </c>
      <c r="B2" s="1" t="s">
        <v>35</v>
      </c>
      <c r="C2" s="1" t="s">
        <v>36</v>
      </c>
      <c r="D2" s="1" t="s">
        <v>8</v>
      </c>
      <c r="E2" s="1" t="s">
        <v>9</v>
      </c>
      <c r="F2" s="1" t="s">
        <v>10</v>
      </c>
      <c r="G2" s="2" t="s">
        <v>3</v>
      </c>
      <c r="H2" s="1" t="s">
        <v>4</v>
      </c>
      <c r="I2" s="1" t="s">
        <v>5</v>
      </c>
      <c r="J2" s="1" t="s">
        <v>0</v>
      </c>
      <c r="K2" s="1" t="s">
        <v>1</v>
      </c>
      <c r="L2" s="1" t="s">
        <v>2</v>
      </c>
      <c r="M2" s="3" t="s">
        <v>34</v>
      </c>
      <c r="N2" s="1" t="s">
        <v>35</v>
      </c>
      <c r="O2" s="1" t="s">
        <v>36</v>
      </c>
      <c r="P2" s="2" t="s">
        <v>27</v>
      </c>
      <c r="Q2" s="3" t="s">
        <v>34</v>
      </c>
      <c r="R2" s="1" t="s">
        <v>35</v>
      </c>
      <c r="S2" s="1" t="s">
        <v>36</v>
      </c>
      <c r="T2" s="3" t="s">
        <v>34</v>
      </c>
      <c r="U2" s="1" t="s">
        <v>35</v>
      </c>
      <c r="V2" s="1" t="s">
        <v>36</v>
      </c>
      <c r="W2" s="29" t="s">
        <v>26</v>
      </c>
      <c r="X2" s="29"/>
      <c r="Y2" s="29"/>
    </row>
    <row r="3" spans="1:25" ht="15.75" x14ac:dyDescent="0.25">
      <c r="A3" s="5">
        <f>'Proximal Validation'!A3</f>
        <v>0.4</v>
      </c>
      <c r="B3" s="5">
        <f>'Proximal Validation'!B3</f>
        <v>0.06</v>
      </c>
      <c r="C3" s="5">
        <f>'Proximal Validation'!C3</f>
        <v>1.5707963267948966</v>
      </c>
      <c r="D3" s="5">
        <f>'Proximal Validation'!D3</f>
        <v>0</v>
      </c>
      <c r="E3" s="5">
        <f>'Proximal Validation'!E3</f>
        <v>0</v>
      </c>
      <c r="F3" s="5">
        <f>'Proximal Validation'!F3</f>
        <v>0</v>
      </c>
      <c r="G3" s="5">
        <f>'Proximal Validation'!G3</f>
        <v>4.2863236740231498E-4</v>
      </c>
      <c r="H3" s="5">
        <f>'Proximal Validation'!H3</f>
        <v>-6.0315418988466298E-2</v>
      </c>
      <c r="I3" s="5">
        <f>'Proximal Validation'!I3</f>
        <v>-2.55721563007683E-4</v>
      </c>
      <c r="J3" s="5">
        <f>'Proximal Validation'!J3</f>
        <v>-4.1011810302734403E-2</v>
      </c>
      <c r="K3" s="5">
        <f>'Proximal Validation'!K3</f>
        <v>7.4238330125808705E-4</v>
      </c>
      <c r="L3" s="5">
        <f>'Proximal Validation'!L3</f>
        <v>0.38065329194068898</v>
      </c>
      <c r="M3" s="5"/>
      <c r="N3" s="5"/>
      <c r="O3" s="5"/>
      <c r="P3" s="11"/>
      <c r="Q3" s="5">
        <f>M3-A3</f>
        <v>-0.4</v>
      </c>
      <c r="R3" s="5">
        <f>N3-B3</f>
        <v>-0.06</v>
      </c>
      <c r="S3" s="5">
        <f>O3-C3</f>
        <v>-1.5707963267948966</v>
      </c>
      <c r="T3" s="5">
        <f>ABS(Q3)</f>
        <v>0.4</v>
      </c>
      <c r="U3" s="5">
        <f t="shared" ref="U3:V3" si="0">ABS(R3)</f>
        <v>0.06</v>
      </c>
      <c r="V3" s="5">
        <f t="shared" si="0"/>
        <v>1.5707963267948966</v>
      </c>
      <c r="W3" s="1" t="s">
        <v>23</v>
      </c>
      <c r="X3" s="1" t="s">
        <v>24</v>
      </c>
      <c r="Y3" s="1" t="s">
        <v>25</v>
      </c>
    </row>
    <row r="4" spans="1:25" x14ac:dyDescent="0.25">
      <c r="A4" s="8">
        <f>'Proximal Validation'!A4</f>
        <v>0.8</v>
      </c>
      <c r="B4" s="8">
        <f>'Proximal Validation'!B4</f>
        <v>0.06</v>
      </c>
      <c r="C4" s="8">
        <f>'Proximal Validation'!C4</f>
        <v>1.5707963267948966</v>
      </c>
      <c r="D4" s="8">
        <f>'Proximal Validation'!D4</f>
        <v>0</v>
      </c>
      <c r="E4" s="8">
        <f>'Proximal Validation'!E4</f>
        <v>0</v>
      </c>
      <c r="F4" s="8">
        <f>'Proximal Validation'!F4</f>
        <v>0</v>
      </c>
      <c r="G4" s="8">
        <f>'Proximal Validation'!G4</f>
        <v>6.2025361694395499E-4</v>
      </c>
      <c r="H4" s="8">
        <f>'Proximal Validation'!H4</f>
        <v>-0.13314910233020799</v>
      </c>
      <c r="I4" s="8">
        <f>'Proximal Validation'!I4</f>
        <v>-2.3612950462847899E-4</v>
      </c>
      <c r="J4" s="8">
        <f>'Proximal Validation'!J4</f>
        <v>-0.197828054428101</v>
      </c>
      <c r="K4" s="8">
        <f>'Proximal Validation'!K4</f>
        <v>3.5987794399261501E-3</v>
      </c>
      <c r="L4" s="8">
        <f>'Proximal Validation'!L4</f>
        <v>0.83635294437408403</v>
      </c>
      <c r="M4" s="8"/>
      <c r="N4" s="8"/>
      <c r="O4" s="8"/>
      <c r="P4" s="12"/>
      <c r="Q4" s="5">
        <f t="shared" ref="Q4:Q12" si="1">M4-A4</f>
        <v>-0.8</v>
      </c>
      <c r="R4" s="5">
        <f t="shared" ref="R4:R12" si="2">N4-B4</f>
        <v>-0.06</v>
      </c>
      <c r="S4" s="5">
        <f t="shared" ref="S4:S12" si="3">O4-C4</f>
        <v>-1.5707963267948966</v>
      </c>
      <c r="T4" s="5">
        <f t="shared" ref="T4:T12" si="4">ABS(Q4)</f>
        <v>0.8</v>
      </c>
      <c r="U4" s="5">
        <f t="shared" ref="U4:U12" si="5">ABS(R4)</f>
        <v>0.06</v>
      </c>
      <c r="V4" s="5">
        <f t="shared" ref="V4:V12" si="6">ABS(S4)</f>
        <v>1.5707963267948966</v>
      </c>
      <c r="W4" s="6" cm="1">
        <f t="array" ref="W4">AVERAGE(ABS(Q3:Q12))</f>
        <v>0.55000000000000004</v>
      </c>
      <c r="X4" s="6" cm="1">
        <f t="array" ref="X4">AVERAGE(ABS(R3:R12))</f>
        <v>0.13</v>
      </c>
      <c r="Y4" s="6" cm="1">
        <f t="array" ref="Y4">AVERAGE(ABS(S3:S12))</f>
        <v>1.5707963267948966</v>
      </c>
    </row>
    <row r="5" spans="1:25" x14ac:dyDescent="0.25">
      <c r="A5" s="5">
        <f>'Proximal Validation'!A5</f>
        <v>0.3</v>
      </c>
      <c r="B5" s="5">
        <f>'Proximal Validation'!B5</f>
        <v>0.08</v>
      </c>
      <c r="C5" s="5">
        <f>'Proximal Validation'!C5</f>
        <v>1.5707963267948966</v>
      </c>
      <c r="D5" s="5">
        <f>'Proximal Validation'!D5</f>
        <v>0</v>
      </c>
      <c r="E5" s="5">
        <f>'Proximal Validation'!E5</f>
        <v>0</v>
      </c>
      <c r="F5" s="5">
        <f>'Proximal Validation'!F5</f>
        <v>0</v>
      </c>
      <c r="G5" s="5">
        <f>'Proximal Validation'!G5</f>
        <v>1.679906854406E-4</v>
      </c>
      <c r="H5" s="5">
        <f>'Proximal Validation'!H5</f>
        <v>-4.5721895992755897E-2</v>
      </c>
      <c r="I5" s="5">
        <f>'Proximal Validation'!I5</f>
        <v>-3.8841026253067E-4</v>
      </c>
      <c r="J5" s="5">
        <f>'Proximal Validation'!J5</f>
        <v>-3.3596165478229502E-2</v>
      </c>
      <c r="K5" s="5">
        <f>'Proximal Validation'!K5</f>
        <v>-1.0348893702030199E-3</v>
      </c>
      <c r="L5" s="5">
        <f>'Proximal Validation'!L5</f>
        <v>0.25438803434371898</v>
      </c>
      <c r="M5" s="5"/>
      <c r="N5" s="5"/>
      <c r="O5" s="5"/>
      <c r="P5" s="11"/>
      <c r="Q5" s="5">
        <f t="shared" si="1"/>
        <v>-0.3</v>
      </c>
      <c r="R5" s="5">
        <f t="shared" si="2"/>
        <v>-0.08</v>
      </c>
      <c r="S5" s="5">
        <f t="shared" si="3"/>
        <v>-1.5707963267948966</v>
      </c>
      <c r="T5" s="5">
        <f t="shared" si="4"/>
        <v>0.3</v>
      </c>
      <c r="U5" s="5">
        <f t="shared" si="5"/>
        <v>0.08</v>
      </c>
      <c r="V5" s="5">
        <f t="shared" si="6"/>
        <v>1.5707963267948966</v>
      </c>
      <c r="W5" s="24"/>
      <c r="X5" s="24"/>
      <c r="Y5" s="24"/>
    </row>
    <row r="6" spans="1:25" x14ac:dyDescent="0.25">
      <c r="A6" s="5">
        <f>'Proximal Validation'!A6</f>
        <v>0.5</v>
      </c>
      <c r="B6" s="5">
        <f>'Proximal Validation'!B6</f>
        <v>0.1</v>
      </c>
      <c r="C6" s="5">
        <f>'Proximal Validation'!C6</f>
        <v>1.5707963267948966</v>
      </c>
      <c r="D6" s="5">
        <f>'Proximal Validation'!D6</f>
        <v>0</v>
      </c>
      <c r="E6" s="5">
        <f>'Proximal Validation'!E6</f>
        <v>0</v>
      </c>
      <c r="F6" s="5">
        <f>'Proximal Validation'!F6</f>
        <v>0</v>
      </c>
      <c r="G6" s="5">
        <f>'Proximal Validation'!G6</f>
        <v>3.3436843659728798E-4</v>
      </c>
      <c r="H6" s="5">
        <f>'Proximal Validation'!H6</f>
        <v>-9.1593101620674106E-2</v>
      </c>
      <c r="I6" s="5">
        <f>'Proximal Validation'!I6</f>
        <v>-1.09562510624528E-3</v>
      </c>
      <c r="J6" s="5">
        <f>'Proximal Validation'!J6</f>
        <v>-0.13726633787155201</v>
      </c>
      <c r="K6" s="5">
        <f>'Proximal Validation'!K6</f>
        <v>-2.9727667570114101E-3</v>
      </c>
      <c r="L6" s="5">
        <f>'Proximal Validation'!L6</f>
        <v>0.44673037528991699</v>
      </c>
      <c r="M6" s="5"/>
      <c r="N6" s="5"/>
      <c r="O6" s="5"/>
      <c r="P6" s="11"/>
      <c r="Q6" s="5">
        <f t="shared" si="1"/>
        <v>-0.5</v>
      </c>
      <c r="R6" s="5">
        <f t="shared" si="2"/>
        <v>-0.1</v>
      </c>
      <c r="S6" s="5">
        <f t="shared" si="3"/>
        <v>-1.5707963267948966</v>
      </c>
      <c r="T6" s="5">
        <f t="shared" si="4"/>
        <v>0.5</v>
      </c>
      <c r="U6" s="5">
        <f t="shared" si="5"/>
        <v>0.1</v>
      </c>
      <c r="V6" s="5">
        <f t="shared" si="6"/>
        <v>1.5707963267948966</v>
      </c>
    </row>
    <row r="7" spans="1:25" x14ac:dyDescent="0.25">
      <c r="A7" s="5">
        <f>'Proximal Validation'!A7</f>
        <v>0.7</v>
      </c>
      <c r="B7" s="5">
        <f>'Proximal Validation'!B7</f>
        <v>0.1</v>
      </c>
      <c r="C7" s="5">
        <f>'Proximal Validation'!C7</f>
        <v>1.5707963267948966</v>
      </c>
      <c r="D7" s="5">
        <f>'Proximal Validation'!D7</f>
        <v>0</v>
      </c>
      <c r="E7" s="5">
        <f>'Proximal Validation'!E7</f>
        <v>0</v>
      </c>
      <c r="F7" s="5">
        <f>'Proximal Validation'!F7</f>
        <v>0</v>
      </c>
      <c r="G7" s="5">
        <f>'Proximal Validation'!G7</f>
        <v>5.2663497626781498E-5</v>
      </c>
      <c r="H7" s="5">
        <f>'Proximal Validation'!H7</f>
        <v>-0.12548637390136699</v>
      </c>
      <c r="I7" s="5">
        <f>'Proximal Validation'!I7</f>
        <v>-9.7444711718708298E-4</v>
      </c>
      <c r="J7" s="5">
        <f>'Proximal Validation'!J7</f>
        <v>-0.25848296284675598</v>
      </c>
      <c r="K7" s="5">
        <f>'Proximal Validation'!K7</f>
        <v>6.1889737844467196E-4</v>
      </c>
      <c r="L7" s="5">
        <f>'Proximal Validation'!L7</f>
        <v>0.60252058506011996</v>
      </c>
      <c r="M7" s="5"/>
      <c r="N7" s="5"/>
      <c r="O7" s="5"/>
      <c r="P7" s="11"/>
      <c r="Q7" s="5">
        <f t="shared" si="1"/>
        <v>-0.7</v>
      </c>
      <c r="R7" s="5">
        <f t="shared" si="2"/>
        <v>-0.1</v>
      </c>
      <c r="S7" s="5">
        <f t="shared" si="3"/>
        <v>-1.5707963267948966</v>
      </c>
      <c r="T7" s="5">
        <f t="shared" si="4"/>
        <v>0.7</v>
      </c>
      <c r="U7" s="5">
        <f t="shared" si="5"/>
        <v>0.1</v>
      </c>
      <c r="V7" s="5">
        <f t="shared" si="6"/>
        <v>1.5707963267948966</v>
      </c>
    </row>
    <row r="8" spans="1:25" x14ac:dyDescent="0.25">
      <c r="A8" s="5">
        <f>'Proximal Validation'!A8</f>
        <v>0.4</v>
      </c>
      <c r="B8" s="5">
        <f>'Proximal Validation'!B8</f>
        <v>0.16</v>
      </c>
      <c r="C8" s="5">
        <f>'Proximal Validation'!C8</f>
        <v>1.5707963267948966</v>
      </c>
      <c r="D8" s="5">
        <f>'Proximal Validation'!D8</f>
        <v>0</v>
      </c>
      <c r="E8" s="5">
        <f>'Proximal Validation'!E8</f>
        <v>0</v>
      </c>
      <c r="F8" s="5">
        <f>'Proximal Validation'!F8</f>
        <v>0</v>
      </c>
      <c r="G8" s="5">
        <f>'Proximal Validation'!G8</f>
        <v>3.1168537680059699E-4</v>
      </c>
      <c r="H8" s="5">
        <f>'Proximal Validation'!H8</f>
        <v>-7.88237899541855E-2</v>
      </c>
      <c r="I8" s="5">
        <f>'Proximal Validation'!I8</f>
        <v>-1.01786095183343E-3</v>
      </c>
      <c r="J8" s="5">
        <f>'Proximal Validation'!J8</f>
        <v>-0.13838192820549</v>
      </c>
      <c r="K8" s="5">
        <f>'Proximal Validation'!K8</f>
        <v>-1.14574655890465E-3</v>
      </c>
      <c r="L8" s="5">
        <f>'Proximal Validation'!L8</f>
        <v>0.27298316359519997</v>
      </c>
      <c r="M8" s="5"/>
      <c r="N8" s="5"/>
      <c r="O8" s="5"/>
      <c r="P8" s="11"/>
      <c r="Q8" s="5">
        <f t="shared" si="1"/>
        <v>-0.4</v>
      </c>
      <c r="R8" s="5">
        <f t="shared" si="2"/>
        <v>-0.16</v>
      </c>
      <c r="S8" s="5">
        <f t="shared" si="3"/>
        <v>-1.5707963267948966</v>
      </c>
      <c r="T8" s="5">
        <f t="shared" si="4"/>
        <v>0.4</v>
      </c>
      <c r="U8" s="5">
        <f t="shared" si="5"/>
        <v>0.16</v>
      </c>
      <c r="V8" s="5">
        <f t="shared" si="6"/>
        <v>1.5707963267948966</v>
      </c>
    </row>
    <row r="9" spans="1:25" x14ac:dyDescent="0.25">
      <c r="A9" s="5">
        <f>'Proximal Validation'!A9</f>
        <v>0.6</v>
      </c>
      <c r="B9" s="5">
        <f>'Proximal Validation'!B9</f>
        <v>0.16</v>
      </c>
      <c r="C9" s="5">
        <f>'Proximal Validation'!C9</f>
        <v>1.5707963267948966</v>
      </c>
      <c r="D9" s="5">
        <f>'Proximal Validation'!D9</f>
        <v>0</v>
      </c>
      <c r="E9" s="5">
        <f>'Proximal Validation'!E9</f>
        <v>0</v>
      </c>
      <c r="F9" s="5">
        <f>'Proximal Validation'!F9</f>
        <v>0</v>
      </c>
      <c r="G9" s="5">
        <f>'Proximal Validation'!G9</f>
        <v>4.6556734014302498E-4</v>
      </c>
      <c r="H9" s="5">
        <f>'Proximal Validation'!H9</f>
        <v>-0.13455995917320299</v>
      </c>
      <c r="I9" s="5">
        <f>'Proximal Validation'!I9</f>
        <v>-1.54974625911564E-3</v>
      </c>
      <c r="J9" s="5">
        <f>'Proximal Validation'!J9</f>
        <v>-0.33463472127914401</v>
      </c>
      <c r="K9" s="5">
        <f>'Proximal Validation'!K9</f>
        <v>-5.6979432702064503E-4</v>
      </c>
      <c r="L9" s="5">
        <f>'Proximal Validation'!L9</f>
        <v>0.42998898029327398</v>
      </c>
      <c r="M9" s="5"/>
      <c r="N9" s="5"/>
      <c r="O9" s="5"/>
      <c r="P9" s="11"/>
      <c r="Q9" s="5">
        <f t="shared" si="1"/>
        <v>-0.6</v>
      </c>
      <c r="R9" s="5">
        <f t="shared" si="2"/>
        <v>-0.16</v>
      </c>
      <c r="S9" s="5">
        <f t="shared" si="3"/>
        <v>-1.5707963267948966</v>
      </c>
      <c r="T9" s="5">
        <f t="shared" si="4"/>
        <v>0.6</v>
      </c>
      <c r="U9" s="5">
        <f t="shared" si="5"/>
        <v>0.16</v>
      </c>
      <c r="V9" s="5">
        <f t="shared" si="6"/>
        <v>1.5707963267948966</v>
      </c>
      <c r="W9" s="7"/>
      <c r="X9" s="7"/>
      <c r="Y9" s="7"/>
    </row>
    <row r="10" spans="1:25" x14ac:dyDescent="0.25">
      <c r="A10" s="5">
        <f>'Proximal Validation'!A10</f>
        <v>0.8</v>
      </c>
      <c r="B10" s="5">
        <f>'Proximal Validation'!B10</f>
        <v>0.18</v>
      </c>
      <c r="C10" s="5">
        <f>'Proximal Validation'!C10</f>
        <v>1.5707963267948966</v>
      </c>
      <c r="D10" s="5">
        <f>'Proximal Validation'!D10</f>
        <v>0</v>
      </c>
      <c r="E10" s="5">
        <f>'Proximal Validation'!E10</f>
        <v>0</v>
      </c>
      <c r="F10" s="5">
        <f>'Proximal Validation'!F10</f>
        <v>0</v>
      </c>
      <c r="G10" s="5">
        <f>'Proximal Validation'!G10</f>
        <v>1.2284044642001399E-3</v>
      </c>
      <c r="H10" s="5">
        <f>'Proximal Validation'!H10</f>
        <v>-0.113915167748928</v>
      </c>
      <c r="I10" s="5">
        <f>'Proximal Validation'!I10</f>
        <v>-2.0511765033006698E-3</v>
      </c>
      <c r="J10" s="5">
        <f>'Proximal Validation'!J10</f>
        <v>-0.53618127107620195</v>
      </c>
      <c r="K10" s="5">
        <f>'Proximal Validation'!K10</f>
        <v>-3.6365408450365101E-3</v>
      </c>
      <c r="L10" s="5">
        <f>'Proximal Validation'!L10</f>
        <v>0.105719238519669</v>
      </c>
      <c r="M10" s="5"/>
      <c r="N10" s="5"/>
      <c r="O10" s="5"/>
      <c r="P10" s="11"/>
      <c r="Q10" s="5">
        <f t="shared" si="1"/>
        <v>-0.8</v>
      </c>
      <c r="R10" s="5">
        <f t="shared" si="2"/>
        <v>-0.18</v>
      </c>
      <c r="S10" s="5">
        <f t="shared" si="3"/>
        <v>-1.5707963267948966</v>
      </c>
      <c r="T10" s="5">
        <f t="shared" si="4"/>
        <v>0.8</v>
      </c>
      <c r="U10" s="5">
        <f t="shared" si="5"/>
        <v>0.18</v>
      </c>
      <c r="V10" s="5">
        <f t="shared" si="6"/>
        <v>1.5707963267948966</v>
      </c>
    </row>
    <row r="11" spans="1:25" x14ac:dyDescent="0.25">
      <c r="A11" s="5">
        <f>'Proximal Validation'!A11</f>
        <v>0.3</v>
      </c>
      <c r="B11" s="5">
        <f>'Proximal Validation'!B11</f>
        <v>0.2</v>
      </c>
      <c r="C11" s="5">
        <f>'Proximal Validation'!C11</f>
        <v>1.5707963267948966</v>
      </c>
      <c r="D11" s="5">
        <f>'Proximal Validation'!D11</f>
        <v>0</v>
      </c>
      <c r="E11" s="5">
        <f>'Proximal Validation'!E11</f>
        <v>0</v>
      </c>
      <c r="F11" s="5">
        <f>'Proximal Validation'!F11</f>
        <v>0</v>
      </c>
      <c r="G11" s="5">
        <f>'Proximal Validation'!G11</f>
        <v>-9.6103904070332606E-5</v>
      </c>
      <c r="H11" s="5">
        <f>'Proximal Validation'!H11</f>
        <v>-5.9686940163373899E-2</v>
      </c>
      <c r="I11" s="5">
        <f>'Proximal Validation'!I11</f>
        <v>-6.3943007262423602E-4</v>
      </c>
      <c r="J11" s="5">
        <f>'Proximal Validation'!J11</f>
        <v>-7.6781243085861206E-2</v>
      </c>
      <c r="K11" s="5">
        <f>'Proximal Validation'!K11</f>
        <v>-1.8407814204692799E-3</v>
      </c>
      <c r="L11" s="5">
        <f>'Proximal Validation'!L11</f>
        <v>0.17655885219574</v>
      </c>
      <c r="M11" s="5"/>
      <c r="N11" s="5"/>
      <c r="O11" s="5"/>
      <c r="P11" s="11"/>
      <c r="Q11" s="5">
        <f t="shared" si="1"/>
        <v>-0.3</v>
      </c>
      <c r="R11" s="5">
        <f t="shared" si="2"/>
        <v>-0.2</v>
      </c>
      <c r="S11" s="5">
        <f t="shared" si="3"/>
        <v>-1.5707963267948966</v>
      </c>
      <c r="T11" s="5">
        <f t="shared" si="4"/>
        <v>0.3</v>
      </c>
      <c r="U11" s="5">
        <f t="shared" si="5"/>
        <v>0.2</v>
      </c>
      <c r="V11" s="5">
        <f t="shared" si="6"/>
        <v>1.5707963267948966</v>
      </c>
      <c r="W11" s="7"/>
      <c r="X11" s="7"/>
      <c r="Y11" s="7"/>
    </row>
    <row r="12" spans="1:25" x14ac:dyDescent="0.25">
      <c r="A12" s="5">
        <f>'Proximal Validation'!A12</f>
        <v>0.7</v>
      </c>
      <c r="B12" s="5">
        <f>'Proximal Validation'!B12</f>
        <v>0.2</v>
      </c>
      <c r="C12" s="5">
        <f>'Proximal Validation'!C12</f>
        <v>1.5707963267948966</v>
      </c>
      <c r="D12" s="5">
        <f>'Proximal Validation'!D12</f>
        <v>0</v>
      </c>
      <c r="E12" s="5">
        <f>'Proximal Validation'!E12</f>
        <v>0</v>
      </c>
      <c r="F12" s="5">
        <f>'Proximal Validation'!F12</f>
        <v>0</v>
      </c>
      <c r="G12" s="5">
        <f>'Proximal Validation'!G12</f>
        <v>6.8014755379408598E-4</v>
      </c>
      <c r="H12" s="5">
        <f>'Proximal Validation'!H12</f>
        <v>-8.2236602902412401E-2</v>
      </c>
      <c r="I12" s="5">
        <f>'Proximal Validation'!I12</f>
        <v>-2.0893728360533701E-3</v>
      </c>
      <c r="J12" s="5">
        <f>'Proximal Validation'!J12</f>
        <v>-0.387284815311432</v>
      </c>
      <c r="K12" s="5">
        <f>'Proximal Validation'!K12</f>
        <v>-7.8587606549263E-4</v>
      </c>
      <c r="L12" s="5">
        <f>'Proximal Validation'!L12</f>
        <v>3.3172652125358602E-2</v>
      </c>
      <c r="M12" s="5"/>
      <c r="N12" s="5"/>
      <c r="O12" s="5"/>
      <c r="P12" s="11"/>
      <c r="Q12" s="5">
        <f t="shared" si="1"/>
        <v>-0.7</v>
      </c>
      <c r="R12" s="5">
        <f t="shared" si="2"/>
        <v>-0.2</v>
      </c>
      <c r="S12" s="5">
        <f t="shared" si="3"/>
        <v>-1.5707963267948966</v>
      </c>
      <c r="T12" s="5">
        <f t="shared" si="4"/>
        <v>0.7</v>
      </c>
      <c r="U12" s="5">
        <f t="shared" si="5"/>
        <v>0.2</v>
      </c>
      <c r="V12" s="5">
        <f t="shared" si="6"/>
        <v>1.5707963267948966</v>
      </c>
    </row>
    <row r="14" spans="1:25" ht="15.75" x14ac:dyDescent="0.25">
      <c r="A14" s="31" t="s">
        <v>31</v>
      </c>
      <c r="B14" s="32"/>
      <c r="C14" s="33"/>
    </row>
    <row r="15" spans="1:25" x14ac:dyDescent="0.25">
      <c r="A15">
        <v>0.5</v>
      </c>
      <c r="B15">
        <v>0</v>
      </c>
      <c r="C15">
        <v>0</v>
      </c>
    </row>
    <row r="16" spans="1:25" x14ac:dyDescent="0.25">
      <c r="A16">
        <v>0</v>
      </c>
      <c r="B16">
        <v>0.5</v>
      </c>
      <c r="C16">
        <v>0</v>
      </c>
    </row>
    <row r="17" spans="1:12" x14ac:dyDescent="0.25">
      <c r="A17">
        <v>0</v>
      </c>
      <c r="B17">
        <v>0</v>
      </c>
      <c r="C17">
        <v>0.5</v>
      </c>
    </row>
    <row r="19" spans="1:12" ht="15.75" thickBot="1" x14ac:dyDescent="0.3"/>
    <row r="20" spans="1:12" ht="15.75" x14ac:dyDescent="0.25">
      <c r="C20" s="1" t="s">
        <v>33</v>
      </c>
      <c r="D20" s="1" t="s">
        <v>8</v>
      </c>
      <c r="E20" s="1" t="s">
        <v>9</v>
      </c>
      <c r="F20" s="1" t="s">
        <v>10</v>
      </c>
      <c r="G20" s="17" t="s">
        <v>32</v>
      </c>
      <c r="H20" s="18"/>
      <c r="I20" s="18"/>
      <c r="J20" s="18"/>
      <c r="K20" s="18"/>
      <c r="L20" s="18"/>
    </row>
    <row r="21" spans="1:12" x14ac:dyDescent="0.25">
      <c r="C21" s="10">
        <v>1</v>
      </c>
      <c r="D21" s="5">
        <f t="shared" ref="D21:L21" si="7">D3</f>
        <v>0</v>
      </c>
      <c r="E21" s="5">
        <f t="shared" si="7"/>
        <v>0</v>
      </c>
      <c r="F21" s="5">
        <f t="shared" si="7"/>
        <v>0</v>
      </c>
      <c r="G21" s="5">
        <f t="shared" si="7"/>
        <v>4.2863236740231498E-4</v>
      </c>
      <c r="H21" s="5">
        <f t="shared" si="7"/>
        <v>-6.0315418988466298E-2</v>
      </c>
      <c r="I21" s="5">
        <f t="shared" si="7"/>
        <v>-2.55721563007683E-4</v>
      </c>
      <c r="J21" s="5">
        <f t="shared" si="7"/>
        <v>-4.1011810302734403E-2</v>
      </c>
      <c r="K21" s="5">
        <f t="shared" si="7"/>
        <v>7.4238330125808705E-4</v>
      </c>
      <c r="L21" s="5">
        <f t="shared" si="7"/>
        <v>0.38065329194068898</v>
      </c>
    </row>
    <row r="22" spans="1:12" x14ac:dyDescent="0.25">
      <c r="C22" s="10">
        <v>1</v>
      </c>
      <c r="D22" s="5">
        <f>A15+D$21</f>
        <v>0.5</v>
      </c>
      <c r="E22" s="5">
        <f t="shared" ref="E22:F22" si="8">B15+E$21</f>
        <v>0</v>
      </c>
      <c r="F22" s="5">
        <f t="shared" si="8"/>
        <v>0</v>
      </c>
      <c r="G22" s="5">
        <v>8.6028786608949304E-4</v>
      </c>
      <c r="H22" s="5">
        <v>-5.4633941501378999E-2</v>
      </c>
      <c r="I22" s="5">
        <v>-3.7012714892625798E-4</v>
      </c>
      <c r="J22" s="5">
        <v>-3.22832390666008E-2</v>
      </c>
      <c r="K22" s="5">
        <v>-1.36803835630417E-3</v>
      </c>
      <c r="L22" s="5">
        <v>0.34609788656234702</v>
      </c>
    </row>
    <row r="23" spans="1:12" x14ac:dyDescent="0.25">
      <c r="C23" s="10">
        <v>1</v>
      </c>
      <c r="D23" s="5">
        <f t="shared" ref="D23:D24" si="9">A16+D$21</f>
        <v>0</v>
      </c>
      <c r="E23" s="5">
        <f t="shared" ref="E23:E24" si="10">B16+E$21</f>
        <v>0.5</v>
      </c>
      <c r="F23" s="5">
        <f t="shared" ref="F23:F24" si="11">C16+F$21</f>
        <v>0</v>
      </c>
      <c r="G23" s="5">
        <v>1.84620730578899E-4</v>
      </c>
      <c r="H23" s="5">
        <v>-5.4243877530098003E-2</v>
      </c>
      <c r="I23" s="5">
        <v>-1.4138349797576701E-4</v>
      </c>
      <c r="J23" s="5">
        <v>-2.9981158673763299E-2</v>
      </c>
      <c r="K23" s="5">
        <v>2.8523653745651202E-3</v>
      </c>
      <c r="L23" s="5">
        <v>0.34563753008842502</v>
      </c>
    </row>
    <row r="24" spans="1:12" x14ac:dyDescent="0.25">
      <c r="C24" s="10">
        <v>1</v>
      </c>
      <c r="D24" s="5">
        <f t="shared" si="9"/>
        <v>0</v>
      </c>
      <c r="E24" s="5">
        <f t="shared" si="10"/>
        <v>0</v>
      </c>
      <c r="F24" s="5">
        <f t="shared" si="11"/>
        <v>0.5</v>
      </c>
      <c r="G24" s="5">
        <v>5.5083911865949598E-4</v>
      </c>
      <c r="H24" s="5">
        <v>-6.5338537096977206E-2</v>
      </c>
      <c r="I24" s="5">
        <v>-2.6577309472486398E-4</v>
      </c>
      <c r="J24" s="5">
        <v>-3.7093602120876298E-2</v>
      </c>
      <c r="K24" s="5">
        <v>2.17308849096298E-3</v>
      </c>
      <c r="L24" s="5">
        <v>0.41739150881767301</v>
      </c>
    </row>
    <row r="25" spans="1:12" x14ac:dyDescent="0.25">
      <c r="C25" s="10">
        <v>2</v>
      </c>
      <c r="D25" s="5">
        <v>0</v>
      </c>
      <c r="E25" s="5">
        <v>0</v>
      </c>
      <c r="F25" s="5">
        <v>0</v>
      </c>
      <c r="G25" s="5">
        <f>G4</f>
        <v>6.2025361694395499E-4</v>
      </c>
      <c r="H25" s="5">
        <f t="shared" ref="H25:L25" si="12">H4</f>
        <v>-0.13314910233020799</v>
      </c>
      <c r="I25" s="5">
        <f t="shared" si="12"/>
        <v>-2.3612950462847899E-4</v>
      </c>
      <c r="J25" s="5">
        <f t="shared" si="12"/>
        <v>-0.197828054428101</v>
      </c>
      <c r="K25" s="5">
        <f t="shared" si="12"/>
        <v>3.5987794399261501E-3</v>
      </c>
      <c r="L25" s="5">
        <f t="shared" si="12"/>
        <v>0.83635294437408403</v>
      </c>
    </row>
    <row r="26" spans="1:12" x14ac:dyDescent="0.25">
      <c r="C26" s="10">
        <v>2</v>
      </c>
      <c r="D26" s="5">
        <v>0.5</v>
      </c>
      <c r="E26" s="5">
        <v>0</v>
      </c>
      <c r="F26" s="5">
        <v>0</v>
      </c>
      <c r="G26" s="5">
        <v>1.5044098254293199E-3</v>
      </c>
      <c r="H26" s="5">
        <v>-0.12742799520492601</v>
      </c>
      <c r="I26" s="5">
        <v>-6.5068551339209101E-4</v>
      </c>
      <c r="J26" s="5">
        <v>-0.18055282533168801</v>
      </c>
      <c r="K26" s="5">
        <v>-1.8212646245956399E-3</v>
      </c>
      <c r="L26" s="5">
        <v>0.80400848388671897</v>
      </c>
    </row>
    <row r="27" spans="1:12" x14ac:dyDescent="0.25">
      <c r="C27" s="10">
        <v>2</v>
      </c>
      <c r="D27" s="5">
        <v>0</v>
      </c>
      <c r="E27" s="5">
        <v>0.5</v>
      </c>
      <c r="F27" s="5">
        <v>0</v>
      </c>
      <c r="G27" s="5">
        <v>-2.2577820345759399E-5</v>
      </c>
      <c r="H27" s="5">
        <v>-0.127245843410492</v>
      </c>
      <c r="I27" s="5">
        <v>1.5240057837218E-4</v>
      </c>
      <c r="J27" s="5">
        <v>-0.18084600567817699</v>
      </c>
      <c r="K27" s="5">
        <v>7.7832192182540902E-3</v>
      </c>
      <c r="L27" s="5">
        <v>0.80454742908477805</v>
      </c>
    </row>
    <row r="28" spans="1:12" x14ac:dyDescent="0.25">
      <c r="C28" s="10">
        <v>2</v>
      </c>
      <c r="D28" s="5">
        <v>0</v>
      </c>
      <c r="E28" s="5">
        <v>0</v>
      </c>
      <c r="F28" s="5">
        <v>0.5</v>
      </c>
      <c r="G28" s="5">
        <v>6.3802860677242301E-4</v>
      </c>
      <c r="H28" s="5">
        <v>-0.13588067889213601</v>
      </c>
      <c r="I28" s="5">
        <v>-1.7745699733495699E-4</v>
      </c>
      <c r="J28" s="5">
        <v>-0.19523037970066101</v>
      </c>
      <c r="K28" s="5">
        <v>4.82505559921265E-3</v>
      </c>
      <c r="L28" s="5">
        <v>0.858878433704376</v>
      </c>
    </row>
    <row r="29" spans="1:12" x14ac:dyDescent="0.25">
      <c r="C29" s="10">
        <v>3</v>
      </c>
      <c r="D29" s="5">
        <v>0</v>
      </c>
      <c r="E29" s="5">
        <v>0</v>
      </c>
      <c r="F29" s="5">
        <v>0</v>
      </c>
      <c r="G29" s="5">
        <f>G5</f>
        <v>1.679906854406E-4</v>
      </c>
      <c r="H29" s="5">
        <f t="shared" ref="H29:L29" si="13">H5</f>
        <v>-4.5721895992755897E-2</v>
      </c>
      <c r="I29" s="5">
        <f t="shared" si="13"/>
        <v>-3.8841026253067E-4</v>
      </c>
      <c r="J29" s="5">
        <f t="shared" si="13"/>
        <v>-3.3596165478229502E-2</v>
      </c>
      <c r="K29" s="5">
        <f t="shared" si="13"/>
        <v>-1.0348893702030199E-3</v>
      </c>
      <c r="L29" s="5">
        <f t="shared" si="13"/>
        <v>0.25438803434371898</v>
      </c>
    </row>
    <row r="30" spans="1:12" x14ac:dyDescent="0.25">
      <c r="C30" s="10">
        <v>3</v>
      </c>
      <c r="D30" s="5">
        <v>0.5</v>
      </c>
      <c r="E30" s="5">
        <v>0</v>
      </c>
      <c r="F30" s="5">
        <v>0</v>
      </c>
      <c r="G30" s="5">
        <v>4.2449816828593601E-4</v>
      </c>
      <c r="H30" s="5">
        <v>-3.5818945616483702E-2</v>
      </c>
      <c r="I30" s="5">
        <v>-3.6156940041109898E-4</v>
      </c>
      <c r="J30" s="5">
        <v>-2.5007732212543501E-2</v>
      </c>
      <c r="K30" s="5">
        <v>-2.30729952454567E-3</v>
      </c>
      <c r="L30" s="5">
        <v>0.19934788346290599</v>
      </c>
    </row>
    <row r="31" spans="1:12" x14ac:dyDescent="0.25">
      <c r="C31" s="10">
        <v>3</v>
      </c>
      <c r="D31" s="5">
        <v>0</v>
      </c>
      <c r="E31" s="5">
        <v>0.5</v>
      </c>
      <c r="F31" s="5">
        <v>0</v>
      </c>
      <c r="G31" s="5">
        <v>-2.2571202134713501E-4</v>
      </c>
      <c r="H31" s="5">
        <v>-3.50028350949287E-2</v>
      </c>
      <c r="I31" s="5">
        <v>-1.6244553262367801E-4</v>
      </c>
      <c r="J31" s="5">
        <v>-2.40234732627869E-2</v>
      </c>
      <c r="K31" s="5">
        <v>1.70788168907166E-3</v>
      </c>
      <c r="L31" s="5">
        <v>0.19539682567119601</v>
      </c>
    </row>
    <row r="32" spans="1:12" x14ac:dyDescent="0.25">
      <c r="C32" s="10">
        <v>3</v>
      </c>
      <c r="D32" s="5">
        <v>0</v>
      </c>
      <c r="E32" s="5">
        <v>0</v>
      </c>
      <c r="F32" s="5">
        <v>0.5</v>
      </c>
      <c r="G32" s="5">
        <v>1.4800508506596099E-4</v>
      </c>
      <c r="H32" s="5">
        <v>-4.9277842044830301E-2</v>
      </c>
      <c r="I32" s="5">
        <v>-3.9798076613806199E-4</v>
      </c>
      <c r="J32" s="5">
        <v>-3.3752001821994802E-2</v>
      </c>
      <c r="K32" s="5">
        <v>-4.2555108666419999E-4</v>
      </c>
      <c r="L32" s="5">
        <v>0.27567622065544101</v>
      </c>
    </row>
    <row r="33" spans="3:12" x14ac:dyDescent="0.25">
      <c r="C33" s="10">
        <v>4</v>
      </c>
      <c r="D33" s="5">
        <v>0</v>
      </c>
      <c r="E33" s="5">
        <v>0</v>
      </c>
      <c r="F33" s="5">
        <v>0</v>
      </c>
      <c r="G33" s="5">
        <f>G6</f>
        <v>3.3436843659728798E-4</v>
      </c>
      <c r="H33" s="5">
        <f t="shared" ref="H33:L33" si="14">H6</f>
        <v>-9.1593101620674106E-2</v>
      </c>
      <c r="I33" s="5">
        <f t="shared" si="14"/>
        <v>-1.09562510624528E-3</v>
      </c>
      <c r="J33" s="5">
        <f t="shared" si="14"/>
        <v>-0.13726633787155201</v>
      </c>
      <c r="K33" s="5">
        <f t="shared" si="14"/>
        <v>-2.9727667570114101E-3</v>
      </c>
      <c r="L33" s="5">
        <f t="shared" si="14"/>
        <v>0.44673037528991699</v>
      </c>
    </row>
    <row r="34" spans="3:12" x14ac:dyDescent="0.25">
      <c r="C34" s="10">
        <v>4</v>
      </c>
      <c r="D34" s="5">
        <v>0.5</v>
      </c>
      <c r="E34" s="5">
        <v>0</v>
      </c>
      <c r="F34" s="5">
        <v>0</v>
      </c>
      <c r="G34" s="5">
        <v>1.3491128338500901E-3</v>
      </c>
      <c r="H34" s="5">
        <v>-8.5293486714363098E-2</v>
      </c>
      <c r="I34" s="5">
        <v>-1.6777509590610901E-3</v>
      </c>
      <c r="J34" s="5">
        <v>-0.125727504491806</v>
      </c>
      <c r="K34" s="5">
        <v>-8.3918944001197798E-3</v>
      </c>
      <c r="L34" s="5">
        <v>0.41700935363769498</v>
      </c>
    </row>
    <row r="35" spans="3:12" x14ac:dyDescent="0.25">
      <c r="C35" s="10">
        <v>4</v>
      </c>
      <c r="D35" s="5">
        <v>0</v>
      </c>
      <c r="E35" s="5">
        <v>0.5</v>
      </c>
      <c r="F35" s="5">
        <v>0</v>
      </c>
      <c r="G35" s="5">
        <v>-3.68371256627142E-4</v>
      </c>
      <c r="H35" s="5">
        <v>-8.4716849029064206E-2</v>
      </c>
      <c r="I35" s="5">
        <v>-5.1677279407158505E-4</v>
      </c>
      <c r="J35" s="5">
        <v>-0.122811794281006</v>
      </c>
      <c r="K35" s="5">
        <v>1.2440085411071799E-3</v>
      </c>
      <c r="L35" s="5">
        <v>0.41547343134880099</v>
      </c>
    </row>
    <row r="36" spans="3:12" x14ac:dyDescent="0.25">
      <c r="C36" s="10">
        <v>4</v>
      </c>
      <c r="D36" s="5">
        <v>0</v>
      </c>
      <c r="E36" s="5">
        <v>0</v>
      </c>
      <c r="F36" s="5">
        <v>0.5</v>
      </c>
      <c r="G36" s="5">
        <v>3.7457700818777101E-4</v>
      </c>
      <c r="H36" s="5">
        <v>-9.6383325755596203E-2</v>
      </c>
      <c r="I36" s="5">
        <v>-1.10868131741881E-3</v>
      </c>
      <c r="J36" s="5">
        <v>-0.14044141769409199</v>
      </c>
      <c r="K36" s="5">
        <v>-2.8370842337608298E-3</v>
      </c>
      <c r="L36" s="5">
        <v>0.47231984138488797</v>
      </c>
    </row>
    <row r="37" spans="3:12" x14ac:dyDescent="0.25">
      <c r="C37" s="10">
        <v>5</v>
      </c>
      <c r="D37" s="5">
        <v>0</v>
      </c>
      <c r="E37" s="5">
        <v>0</v>
      </c>
      <c r="F37" s="5">
        <v>0</v>
      </c>
      <c r="G37" s="5">
        <f>G7</f>
        <v>5.2663497626781498E-5</v>
      </c>
      <c r="H37" s="5">
        <f t="shared" ref="H37:L37" si="15">H7</f>
        <v>-0.12548637390136699</v>
      </c>
      <c r="I37" s="5">
        <f t="shared" si="15"/>
        <v>-9.7444711718708298E-4</v>
      </c>
      <c r="J37" s="5">
        <f t="shared" si="15"/>
        <v>-0.25848296284675598</v>
      </c>
      <c r="K37" s="5">
        <f t="shared" si="15"/>
        <v>6.1889737844467196E-4</v>
      </c>
      <c r="L37" s="5">
        <f t="shared" si="15"/>
        <v>0.60252058506011996</v>
      </c>
    </row>
    <row r="38" spans="3:12" x14ac:dyDescent="0.25">
      <c r="C38" s="10">
        <v>5</v>
      </c>
      <c r="D38" s="5">
        <v>0.5</v>
      </c>
      <c r="E38" s="5">
        <v>0</v>
      </c>
      <c r="F38" s="5">
        <v>0</v>
      </c>
      <c r="G38" s="5">
        <v>1.03825342375785E-3</v>
      </c>
      <c r="H38" s="5">
        <v>-0.117601834237576</v>
      </c>
      <c r="I38" s="5">
        <v>-1.51722133159637E-3</v>
      </c>
      <c r="J38" s="5">
        <v>-0.24127608537674</v>
      </c>
      <c r="K38" s="5">
        <v>-5.1122456789016698E-3</v>
      </c>
      <c r="L38" s="5">
        <v>0.56620299816131603</v>
      </c>
    </row>
    <row r="39" spans="3:12" x14ac:dyDescent="0.25">
      <c r="C39" s="10">
        <v>5</v>
      </c>
      <c r="D39" s="5">
        <v>0</v>
      </c>
      <c r="E39" s="5">
        <v>0.5</v>
      </c>
      <c r="F39" s="5">
        <v>0</v>
      </c>
      <c r="G39" s="5">
        <v>-9.3458336777985096E-4</v>
      </c>
      <c r="H39" s="5">
        <v>-0.11774843186140101</v>
      </c>
      <c r="I39" s="5">
        <v>-2.4520652368664698E-4</v>
      </c>
      <c r="J39" s="5">
        <v>-0.240961849689484</v>
      </c>
      <c r="K39" s="5">
        <v>6.6969096660613996E-3</v>
      </c>
      <c r="L39" s="5">
        <v>0.56751298904418901</v>
      </c>
    </row>
    <row r="40" spans="3:12" x14ac:dyDescent="0.25">
      <c r="C40" s="10">
        <v>5</v>
      </c>
      <c r="D40" s="5">
        <v>0</v>
      </c>
      <c r="E40" s="5">
        <v>0</v>
      </c>
      <c r="F40" s="5">
        <v>0.5</v>
      </c>
      <c r="G40" s="5">
        <v>-1.3320404104888401E-4</v>
      </c>
      <c r="H40" s="5">
        <v>-0.126326814293861</v>
      </c>
      <c r="I40" s="5">
        <v>-8.3597953198477604E-4</v>
      </c>
      <c r="J40" s="5">
        <v>-0.25912681221961997</v>
      </c>
      <c r="K40" s="5">
        <v>2.0228773355484E-3</v>
      </c>
      <c r="L40" s="5">
        <v>0.60838901996612504</v>
      </c>
    </row>
    <row r="41" spans="3:12" x14ac:dyDescent="0.25">
      <c r="C41" s="10">
        <v>6</v>
      </c>
      <c r="D41" s="5">
        <v>0</v>
      </c>
      <c r="E41" s="5">
        <v>0</v>
      </c>
      <c r="F41" s="5">
        <v>0</v>
      </c>
      <c r="G41" s="5">
        <f>G8</f>
        <v>3.1168537680059699E-4</v>
      </c>
      <c r="H41" s="5">
        <f t="shared" ref="H41:L41" si="16">H8</f>
        <v>-7.88237899541855E-2</v>
      </c>
      <c r="I41" s="5">
        <f t="shared" si="16"/>
        <v>-1.01786095183343E-3</v>
      </c>
      <c r="J41" s="5">
        <f t="shared" si="16"/>
        <v>-0.13838192820549</v>
      </c>
      <c r="K41" s="5">
        <f t="shared" si="16"/>
        <v>-1.14574655890465E-3</v>
      </c>
      <c r="L41" s="5">
        <f t="shared" si="16"/>
        <v>0.27298316359519997</v>
      </c>
    </row>
    <row r="42" spans="3:12" x14ac:dyDescent="0.25">
      <c r="C42" s="10">
        <v>6</v>
      </c>
      <c r="D42" s="5">
        <v>0.5</v>
      </c>
      <c r="E42" s="5">
        <v>0</v>
      </c>
      <c r="F42" s="5">
        <v>0</v>
      </c>
      <c r="G42" s="5">
        <v>1.6261921264231201E-3</v>
      </c>
      <c r="H42" s="5">
        <v>-7.2682023048400907E-2</v>
      </c>
      <c r="I42" s="5">
        <v>-2.1703592501580698E-3</v>
      </c>
      <c r="J42" s="5">
        <v>-0.12710483372211501</v>
      </c>
      <c r="K42" s="5">
        <v>-8.2274600863456691E-3</v>
      </c>
      <c r="L42" s="5">
        <v>0.25242263078689597</v>
      </c>
    </row>
    <row r="43" spans="3:12" x14ac:dyDescent="0.25">
      <c r="C43" s="10">
        <v>6</v>
      </c>
      <c r="D43" s="5">
        <v>0</v>
      </c>
      <c r="E43" s="5">
        <v>0.5</v>
      </c>
      <c r="F43" s="5">
        <v>0</v>
      </c>
      <c r="G43" s="5">
        <v>-8.2752108573913596E-4</v>
      </c>
      <c r="H43" s="5">
        <v>-7.2226621210575104E-2</v>
      </c>
      <c r="I43" s="5">
        <v>8.8032218627631705E-5</v>
      </c>
      <c r="J43" s="5">
        <v>-0.12602137029171001</v>
      </c>
      <c r="K43" s="5">
        <v>5.0658285617828404E-3</v>
      </c>
      <c r="L43" s="5">
        <v>0.25155869126319902</v>
      </c>
    </row>
    <row r="44" spans="3:12" x14ac:dyDescent="0.25">
      <c r="C44" s="10">
        <v>6</v>
      </c>
      <c r="D44" s="5">
        <v>0</v>
      </c>
      <c r="E44" s="5">
        <v>0</v>
      </c>
      <c r="F44" s="5">
        <v>0.5</v>
      </c>
      <c r="G44" s="5">
        <v>2.87485192529857E-4</v>
      </c>
      <c r="H44" s="5">
        <v>-8.3331584930419894E-2</v>
      </c>
      <c r="I44" s="5">
        <v>-1.0331524536013601E-3</v>
      </c>
      <c r="J44" s="5">
        <v>-0.13593830168247201</v>
      </c>
      <c r="K44" s="5">
        <v>-4.7545880079269398E-4</v>
      </c>
      <c r="L44" s="5">
        <v>0.28976070880889898</v>
      </c>
    </row>
    <row r="45" spans="3:12" x14ac:dyDescent="0.25">
      <c r="C45" s="10">
        <v>7</v>
      </c>
      <c r="D45" s="5">
        <v>0</v>
      </c>
      <c r="E45" s="5">
        <v>0</v>
      </c>
      <c r="F45" s="5">
        <v>0</v>
      </c>
      <c r="G45" s="5">
        <f>G9</f>
        <v>4.6556734014302498E-4</v>
      </c>
      <c r="H45" s="5">
        <f t="shared" ref="H45:L45" si="17">H9</f>
        <v>-0.13455995917320299</v>
      </c>
      <c r="I45" s="5">
        <f t="shared" si="17"/>
        <v>-1.54974625911564E-3</v>
      </c>
      <c r="J45" s="5">
        <f t="shared" si="17"/>
        <v>-0.33463472127914401</v>
      </c>
      <c r="K45" s="5">
        <f t="shared" si="17"/>
        <v>-5.6979432702064503E-4</v>
      </c>
      <c r="L45" s="5">
        <f t="shared" si="17"/>
        <v>0.42998898029327398</v>
      </c>
    </row>
    <row r="46" spans="3:12" x14ac:dyDescent="0.25">
      <c r="C46" s="10">
        <v>7</v>
      </c>
      <c r="D46" s="5">
        <v>0.5</v>
      </c>
      <c r="E46" s="5">
        <v>0</v>
      </c>
      <c r="F46" s="5">
        <v>0</v>
      </c>
      <c r="G46" s="5">
        <v>2.7635600417852402E-3</v>
      </c>
      <c r="H46" s="5">
        <v>-0.12638346850872001</v>
      </c>
      <c r="I46" s="5">
        <v>-3.4107193350791901E-3</v>
      </c>
      <c r="J46" s="5">
        <v>-0.31214833259582497</v>
      </c>
      <c r="K46" s="5">
        <v>-1.27998143434525E-2</v>
      </c>
      <c r="L46" s="5">
        <v>0.40445050597190901</v>
      </c>
    </row>
    <row r="47" spans="3:12" x14ac:dyDescent="0.25">
      <c r="C47" s="10">
        <v>7</v>
      </c>
      <c r="D47" s="5">
        <v>0</v>
      </c>
      <c r="E47" s="5">
        <v>0.5</v>
      </c>
      <c r="F47" s="5">
        <v>0</v>
      </c>
      <c r="G47" s="5">
        <v>-1.09459296800196E-3</v>
      </c>
      <c r="H47" s="5">
        <v>-0.12432137131691</v>
      </c>
      <c r="I47" s="5">
        <v>-8.1646139733493301E-5</v>
      </c>
      <c r="J47" s="5">
        <v>-0.30551758408546398</v>
      </c>
      <c r="K47" s="5">
        <v>7.9032443463802303E-3</v>
      </c>
      <c r="L47" s="5">
        <v>0.39820054173469499</v>
      </c>
    </row>
    <row r="48" spans="3:12" x14ac:dyDescent="0.25">
      <c r="C48" s="10">
        <v>7</v>
      </c>
      <c r="D48" s="5">
        <v>0</v>
      </c>
      <c r="E48" s="5">
        <v>0</v>
      </c>
      <c r="F48" s="5">
        <v>0.5</v>
      </c>
      <c r="G48" s="5">
        <v>3.0349823646247398E-4</v>
      </c>
      <c r="H48" s="5">
        <v>-0.12994953989982599</v>
      </c>
      <c r="I48" s="5">
        <v>-1.32465653587133E-3</v>
      </c>
      <c r="J48" s="5">
        <v>-0.31836175918579102</v>
      </c>
      <c r="K48" s="5">
        <v>5.8681890368461598E-4</v>
      </c>
      <c r="L48" s="5">
        <v>0.416602432727814</v>
      </c>
    </row>
    <row r="49" spans="3:12" x14ac:dyDescent="0.25">
      <c r="C49" s="10">
        <v>8</v>
      </c>
      <c r="D49" s="5">
        <v>0</v>
      </c>
      <c r="E49" s="5">
        <v>0</v>
      </c>
      <c r="F49" s="5">
        <v>0</v>
      </c>
      <c r="G49" s="5">
        <f>G10</f>
        <v>1.2284044642001399E-3</v>
      </c>
      <c r="H49" s="5">
        <f t="shared" ref="H49:L49" si="18">H10</f>
        <v>-0.113915167748928</v>
      </c>
      <c r="I49" s="5">
        <f t="shared" si="18"/>
        <v>-2.0511765033006698E-3</v>
      </c>
      <c r="J49" s="5">
        <f t="shared" si="18"/>
        <v>-0.53618127107620195</v>
      </c>
      <c r="K49" s="5">
        <f t="shared" si="18"/>
        <v>-3.6365408450365101E-3</v>
      </c>
      <c r="L49" s="5">
        <f t="shared" si="18"/>
        <v>0.105719238519669</v>
      </c>
    </row>
    <row r="50" spans="3:12" x14ac:dyDescent="0.25">
      <c r="C50" s="10">
        <v>8</v>
      </c>
      <c r="D50" s="5">
        <v>0.5</v>
      </c>
      <c r="E50" s="5">
        <v>0</v>
      </c>
      <c r="F50" s="5">
        <v>0</v>
      </c>
      <c r="G50" s="5">
        <v>3.8382182829081999E-3</v>
      </c>
      <c r="H50" s="5">
        <v>-8.8343590497970595E-2</v>
      </c>
      <c r="I50" s="5">
        <v>-3.5368353128433202E-3</v>
      </c>
      <c r="J50" s="5">
        <v>-0.41343912482261702</v>
      </c>
      <c r="K50" s="5">
        <v>-1.8430761992931401E-2</v>
      </c>
      <c r="L50" s="5">
        <v>6.5671034157276195E-2</v>
      </c>
    </row>
    <row r="51" spans="3:12" x14ac:dyDescent="0.25">
      <c r="C51" s="10">
        <v>8</v>
      </c>
      <c r="D51" s="5">
        <v>0</v>
      </c>
      <c r="E51" s="5">
        <v>0.5</v>
      </c>
      <c r="F51" s="5">
        <v>0</v>
      </c>
      <c r="G51" s="5">
        <v>-1.1623625177890099E-3</v>
      </c>
      <c r="H51" s="5">
        <v>-8.3852507174015004E-2</v>
      </c>
      <c r="I51" s="5">
        <v>6.3753977883607095E-5</v>
      </c>
      <c r="J51" s="5">
        <v>-0.39028978347778298</v>
      </c>
      <c r="K51" s="5">
        <v>8.7560154497623392E-3</v>
      </c>
      <c r="L51" s="5">
        <v>5.9520550072193097E-2</v>
      </c>
    </row>
    <row r="52" spans="3:12" x14ac:dyDescent="0.25">
      <c r="C52" s="10">
        <v>8</v>
      </c>
      <c r="D52" s="5">
        <v>0</v>
      </c>
      <c r="E52" s="5">
        <v>0</v>
      </c>
      <c r="F52" s="5">
        <v>0.5</v>
      </c>
      <c r="G52" s="5">
        <v>7.5774901779368498E-4</v>
      </c>
      <c r="H52" s="5">
        <v>-8.6440630257129697E-2</v>
      </c>
      <c r="I52" s="5">
        <v>-1.3630648609250799E-3</v>
      </c>
      <c r="J52" s="5">
        <v>-0.40222004055976901</v>
      </c>
      <c r="K52" s="5">
        <v>-1.74019858241081E-3</v>
      </c>
      <c r="L52" s="5">
        <v>6.0908857733011197E-2</v>
      </c>
    </row>
    <row r="53" spans="3:12" x14ac:dyDescent="0.25">
      <c r="C53" s="10">
        <v>9</v>
      </c>
      <c r="D53" s="5">
        <v>0</v>
      </c>
      <c r="E53" s="5">
        <v>0</v>
      </c>
      <c r="F53" s="5">
        <v>0</v>
      </c>
      <c r="G53" s="5">
        <f>G11</f>
        <v>-9.6103904070332606E-5</v>
      </c>
      <c r="H53" s="5">
        <f t="shared" ref="H53:L53" si="19">H11</f>
        <v>-5.9686940163373899E-2</v>
      </c>
      <c r="I53" s="5">
        <f t="shared" si="19"/>
        <v>-6.3943007262423602E-4</v>
      </c>
      <c r="J53" s="5">
        <f t="shared" si="19"/>
        <v>-7.6781243085861206E-2</v>
      </c>
      <c r="K53" s="5">
        <f t="shared" si="19"/>
        <v>-1.8407814204692799E-3</v>
      </c>
      <c r="L53" s="5">
        <f t="shared" si="19"/>
        <v>0.17655885219574</v>
      </c>
    </row>
    <row r="54" spans="3:12" x14ac:dyDescent="0.25">
      <c r="C54" s="10">
        <v>9</v>
      </c>
      <c r="D54" s="5">
        <v>0.5</v>
      </c>
      <c r="E54" s="5">
        <v>0</v>
      </c>
      <c r="F54" s="5">
        <v>0</v>
      </c>
      <c r="G54" s="5">
        <v>1.4402139931917199E-3</v>
      </c>
      <c r="H54" s="5">
        <v>-5.1898334175348303E-2</v>
      </c>
      <c r="I54" s="5">
        <v>-2.6427994016557902E-3</v>
      </c>
      <c r="J54" s="5">
        <v>-6.5182447433471694E-2</v>
      </c>
      <c r="K54" s="5">
        <v>-1.05602666735649E-2</v>
      </c>
      <c r="L54" s="5">
        <v>0.15282407402992201</v>
      </c>
    </row>
    <row r="55" spans="3:12" x14ac:dyDescent="0.25">
      <c r="C55" s="10">
        <v>9</v>
      </c>
      <c r="D55" s="5">
        <v>0</v>
      </c>
      <c r="E55" s="5">
        <v>0.5</v>
      </c>
      <c r="F55" s="5">
        <v>0</v>
      </c>
      <c r="G55" s="5">
        <v>-1.3236163649708E-3</v>
      </c>
      <c r="H55" s="5">
        <v>-5.0718866288661998E-2</v>
      </c>
      <c r="I55" s="5">
        <v>1.07883068267256E-3</v>
      </c>
      <c r="J55" s="5">
        <v>-6.11056536436081E-2</v>
      </c>
      <c r="K55" s="5">
        <v>4.4592213816940802E-3</v>
      </c>
      <c r="L55" s="5">
        <v>0.15045405924320199</v>
      </c>
    </row>
    <row r="56" spans="3:12" x14ac:dyDescent="0.25">
      <c r="C56" s="10">
        <v>9</v>
      </c>
      <c r="D56" s="5">
        <v>0</v>
      </c>
      <c r="E56" s="5">
        <v>0</v>
      </c>
      <c r="F56" s="5">
        <v>0.5</v>
      </c>
      <c r="G56" s="5">
        <v>-1.1979727423749899E-4</v>
      </c>
      <c r="H56" s="5">
        <v>-6.17353655397892E-2</v>
      </c>
      <c r="I56" s="5">
        <v>-6.4612115966156103E-4</v>
      </c>
      <c r="J56" s="5">
        <v>-8.0417476594448103E-2</v>
      </c>
      <c r="K56" s="5">
        <v>-1.7534289509058001E-3</v>
      </c>
      <c r="L56" s="5">
        <v>0.18208906054496801</v>
      </c>
    </row>
    <row r="57" spans="3:12" x14ac:dyDescent="0.25">
      <c r="C57" s="10">
        <v>10</v>
      </c>
      <c r="D57" s="5">
        <v>0</v>
      </c>
      <c r="E57" s="5">
        <v>0</v>
      </c>
      <c r="F57" s="5">
        <v>0</v>
      </c>
      <c r="G57" s="5">
        <f>G12</f>
        <v>6.8014755379408598E-4</v>
      </c>
      <c r="H57" s="5">
        <f t="shared" ref="H57:L57" si="20">H12</f>
        <v>-8.2236602902412401E-2</v>
      </c>
      <c r="I57" s="5">
        <f t="shared" si="20"/>
        <v>-2.0893728360533701E-3</v>
      </c>
      <c r="J57" s="5">
        <f t="shared" si="20"/>
        <v>-0.387284815311432</v>
      </c>
      <c r="K57" s="5">
        <f t="shared" si="20"/>
        <v>-7.8587606549263E-4</v>
      </c>
      <c r="L57" s="5">
        <f t="shared" si="20"/>
        <v>3.3172652125358602E-2</v>
      </c>
    </row>
    <row r="58" spans="3:12" x14ac:dyDescent="0.25">
      <c r="C58" s="10">
        <v>10</v>
      </c>
      <c r="D58" s="5">
        <v>0.5</v>
      </c>
      <c r="E58" s="5">
        <v>0</v>
      </c>
      <c r="F58" s="5">
        <v>0</v>
      </c>
      <c r="G58" s="5">
        <v>3.3882816787809099E-3</v>
      </c>
      <c r="H58" s="5">
        <v>-6.55329003930092E-2</v>
      </c>
      <c r="I58" s="5">
        <v>-4.0368093177676201E-3</v>
      </c>
      <c r="J58" s="5">
        <v>-0.306052505970001</v>
      </c>
      <c r="K58" s="5">
        <v>-1.54179837554693E-2</v>
      </c>
      <c r="L58" s="5">
        <v>1.7418351024389302E-2</v>
      </c>
    </row>
    <row r="59" spans="3:12" x14ac:dyDescent="0.25">
      <c r="C59" s="10">
        <v>10</v>
      </c>
      <c r="D59" s="5">
        <v>0</v>
      </c>
      <c r="E59" s="5">
        <v>0.5</v>
      </c>
      <c r="F59" s="5">
        <v>0</v>
      </c>
      <c r="G59" s="5">
        <v>-1.8048633355647299E-3</v>
      </c>
      <c r="H59" s="5">
        <v>-6.1465077102184303E-2</v>
      </c>
      <c r="I59" s="5">
        <v>5.5631331633776405E-4</v>
      </c>
      <c r="J59" s="5">
        <v>-0.28483009338378901</v>
      </c>
      <c r="K59" s="5">
        <v>1.1657871305942501E-2</v>
      </c>
      <c r="L59" s="5">
        <v>1.5695527195930498E-2</v>
      </c>
    </row>
    <row r="60" spans="3:12" x14ac:dyDescent="0.25">
      <c r="C60" s="10">
        <v>10</v>
      </c>
      <c r="D60" s="5">
        <v>0</v>
      </c>
      <c r="E60" s="5">
        <v>0</v>
      </c>
      <c r="F60" s="5">
        <v>0.5</v>
      </c>
      <c r="G60" s="5">
        <v>1.2752873590216E-4</v>
      </c>
      <c r="H60" s="5">
        <v>-6.7602455615997301E-2</v>
      </c>
      <c r="I60" s="5">
        <v>-1.24910078011453E-3</v>
      </c>
      <c r="J60" s="5">
        <v>-0.31687593460083002</v>
      </c>
      <c r="K60" s="5">
        <v>2.0269826054573098E-3</v>
      </c>
      <c r="L60" s="5">
        <v>1.6724463552236599E-2</v>
      </c>
    </row>
  </sheetData>
  <mergeCells count="10">
    <mergeCell ref="A14:C14"/>
    <mergeCell ref="G20:L20"/>
    <mergeCell ref="W5:Y5"/>
    <mergeCell ref="A1:F1"/>
    <mergeCell ref="G1:L1"/>
    <mergeCell ref="Q1:S1"/>
    <mergeCell ref="W1:Y1"/>
    <mergeCell ref="W2:Y2"/>
    <mergeCell ref="M1:P1"/>
    <mergeCell ref="T1:V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E0736-1722-4350-9DE0-8A911956EF0F}">
  <dimension ref="A1:AY61"/>
  <sheetViews>
    <sheetView workbookViewId="0">
      <pane ySplit="3" topLeftCell="A30" activePane="bottomLeft" state="frozen"/>
      <selection activeCell="K1" sqref="K1"/>
      <selection pane="bottomLeft" activeCell="G59" sqref="G59:L61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10.7109375" bestFit="1" customWidth="1"/>
    <col min="4" max="6" width="8.42578125" bestFit="1" customWidth="1"/>
    <col min="7" max="8" width="8.140625" bestFit="1" customWidth="1"/>
    <col min="9" max="9" width="7.7109375" bestFit="1" customWidth="1"/>
    <col min="10" max="12" width="6.42578125" bestFit="1" customWidth="1"/>
    <col min="13" max="13" width="6.5703125" bestFit="1" customWidth="1"/>
    <col min="14" max="14" width="6.85546875" bestFit="1" customWidth="1"/>
    <col min="15" max="15" width="10.7109375" bestFit="1" customWidth="1"/>
    <col min="16" max="16" width="15.42578125" customWidth="1"/>
    <col min="17" max="17" width="6.5703125" bestFit="1" customWidth="1"/>
    <col min="18" max="18" width="6.85546875" bestFit="1" customWidth="1"/>
    <col min="19" max="19" width="10.7109375" bestFit="1" customWidth="1"/>
    <col min="20" max="20" width="11" bestFit="1" customWidth="1"/>
    <col min="21" max="21" width="13.85546875" bestFit="1" customWidth="1"/>
    <col min="22" max="22" width="11.140625" bestFit="1" customWidth="1"/>
  </cols>
  <sheetData>
    <row r="1" spans="1:51" ht="15.75" thickBot="1" x14ac:dyDescent="0.3">
      <c r="A1" s="34" t="s">
        <v>42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AA1" s="34" t="s">
        <v>43</v>
      </c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</row>
    <row r="2" spans="1:51" ht="15.75" x14ac:dyDescent="0.25">
      <c r="A2" s="15" t="s">
        <v>11</v>
      </c>
      <c r="B2" s="15"/>
      <c r="C2" s="15"/>
      <c r="D2" s="15"/>
      <c r="E2" s="15"/>
      <c r="F2" s="16"/>
      <c r="G2" s="17" t="s">
        <v>6</v>
      </c>
      <c r="H2" s="18"/>
      <c r="I2" s="18"/>
      <c r="J2" s="18"/>
      <c r="K2" s="18"/>
      <c r="L2" s="18"/>
      <c r="M2" s="25" t="s">
        <v>41</v>
      </c>
      <c r="N2" s="26"/>
      <c r="O2" s="26"/>
      <c r="P2" s="26"/>
      <c r="Q2" s="27" t="s">
        <v>13</v>
      </c>
      <c r="R2" s="27"/>
      <c r="S2" s="27"/>
      <c r="T2" s="30" t="s">
        <v>40</v>
      </c>
      <c r="U2" s="30"/>
      <c r="V2" s="30"/>
      <c r="W2" s="28"/>
      <c r="X2" s="28"/>
      <c r="Y2" s="28"/>
      <c r="AA2" s="15" t="s">
        <v>11</v>
      </c>
      <c r="AB2" s="15"/>
      <c r="AC2" s="15"/>
      <c r="AD2" s="15"/>
      <c r="AE2" s="15"/>
      <c r="AF2" s="16"/>
      <c r="AG2" s="17" t="s">
        <v>6</v>
      </c>
      <c r="AH2" s="18"/>
      <c r="AI2" s="18"/>
      <c r="AJ2" s="18"/>
      <c r="AK2" s="18"/>
      <c r="AL2" s="18"/>
      <c r="AM2" s="25" t="s">
        <v>41</v>
      </c>
      <c r="AN2" s="26"/>
      <c r="AO2" s="26"/>
      <c r="AP2" s="26"/>
      <c r="AQ2" s="27" t="s">
        <v>13</v>
      </c>
      <c r="AR2" s="27"/>
      <c r="AS2" s="27"/>
      <c r="AT2" s="30" t="s">
        <v>40</v>
      </c>
      <c r="AU2" s="30"/>
      <c r="AV2" s="30"/>
      <c r="AW2" s="28"/>
      <c r="AX2" s="28"/>
      <c r="AY2" s="28"/>
    </row>
    <row r="3" spans="1:51" ht="15.75" x14ac:dyDescent="0.25">
      <c r="A3" s="1" t="s">
        <v>34</v>
      </c>
      <c r="B3" s="1" t="s">
        <v>35</v>
      </c>
      <c r="C3" s="1" t="s">
        <v>36</v>
      </c>
      <c r="D3" s="1" t="s">
        <v>8</v>
      </c>
      <c r="E3" s="1" t="s">
        <v>9</v>
      </c>
      <c r="F3" s="1" t="s">
        <v>10</v>
      </c>
      <c r="G3" s="2" t="s">
        <v>3</v>
      </c>
      <c r="H3" s="1" t="s">
        <v>4</v>
      </c>
      <c r="I3" s="1" t="s">
        <v>5</v>
      </c>
      <c r="J3" s="1" t="s">
        <v>0</v>
      </c>
      <c r="K3" s="1" t="s">
        <v>1</v>
      </c>
      <c r="L3" s="1" t="s">
        <v>2</v>
      </c>
      <c r="M3" s="3" t="s">
        <v>34</v>
      </c>
      <c r="N3" s="1" t="s">
        <v>35</v>
      </c>
      <c r="O3" s="1" t="s">
        <v>36</v>
      </c>
      <c r="P3" s="2" t="s">
        <v>27</v>
      </c>
      <c r="Q3" s="3" t="s">
        <v>34</v>
      </c>
      <c r="R3" s="1" t="s">
        <v>35</v>
      </c>
      <c r="S3" s="1" t="s">
        <v>36</v>
      </c>
      <c r="T3" s="3" t="s">
        <v>34</v>
      </c>
      <c r="U3" s="1" t="s">
        <v>35</v>
      </c>
      <c r="V3" s="1" t="s">
        <v>36</v>
      </c>
      <c r="W3" s="29" t="s">
        <v>26</v>
      </c>
      <c r="X3" s="29"/>
      <c r="Y3" s="29"/>
      <c r="AA3" s="1" t="s">
        <v>34</v>
      </c>
      <c r="AB3" s="1" t="s">
        <v>35</v>
      </c>
      <c r="AC3" s="1" t="s">
        <v>36</v>
      </c>
      <c r="AD3" s="1" t="s">
        <v>8</v>
      </c>
      <c r="AE3" s="1" t="s">
        <v>9</v>
      </c>
      <c r="AF3" s="1" t="s">
        <v>10</v>
      </c>
      <c r="AG3" s="2" t="s">
        <v>3</v>
      </c>
      <c r="AH3" s="1" t="s">
        <v>4</v>
      </c>
      <c r="AI3" s="1" t="s">
        <v>5</v>
      </c>
      <c r="AJ3" s="1" t="s">
        <v>0</v>
      </c>
      <c r="AK3" s="1" t="s">
        <v>1</v>
      </c>
      <c r="AL3" s="1" t="s">
        <v>2</v>
      </c>
      <c r="AM3" s="3" t="s">
        <v>34</v>
      </c>
      <c r="AN3" s="1" t="s">
        <v>35</v>
      </c>
      <c r="AO3" s="1" t="s">
        <v>36</v>
      </c>
      <c r="AP3" s="2" t="s">
        <v>27</v>
      </c>
      <c r="AQ3" s="3" t="s">
        <v>34</v>
      </c>
      <c r="AR3" s="1" t="s">
        <v>35</v>
      </c>
      <c r="AS3" s="1" t="s">
        <v>36</v>
      </c>
      <c r="AT3" s="3" t="s">
        <v>34</v>
      </c>
      <c r="AU3" s="1" t="s">
        <v>35</v>
      </c>
      <c r="AV3" s="1" t="s">
        <v>36</v>
      </c>
      <c r="AW3" s="29" t="s">
        <v>26</v>
      </c>
      <c r="AX3" s="29"/>
      <c r="AY3" s="29"/>
    </row>
    <row r="4" spans="1:51" ht="15.75" x14ac:dyDescent="0.25">
      <c r="A4" s="5">
        <f>'Proximal Validation'!A3</f>
        <v>0.4</v>
      </c>
      <c r="B4" s="5">
        <f>'Proximal Validation'!B3</f>
        <v>0.06</v>
      </c>
      <c r="C4" s="5">
        <f>'Proximal Validation'!C3</f>
        <v>1.5707963267948966</v>
      </c>
      <c r="D4" s="5">
        <f>'Proximal Validation'!D3</f>
        <v>0</v>
      </c>
      <c r="E4" s="5">
        <f>'Proximal Validation'!E3</f>
        <v>0</v>
      </c>
      <c r="F4" s="5">
        <f>'Proximal Validation'!F3</f>
        <v>0</v>
      </c>
      <c r="G4" s="5">
        <f>'Proximal Validation'!G3</f>
        <v>4.2863236740231498E-4</v>
      </c>
      <c r="H4" s="5">
        <f>'Proximal Validation'!H3</f>
        <v>-6.0315418988466298E-2</v>
      </c>
      <c r="I4" s="5">
        <f>'Proximal Validation'!I3</f>
        <v>-2.55721563007683E-4</v>
      </c>
      <c r="J4" s="5">
        <f>'Proximal Validation'!J3</f>
        <v>-4.1011810302734403E-2</v>
      </c>
      <c r="K4" s="5">
        <f>'Proximal Validation'!K3</f>
        <v>7.4238330125808705E-4</v>
      </c>
      <c r="L4" s="5">
        <f>'Proximal Validation'!L3</f>
        <v>0.38065329194068898</v>
      </c>
      <c r="M4" s="8"/>
      <c r="N4" s="8"/>
      <c r="O4" s="8"/>
      <c r="P4" s="8"/>
      <c r="Q4" s="5">
        <f>M4-A4</f>
        <v>-0.4</v>
      </c>
      <c r="R4" s="5">
        <f>N4-B4</f>
        <v>-0.06</v>
      </c>
      <c r="S4" s="5">
        <f>O4-C4</f>
        <v>-1.5707963267948966</v>
      </c>
      <c r="T4" s="5">
        <f>ABS(Q4)</f>
        <v>0.4</v>
      </c>
      <c r="U4" s="5">
        <f t="shared" ref="U4:V13" si="0">ABS(R4)</f>
        <v>0.06</v>
      </c>
      <c r="V4" s="5">
        <f t="shared" si="0"/>
        <v>1.5707963267948966</v>
      </c>
      <c r="W4" s="1" t="s">
        <v>23</v>
      </c>
      <c r="X4" s="1" t="s">
        <v>24</v>
      </c>
      <c r="Y4" s="1" t="s">
        <v>25</v>
      </c>
      <c r="AA4" s="5">
        <f>'Proximal Validation'!A3</f>
        <v>0.4</v>
      </c>
      <c r="AB4" s="5">
        <f>'Proximal Validation'!B3</f>
        <v>0.06</v>
      </c>
      <c r="AC4" s="5">
        <f>'Proximal Validation'!C3</f>
        <v>1.5707963267948966</v>
      </c>
      <c r="AD4" s="5">
        <f>'Proximal Validation'!D3</f>
        <v>0</v>
      </c>
      <c r="AE4" s="5">
        <f>'Proximal Validation'!E3</f>
        <v>0</v>
      </c>
      <c r="AF4" s="5">
        <f>'Proximal Validation'!F3</f>
        <v>0</v>
      </c>
      <c r="AG4" s="5">
        <f>'Proximal Validation'!G3</f>
        <v>4.2863236740231498E-4</v>
      </c>
      <c r="AH4" s="5">
        <f>'Proximal Validation'!H3</f>
        <v>-6.0315418988466298E-2</v>
      </c>
      <c r="AI4" s="5">
        <f>'Proximal Validation'!I3</f>
        <v>-2.55721563007683E-4</v>
      </c>
      <c r="AJ4" s="5">
        <f>'Proximal Validation'!J3</f>
        <v>-4.1011810302734403E-2</v>
      </c>
      <c r="AK4" s="5">
        <f>'Proximal Validation'!K3</f>
        <v>7.4238330125808705E-4</v>
      </c>
      <c r="AL4" s="5">
        <f>'Proximal Validation'!L3</f>
        <v>0.38065329194068898</v>
      </c>
      <c r="AM4" s="8">
        <v>0.90280937245662962</v>
      </c>
      <c r="AN4" s="8">
        <v>7.3504807421227364E-2</v>
      </c>
      <c r="AO4" s="8">
        <v>1.5860913566047261</v>
      </c>
      <c r="AP4" s="8">
        <v>2.1199761470585318E-4</v>
      </c>
      <c r="AQ4" s="5">
        <f>AM4-AA4</f>
        <v>0.5028093724566296</v>
      </c>
      <c r="AR4" s="5">
        <f>AN4-AB4</f>
        <v>1.3504807421227366E-2</v>
      </c>
      <c r="AS4" s="5">
        <f>AO4-AC4</f>
        <v>1.5295029809829552E-2</v>
      </c>
      <c r="AT4" s="5">
        <f>ABS(AQ4)</f>
        <v>0.5028093724566296</v>
      </c>
      <c r="AU4" s="5">
        <f t="shared" ref="AU4:AU13" si="1">ABS(AR4)</f>
        <v>1.3504807421227366E-2</v>
      </c>
      <c r="AV4" s="5">
        <f t="shared" ref="AV4:AV13" si="2">ABS(AS4)</f>
        <v>1.5295029809829552E-2</v>
      </c>
      <c r="AW4" s="1" t="s">
        <v>23</v>
      </c>
      <c r="AX4" s="1" t="s">
        <v>24</v>
      </c>
      <c r="AY4" s="1" t="s">
        <v>25</v>
      </c>
    </row>
    <row r="5" spans="1:51" x14ac:dyDescent="0.25">
      <c r="A5" s="8">
        <f>'Proximal Validation'!A4</f>
        <v>0.8</v>
      </c>
      <c r="B5" s="8">
        <f>'Proximal Validation'!B4</f>
        <v>0.06</v>
      </c>
      <c r="C5" s="8">
        <f>'Proximal Validation'!C4</f>
        <v>1.5707963267948966</v>
      </c>
      <c r="D5" s="8">
        <f>'Proximal Validation'!D4</f>
        <v>0</v>
      </c>
      <c r="E5" s="8">
        <f>'Proximal Validation'!E4</f>
        <v>0</v>
      </c>
      <c r="F5" s="8">
        <f>'Proximal Validation'!F4</f>
        <v>0</v>
      </c>
      <c r="G5" s="8">
        <f>'Proximal Validation'!G4</f>
        <v>6.2025361694395499E-4</v>
      </c>
      <c r="H5" s="8">
        <f>'Proximal Validation'!H4</f>
        <v>-0.13314910233020799</v>
      </c>
      <c r="I5" s="8">
        <f>'Proximal Validation'!I4</f>
        <v>-2.3612950462847899E-4</v>
      </c>
      <c r="J5" s="8">
        <f>'Proximal Validation'!J4</f>
        <v>-0.197828054428101</v>
      </c>
      <c r="K5" s="8">
        <f>'Proximal Validation'!K4</f>
        <v>3.5987794399261501E-3</v>
      </c>
      <c r="L5" s="8">
        <f>'Proximal Validation'!L4</f>
        <v>0.83635294437408403</v>
      </c>
      <c r="M5" s="8"/>
      <c r="N5" s="8"/>
      <c r="O5" s="8"/>
      <c r="P5" s="8"/>
      <c r="Q5" s="5">
        <f t="shared" ref="Q5:S13" si="3">M5-A5</f>
        <v>-0.8</v>
      </c>
      <c r="R5" s="5">
        <f t="shared" si="3"/>
        <v>-0.06</v>
      </c>
      <c r="S5" s="5">
        <f t="shared" si="3"/>
        <v>-1.5707963267948966</v>
      </c>
      <c r="T5" s="5">
        <f t="shared" ref="T5:T13" si="4">ABS(Q5)</f>
        <v>0.8</v>
      </c>
      <c r="U5" s="5">
        <f t="shared" si="0"/>
        <v>0.06</v>
      </c>
      <c r="V5" s="5">
        <f t="shared" si="0"/>
        <v>1.5707963267948966</v>
      </c>
      <c r="W5" s="6" cm="1">
        <f t="array" ref="W5">AVERAGE(ABS(Q4:Q13))</f>
        <v>0.55000000000000004</v>
      </c>
      <c r="X5" s="6" cm="1">
        <f t="array" ref="X5">AVERAGE(ABS(R4:R13))</f>
        <v>0.13</v>
      </c>
      <c r="Y5" s="6" cm="1">
        <f t="array" ref="Y5">AVERAGE(ABS(S4:S13))</f>
        <v>1.5707963267948966</v>
      </c>
      <c r="AA5" s="8">
        <f>'Proximal Validation'!A4</f>
        <v>0.8</v>
      </c>
      <c r="AB5" s="8">
        <f>'Proximal Validation'!B4</f>
        <v>0.06</v>
      </c>
      <c r="AC5" s="8">
        <f>'Proximal Validation'!C4</f>
        <v>1.5707963267948966</v>
      </c>
      <c r="AD5" s="8">
        <f>'Proximal Validation'!D4</f>
        <v>0</v>
      </c>
      <c r="AE5" s="8">
        <f>'Proximal Validation'!E4</f>
        <v>0</v>
      </c>
      <c r="AF5" s="8">
        <f>'Proximal Validation'!F4</f>
        <v>0</v>
      </c>
      <c r="AG5" s="8">
        <f>'Proximal Validation'!G4</f>
        <v>6.2025361694395499E-4</v>
      </c>
      <c r="AH5" s="8">
        <f>'Proximal Validation'!H4</f>
        <v>-0.13314910233020799</v>
      </c>
      <c r="AI5" s="8">
        <f>'Proximal Validation'!I4</f>
        <v>-2.3612950462847899E-4</v>
      </c>
      <c r="AJ5" s="8">
        <f>'Proximal Validation'!J4</f>
        <v>-0.197828054428101</v>
      </c>
      <c r="AK5" s="8">
        <f>'Proximal Validation'!K4</f>
        <v>3.5987794399261501E-3</v>
      </c>
      <c r="AL5" s="8">
        <f>'Proximal Validation'!L4</f>
        <v>0.83635294437408403</v>
      </c>
      <c r="AM5" s="8">
        <v>0.88619393783422673</v>
      </c>
      <c r="AN5" s="8">
        <v>7.7520968239498028E-2</v>
      </c>
      <c r="AO5" s="8">
        <v>1.5993199661293449</v>
      </c>
      <c r="AP5" s="8">
        <v>7.7792135483811787E-4</v>
      </c>
      <c r="AQ5" s="5">
        <f t="shared" ref="AQ5:AQ13" si="5">AM5-AA5</f>
        <v>8.6193937834226686E-2</v>
      </c>
      <c r="AR5" s="5">
        <f t="shared" ref="AR5:AR13" si="6">AN5-AB5</f>
        <v>1.752096823949803E-2</v>
      </c>
      <c r="AS5" s="5">
        <f t="shared" ref="AS5:AS13" si="7">AO5-AC5</f>
        <v>2.8523639334448347E-2</v>
      </c>
      <c r="AT5" s="5">
        <f t="shared" ref="AT5:AT13" si="8">ABS(AQ5)</f>
        <v>8.6193937834226686E-2</v>
      </c>
      <c r="AU5" s="5">
        <f t="shared" si="1"/>
        <v>1.752096823949803E-2</v>
      </c>
      <c r="AV5" s="5">
        <f t="shared" si="2"/>
        <v>2.8523639334448347E-2</v>
      </c>
      <c r="AW5" s="6" cm="1">
        <f t="array" ref="AW5">AVERAGE(ABS(AQ4:AQ13))</f>
        <v>0.16765908823383766</v>
      </c>
      <c r="AX5" s="6" cm="1">
        <f t="array" ref="AX5">AVERAGE(ABS(AR4:AR13))</f>
        <v>1.0799263321470187E-2</v>
      </c>
      <c r="AY5" s="6" cm="1">
        <f t="array" ref="AY5">AVERAGE(ABS(AS4:AS13))</f>
        <v>1.3400209778654614E-2</v>
      </c>
    </row>
    <row r="6" spans="1:51" x14ac:dyDescent="0.25">
      <c r="A6" s="5">
        <f>'Proximal Validation'!A5</f>
        <v>0.3</v>
      </c>
      <c r="B6" s="5">
        <f>'Proximal Validation'!B5</f>
        <v>0.08</v>
      </c>
      <c r="C6" s="5">
        <f>'Proximal Validation'!C5</f>
        <v>1.5707963267948966</v>
      </c>
      <c r="D6" s="5">
        <f>'Proximal Validation'!D5</f>
        <v>0</v>
      </c>
      <c r="E6" s="5">
        <f>'Proximal Validation'!E5</f>
        <v>0</v>
      </c>
      <c r="F6" s="5">
        <f>'Proximal Validation'!F5</f>
        <v>0</v>
      </c>
      <c r="G6" s="5">
        <f>'Proximal Validation'!G5</f>
        <v>1.679906854406E-4</v>
      </c>
      <c r="H6" s="5">
        <f>'Proximal Validation'!H5</f>
        <v>-4.5721895992755897E-2</v>
      </c>
      <c r="I6" s="5">
        <f>'Proximal Validation'!I5</f>
        <v>-3.8841026253067E-4</v>
      </c>
      <c r="J6" s="5">
        <f>'Proximal Validation'!J5</f>
        <v>-3.3596165478229502E-2</v>
      </c>
      <c r="K6" s="5">
        <f>'Proximal Validation'!K5</f>
        <v>-1.0348893702030199E-3</v>
      </c>
      <c r="L6" s="5">
        <f>'Proximal Validation'!L5</f>
        <v>0.25438803434371898</v>
      </c>
      <c r="M6" s="8"/>
      <c r="N6" s="8"/>
      <c r="O6" s="8"/>
      <c r="P6" s="8"/>
      <c r="Q6" s="5">
        <f t="shared" si="3"/>
        <v>-0.3</v>
      </c>
      <c r="R6" s="5">
        <f t="shared" si="3"/>
        <v>-0.08</v>
      </c>
      <c r="S6" s="5">
        <f t="shared" si="3"/>
        <v>-1.5707963267948966</v>
      </c>
      <c r="T6" s="5">
        <f t="shared" si="4"/>
        <v>0.3</v>
      </c>
      <c r="U6" s="5">
        <f t="shared" si="0"/>
        <v>0.08</v>
      </c>
      <c r="V6" s="5">
        <f t="shared" si="0"/>
        <v>1.5707963267948966</v>
      </c>
      <c r="W6" s="24"/>
      <c r="X6" s="24"/>
      <c r="Y6" s="24"/>
      <c r="AA6" s="5">
        <f>'Proximal Validation'!A5</f>
        <v>0.3</v>
      </c>
      <c r="AB6" s="5">
        <f>'Proximal Validation'!B5</f>
        <v>0.08</v>
      </c>
      <c r="AC6" s="5">
        <f>'Proximal Validation'!C5</f>
        <v>1.5707963267948966</v>
      </c>
      <c r="AD6" s="5">
        <f>'Proximal Validation'!D5</f>
        <v>0</v>
      </c>
      <c r="AE6" s="5">
        <f>'Proximal Validation'!E5</f>
        <v>0</v>
      </c>
      <c r="AF6" s="5">
        <f>'Proximal Validation'!F5</f>
        <v>0</v>
      </c>
      <c r="AG6" s="5">
        <f>'Proximal Validation'!G5</f>
        <v>1.679906854406E-4</v>
      </c>
      <c r="AH6" s="5">
        <f>'Proximal Validation'!H5</f>
        <v>-4.5721895992755897E-2</v>
      </c>
      <c r="AI6" s="5">
        <f>'Proximal Validation'!I5</f>
        <v>-3.8841026253067E-4</v>
      </c>
      <c r="AJ6" s="5">
        <f>'Proximal Validation'!J5</f>
        <v>-3.3596165478229502E-2</v>
      </c>
      <c r="AK6" s="5">
        <f>'Proximal Validation'!K5</f>
        <v>-1.0348893702030199E-3</v>
      </c>
      <c r="AL6" s="5">
        <f>'Proximal Validation'!L5</f>
        <v>0.25438803434371898</v>
      </c>
      <c r="AM6" s="8">
        <v>0.63721851611505154</v>
      </c>
      <c r="AN6" s="8">
        <v>8.7793440106066878E-2</v>
      </c>
      <c r="AO6" s="8">
        <v>1.5812845010112011</v>
      </c>
      <c r="AP6" s="8">
        <v>2.1709110139151531E-5</v>
      </c>
      <c r="AQ6" s="5">
        <f t="shared" si="5"/>
        <v>0.33721851611505155</v>
      </c>
      <c r="AR6" s="5">
        <f t="shared" si="6"/>
        <v>7.7934401060668762E-3</v>
      </c>
      <c r="AS6" s="5">
        <f t="shared" si="7"/>
        <v>1.0488174216304547E-2</v>
      </c>
      <c r="AT6" s="5">
        <f t="shared" si="8"/>
        <v>0.33721851611505155</v>
      </c>
      <c r="AU6" s="5">
        <f t="shared" si="1"/>
        <v>7.7934401060668762E-3</v>
      </c>
      <c r="AV6" s="5">
        <f t="shared" si="2"/>
        <v>1.0488174216304547E-2</v>
      </c>
      <c r="AW6" s="24"/>
      <c r="AX6" s="24"/>
      <c r="AY6" s="24"/>
    </row>
    <row r="7" spans="1:51" x14ac:dyDescent="0.25">
      <c r="A7" s="5">
        <f>'Proximal Validation'!A6</f>
        <v>0.5</v>
      </c>
      <c r="B7" s="5">
        <f>'Proximal Validation'!B6</f>
        <v>0.1</v>
      </c>
      <c r="C7" s="5">
        <f>'Proximal Validation'!C6</f>
        <v>1.5707963267948966</v>
      </c>
      <c r="D7" s="5">
        <f>'Proximal Validation'!D6</f>
        <v>0</v>
      </c>
      <c r="E7" s="5">
        <f>'Proximal Validation'!E6</f>
        <v>0</v>
      </c>
      <c r="F7" s="5">
        <f>'Proximal Validation'!F6</f>
        <v>0</v>
      </c>
      <c r="G7" s="5">
        <f>'Proximal Validation'!G6</f>
        <v>3.3436843659728798E-4</v>
      </c>
      <c r="H7" s="5">
        <f>'Proximal Validation'!H6</f>
        <v>-9.1593101620674106E-2</v>
      </c>
      <c r="I7" s="5">
        <f>'Proximal Validation'!I6</f>
        <v>-1.09562510624528E-3</v>
      </c>
      <c r="J7" s="5">
        <f>'Proximal Validation'!J6</f>
        <v>-0.13726633787155201</v>
      </c>
      <c r="K7" s="5">
        <f>'Proximal Validation'!K6</f>
        <v>-2.9727667570114101E-3</v>
      </c>
      <c r="L7" s="5">
        <f>'Proximal Validation'!L6</f>
        <v>0.44673037528991699</v>
      </c>
      <c r="M7" s="8"/>
      <c r="N7" s="8"/>
      <c r="O7" s="8"/>
      <c r="P7" s="8"/>
      <c r="Q7" s="5">
        <f t="shared" si="3"/>
        <v>-0.5</v>
      </c>
      <c r="R7" s="5">
        <f t="shared" si="3"/>
        <v>-0.1</v>
      </c>
      <c r="S7" s="5">
        <f t="shared" si="3"/>
        <v>-1.5707963267948966</v>
      </c>
      <c r="T7" s="5">
        <f t="shared" si="4"/>
        <v>0.5</v>
      </c>
      <c r="U7" s="5">
        <f t="shared" si="0"/>
        <v>0.1</v>
      </c>
      <c r="V7" s="5">
        <f t="shared" si="0"/>
        <v>1.5707963267948966</v>
      </c>
      <c r="AA7" s="5">
        <f>'Proximal Validation'!A6</f>
        <v>0.5</v>
      </c>
      <c r="AB7" s="5">
        <f>'Proximal Validation'!B6</f>
        <v>0.1</v>
      </c>
      <c r="AC7" s="5">
        <f>'Proximal Validation'!C6</f>
        <v>1.5707963267948966</v>
      </c>
      <c r="AD7" s="5">
        <f>'Proximal Validation'!D6</f>
        <v>0</v>
      </c>
      <c r="AE7" s="5">
        <f>'Proximal Validation'!E6</f>
        <v>0</v>
      </c>
      <c r="AF7" s="5">
        <f>'Proximal Validation'!F6</f>
        <v>0</v>
      </c>
      <c r="AG7" s="5">
        <f>'Proximal Validation'!G6</f>
        <v>3.3436843659728798E-4</v>
      </c>
      <c r="AH7" s="5">
        <f>'Proximal Validation'!H6</f>
        <v>-9.1593101620674106E-2</v>
      </c>
      <c r="AI7" s="5">
        <f>'Proximal Validation'!I6</f>
        <v>-1.09562510624528E-3</v>
      </c>
      <c r="AJ7" s="5">
        <f>'Proximal Validation'!J6</f>
        <v>-0.13726633787155201</v>
      </c>
      <c r="AK7" s="5">
        <f>'Proximal Validation'!K6</f>
        <v>-2.9727667570114101E-3</v>
      </c>
      <c r="AL7" s="5">
        <f>'Proximal Validation'!L6</f>
        <v>0.44673037528991699</v>
      </c>
      <c r="AM7" s="8">
        <v>0.80752080793495895</v>
      </c>
      <c r="AN7" s="8">
        <v>0.11162012037263089</v>
      </c>
      <c r="AO7" s="8">
        <v>1.5874660032480394</v>
      </c>
      <c r="AP7" s="8">
        <v>6.3464187648353562E-5</v>
      </c>
      <c r="AQ7" s="5">
        <f t="shared" si="5"/>
        <v>0.30752080793495895</v>
      </c>
      <c r="AR7" s="5">
        <f t="shared" si="6"/>
        <v>1.1620120372630882E-2</v>
      </c>
      <c r="AS7" s="5">
        <f t="shared" si="7"/>
        <v>1.6669676453142879E-2</v>
      </c>
      <c r="AT7" s="5">
        <f t="shared" si="8"/>
        <v>0.30752080793495895</v>
      </c>
      <c r="AU7" s="5">
        <f t="shared" si="1"/>
        <v>1.1620120372630882E-2</v>
      </c>
      <c r="AV7" s="5">
        <f t="shared" si="2"/>
        <v>1.6669676453142879E-2</v>
      </c>
    </row>
    <row r="8" spans="1:51" x14ac:dyDescent="0.25">
      <c r="A8" s="5">
        <f>'Proximal Validation'!A7</f>
        <v>0.7</v>
      </c>
      <c r="B8" s="5">
        <f>'Proximal Validation'!B7</f>
        <v>0.1</v>
      </c>
      <c r="C8" s="5">
        <f>'Proximal Validation'!C7</f>
        <v>1.5707963267948966</v>
      </c>
      <c r="D8" s="5">
        <f>'Proximal Validation'!D7</f>
        <v>0</v>
      </c>
      <c r="E8" s="5">
        <f>'Proximal Validation'!E7</f>
        <v>0</v>
      </c>
      <c r="F8" s="5">
        <f>'Proximal Validation'!F7</f>
        <v>0</v>
      </c>
      <c r="G8" s="5">
        <f>'Proximal Validation'!G7</f>
        <v>5.2663497626781498E-5</v>
      </c>
      <c r="H8" s="5">
        <f>'Proximal Validation'!H7</f>
        <v>-0.12548637390136699</v>
      </c>
      <c r="I8" s="5">
        <f>'Proximal Validation'!I7</f>
        <v>-9.7444711718708298E-4</v>
      </c>
      <c r="J8" s="5">
        <f>'Proximal Validation'!J7</f>
        <v>-0.25848296284675598</v>
      </c>
      <c r="K8" s="5">
        <f>'Proximal Validation'!K7</f>
        <v>6.1889737844467196E-4</v>
      </c>
      <c r="L8" s="5">
        <f>'Proximal Validation'!L7</f>
        <v>0.60252058506011996</v>
      </c>
      <c r="M8" s="8"/>
      <c r="N8" s="8"/>
      <c r="O8" s="8"/>
      <c r="P8" s="8"/>
      <c r="Q8" s="5">
        <f t="shared" si="3"/>
        <v>-0.7</v>
      </c>
      <c r="R8" s="5">
        <f t="shared" si="3"/>
        <v>-0.1</v>
      </c>
      <c r="S8" s="5">
        <f t="shared" si="3"/>
        <v>-1.5707963267948966</v>
      </c>
      <c r="T8" s="5">
        <f t="shared" si="4"/>
        <v>0.7</v>
      </c>
      <c r="U8" s="5">
        <f t="shared" si="0"/>
        <v>0.1</v>
      </c>
      <c r="V8" s="5">
        <f t="shared" si="0"/>
        <v>1.5707963267948966</v>
      </c>
      <c r="AA8" s="5">
        <f>'Proximal Validation'!A7</f>
        <v>0.7</v>
      </c>
      <c r="AB8" s="5">
        <f>'Proximal Validation'!B7</f>
        <v>0.1</v>
      </c>
      <c r="AC8" s="5">
        <f>'Proximal Validation'!C7</f>
        <v>1.5707963267948966</v>
      </c>
      <c r="AD8" s="5">
        <f>'Proximal Validation'!D7</f>
        <v>0</v>
      </c>
      <c r="AE8" s="5">
        <f>'Proximal Validation'!E7</f>
        <v>0</v>
      </c>
      <c r="AF8" s="5">
        <f>'Proximal Validation'!F7</f>
        <v>0</v>
      </c>
      <c r="AG8" s="5">
        <f>'Proximal Validation'!G7</f>
        <v>5.2663497626781498E-5</v>
      </c>
      <c r="AH8" s="5">
        <f>'Proximal Validation'!H7</f>
        <v>-0.12548637390136699</v>
      </c>
      <c r="AI8" s="5">
        <f>'Proximal Validation'!I7</f>
        <v>-9.7444711718708298E-4</v>
      </c>
      <c r="AJ8" s="5">
        <f>'Proximal Validation'!J7</f>
        <v>-0.25848296284675598</v>
      </c>
      <c r="AK8" s="5">
        <f>'Proximal Validation'!K7</f>
        <v>6.1889737844467196E-4</v>
      </c>
      <c r="AL8" s="5">
        <f>'Proximal Validation'!L7</f>
        <v>0.60252058506011996</v>
      </c>
      <c r="AM8" s="8">
        <v>0.88379744229303936</v>
      </c>
      <c r="AN8" s="8">
        <v>0.11268546986401622</v>
      </c>
      <c r="AO8" s="8">
        <v>1.5867762323810675</v>
      </c>
      <c r="AP8" s="8">
        <v>9.2289561623872364E-5</v>
      </c>
      <c r="AQ8" s="5">
        <f t="shared" si="5"/>
        <v>0.1837974422930394</v>
      </c>
      <c r="AR8" s="5">
        <f t="shared" si="6"/>
        <v>1.2685469864016211E-2</v>
      </c>
      <c r="AS8" s="5">
        <f t="shared" si="7"/>
        <v>1.5979905586170906E-2</v>
      </c>
      <c r="AT8" s="5">
        <f t="shared" si="8"/>
        <v>0.1837974422930394</v>
      </c>
      <c r="AU8" s="5">
        <f t="shared" si="1"/>
        <v>1.2685469864016211E-2</v>
      </c>
      <c r="AV8" s="5">
        <f t="shared" si="2"/>
        <v>1.5979905586170906E-2</v>
      </c>
    </row>
    <row r="9" spans="1:51" x14ac:dyDescent="0.25">
      <c r="A9" s="5">
        <f>'Proximal Validation'!A8</f>
        <v>0.4</v>
      </c>
      <c r="B9" s="5">
        <f>'Proximal Validation'!B8</f>
        <v>0.16</v>
      </c>
      <c r="C9" s="5">
        <f>'Proximal Validation'!C8</f>
        <v>1.5707963267948966</v>
      </c>
      <c r="D9" s="5">
        <f>'Proximal Validation'!D8</f>
        <v>0</v>
      </c>
      <c r="E9" s="5">
        <f>'Proximal Validation'!E8</f>
        <v>0</v>
      </c>
      <c r="F9" s="5">
        <f>'Proximal Validation'!F8</f>
        <v>0</v>
      </c>
      <c r="G9" s="5">
        <f>'Proximal Validation'!G8</f>
        <v>3.1168537680059699E-4</v>
      </c>
      <c r="H9" s="5">
        <f>'Proximal Validation'!H8</f>
        <v>-7.88237899541855E-2</v>
      </c>
      <c r="I9" s="5">
        <f>'Proximal Validation'!I8</f>
        <v>-1.01786095183343E-3</v>
      </c>
      <c r="J9" s="5">
        <f>'Proximal Validation'!J8</f>
        <v>-0.13838192820549</v>
      </c>
      <c r="K9" s="5">
        <f>'Proximal Validation'!K8</f>
        <v>-1.14574655890465E-3</v>
      </c>
      <c r="L9" s="5">
        <f>'Proximal Validation'!L8</f>
        <v>0.27298316359519997</v>
      </c>
      <c r="M9" s="8"/>
      <c r="N9" s="8"/>
      <c r="O9" s="8"/>
      <c r="P9" s="8"/>
      <c r="Q9" s="5">
        <f t="shared" si="3"/>
        <v>-0.4</v>
      </c>
      <c r="R9" s="5">
        <f t="shared" si="3"/>
        <v>-0.16</v>
      </c>
      <c r="S9" s="5">
        <f t="shared" si="3"/>
        <v>-1.5707963267948966</v>
      </c>
      <c r="T9" s="5">
        <f t="shared" si="4"/>
        <v>0.4</v>
      </c>
      <c r="U9" s="5">
        <f t="shared" si="0"/>
        <v>0.16</v>
      </c>
      <c r="V9" s="5">
        <f t="shared" si="0"/>
        <v>1.5707963267948966</v>
      </c>
      <c r="AA9" s="5">
        <f>'Proximal Validation'!A8</f>
        <v>0.4</v>
      </c>
      <c r="AB9" s="5">
        <f>'Proximal Validation'!B8</f>
        <v>0.16</v>
      </c>
      <c r="AC9" s="5">
        <f>'Proximal Validation'!C8</f>
        <v>1.5707963267948966</v>
      </c>
      <c r="AD9" s="5">
        <f>'Proximal Validation'!D8</f>
        <v>0</v>
      </c>
      <c r="AE9" s="5">
        <f>'Proximal Validation'!E8</f>
        <v>0</v>
      </c>
      <c r="AF9" s="5">
        <f>'Proximal Validation'!F8</f>
        <v>0</v>
      </c>
      <c r="AG9" s="5">
        <f>'Proximal Validation'!G8</f>
        <v>3.1168537680059699E-4</v>
      </c>
      <c r="AH9" s="5">
        <f>'Proximal Validation'!H8</f>
        <v>-7.88237899541855E-2</v>
      </c>
      <c r="AI9" s="5">
        <f>'Proximal Validation'!I8</f>
        <v>-1.01786095183343E-3</v>
      </c>
      <c r="AJ9" s="5">
        <f>'Proximal Validation'!J8</f>
        <v>-0.13838192820549</v>
      </c>
      <c r="AK9" s="5">
        <f>'Proximal Validation'!K8</f>
        <v>-1.14574655890465E-3</v>
      </c>
      <c r="AL9" s="5">
        <f>'Proximal Validation'!L8</f>
        <v>0.27298316359519997</v>
      </c>
      <c r="AM9" s="8">
        <v>0.37681576666845534</v>
      </c>
      <c r="AN9" s="8">
        <v>0.17145293786707433</v>
      </c>
      <c r="AO9" s="8">
        <v>1.5789638668037855</v>
      </c>
      <c r="AP9" s="8">
        <v>3.3490254406438571E-4</v>
      </c>
      <c r="AQ9" s="5">
        <f t="shared" si="5"/>
        <v>-2.3184233331544679E-2</v>
      </c>
      <c r="AR9" s="5">
        <f t="shared" si="6"/>
        <v>1.1452937867074325E-2</v>
      </c>
      <c r="AS9" s="5">
        <f t="shared" si="7"/>
        <v>8.1675400088889738E-3</v>
      </c>
      <c r="AT9" s="5">
        <f t="shared" si="8"/>
        <v>2.3184233331544679E-2</v>
      </c>
      <c r="AU9" s="5">
        <f t="shared" si="1"/>
        <v>1.1452937867074325E-2</v>
      </c>
      <c r="AV9" s="5">
        <f t="shared" si="2"/>
        <v>8.1675400088889738E-3</v>
      </c>
    </row>
    <row r="10" spans="1:51" x14ac:dyDescent="0.25">
      <c r="A10" s="5">
        <f>'Proximal Validation'!A9</f>
        <v>0.6</v>
      </c>
      <c r="B10" s="5">
        <f>'Proximal Validation'!B9</f>
        <v>0.16</v>
      </c>
      <c r="C10" s="5">
        <f>'Proximal Validation'!C9</f>
        <v>1.5707963267948966</v>
      </c>
      <c r="D10" s="5">
        <f>'Proximal Validation'!D9</f>
        <v>0</v>
      </c>
      <c r="E10" s="5">
        <f>'Proximal Validation'!E9</f>
        <v>0</v>
      </c>
      <c r="F10" s="5">
        <f>'Proximal Validation'!F9</f>
        <v>0</v>
      </c>
      <c r="G10" s="5">
        <f>'Proximal Validation'!G9</f>
        <v>4.6556734014302498E-4</v>
      </c>
      <c r="H10" s="5">
        <f>'Proximal Validation'!H9</f>
        <v>-0.13455995917320299</v>
      </c>
      <c r="I10" s="5">
        <f>'Proximal Validation'!I9</f>
        <v>-1.54974625911564E-3</v>
      </c>
      <c r="J10" s="5">
        <f>'Proximal Validation'!J9</f>
        <v>-0.33463472127914401</v>
      </c>
      <c r="K10" s="5">
        <f>'Proximal Validation'!K9</f>
        <v>-5.6979432702064503E-4</v>
      </c>
      <c r="L10" s="5">
        <f>'Proximal Validation'!L9</f>
        <v>0.42998898029327398</v>
      </c>
      <c r="M10" s="8"/>
      <c r="N10" s="8"/>
      <c r="O10" s="8"/>
      <c r="P10" s="8"/>
      <c r="Q10" s="5">
        <f t="shared" si="3"/>
        <v>-0.6</v>
      </c>
      <c r="R10" s="5">
        <f t="shared" si="3"/>
        <v>-0.16</v>
      </c>
      <c r="S10" s="5">
        <f t="shared" si="3"/>
        <v>-1.5707963267948966</v>
      </c>
      <c r="T10" s="5">
        <f t="shared" si="4"/>
        <v>0.6</v>
      </c>
      <c r="U10" s="5">
        <f t="shared" si="0"/>
        <v>0.16</v>
      </c>
      <c r="V10" s="5">
        <f t="shared" si="0"/>
        <v>1.5707963267948966</v>
      </c>
      <c r="W10" s="7"/>
      <c r="X10" s="7"/>
      <c r="Y10" s="7"/>
      <c r="AA10" s="5">
        <f>'Proximal Validation'!A9</f>
        <v>0.6</v>
      </c>
      <c r="AB10" s="5">
        <f>'Proximal Validation'!B9</f>
        <v>0.16</v>
      </c>
      <c r="AC10" s="5">
        <f>'Proximal Validation'!C9</f>
        <v>1.5707963267948966</v>
      </c>
      <c r="AD10" s="5">
        <f>'Proximal Validation'!D9</f>
        <v>0</v>
      </c>
      <c r="AE10" s="5">
        <f>'Proximal Validation'!E9</f>
        <v>0</v>
      </c>
      <c r="AF10" s="5">
        <f>'Proximal Validation'!F9</f>
        <v>0</v>
      </c>
      <c r="AG10" s="5">
        <f>'Proximal Validation'!G9</f>
        <v>4.6556734014302498E-4</v>
      </c>
      <c r="AH10" s="5">
        <f>'Proximal Validation'!H9</f>
        <v>-0.13455995917320299</v>
      </c>
      <c r="AI10" s="5">
        <f>'Proximal Validation'!I9</f>
        <v>-1.54974625911564E-3</v>
      </c>
      <c r="AJ10" s="5">
        <f>'Proximal Validation'!J9</f>
        <v>-0.33463472127914401</v>
      </c>
      <c r="AK10" s="5">
        <f>'Proximal Validation'!K9</f>
        <v>-5.6979432702064503E-4</v>
      </c>
      <c r="AL10" s="5">
        <f>'Proximal Validation'!L9</f>
        <v>0.42998898029327398</v>
      </c>
      <c r="AM10" s="8">
        <v>0.53446524716448018</v>
      </c>
      <c r="AN10" s="8">
        <v>0.16715553633788641</v>
      </c>
      <c r="AO10" s="8">
        <v>1.5778248279571701</v>
      </c>
      <c r="AP10" s="8">
        <v>3.781470249735663E-4</v>
      </c>
      <c r="AQ10" s="5">
        <f t="shared" si="5"/>
        <v>-6.5534752835519794E-2</v>
      </c>
      <c r="AR10" s="5">
        <f t="shared" si="6"/>
        <v>7.1555363378864034E-3</v>
      </c>
      <c r="AS10" s="5">
        <f t="shared" si="7"/>
        <v>7.0285011622734928E-3</v>
      </c>
      <c r="AT10" s="5">
        <f t="shared" si="8"/>
        <v>6.5534752835519794E-2</v>
      </c>
      <c r="AU10" s="5">
        <f t="shared" si="1"/>
        <v>7.1555363378864034E-3</v>
      </c>
      <c r="AV10" s="5">
        <f t="shared" si="2"/>
        <v>7.0285011622734928E-3</v>
      </c>
      <c r="AW10" s="7"/>
      <c r="AX10" s="7"/>
      <c r="AY10" s="7"/>
    </row>
    <row r="11" spans="1:51" x14ac:dyDescent="0.25">
      <c r="A11" s="5">
        <f>'Proximal Validation'!A10</f>
        <v>0.8</v>
      </c>
      <c r="B11" s="5">
        <f>'Proximal Validation'!B10</f>
        <v>0.18</v>
      </c>
      <c r="C11" s="5">
        <f>'Proximal Validation'!C10</f>
        <v>1.5707963267948966</v>
      </c>
      <c r="D11" s="5">
        <f>'Proximal Validation'!D10</f>
        <v>0</v>
      </c>
      <c r="E11" s="5">
        <f>'Proximal Validation'!E10</f>
        <v>0</v>
      </c>
      <c r="F11" s="5">
        <f>'Proximal Validation'!F10</f>
        <v>0</v>
      </c>
      <c r="G11" s="5">
        <f>'Proximal Validation'!G10</f>
        <v>1.2284044642001399E-3</v>
      </c>
      <c r="H11" s="5">
        <f>'Proximal Validation'!H10</f>
        <v>-0.113915167748928</v>
      </c>
      <c r="I11" s="5">
        <f>'Proximal Validation'!I10</f>
        <v>-2.0511765033006698E-3</v>
      </c>
      <c r="J11" s="5">
        <f>'Proximal Validation'!J10</f>
        <v>-0.53618127107620195</v>
      </c>
      <c r="K11" s="5">
        <f>'Proximal Validation'!K10</f>
        <v>-3.6365408450365101E-3</v>
      </c>
      <c r="L11" s="5">
        <f>'Proximal Validation'!L10</f>
        <v>0.105719238519669</v>
      </c>
      <c r="M11" s="8"/>
      <c r="N11" s="8"/>
      <c r="O11" s="8"/>
      <c r="P11" s="8"/>
      <c r="Q11" s="5">
        <f t="shared" si="3"/>
        <v>-0.8</v>
      </c>
      <c r="R11" s="5">
        <f t="shared" si="3"/>
        <v>-0.18</v>
      </c>
      <c r="S11" s="5">
        <f t="shared" si="3"/>
        <v>-1.5707963267948966</v>
      </c>
      <c r="T11" s="5">
        <f t="shared" si="4"/>
        <v>0.8</v>
      </c>
      <c r="U11" s="5">
        <f t="shared" si="0"/>
        <v>0.18</v>
      </c>
      <c r="V11" s="5">
        <f t="shared" si="0"/>
        <v>1.5707963267948966</v>
      </c>
      <c r="AA11" s="5">
        <f>'Proximal Validation'!A10</f>
        <v>0.8</v>
      </c>
      <c r="AB11" s="5">
        <f>'Proximal Validation'!B10</f>
        <v>0.18</v>
      </c>
      <c r="AC11" s="5">
        <f>'Proximal Validation'!C10</f>
        <v>1.5707963267948966</v>
      </c>
      <c r="AD11" s="5">
        <f>'Proximal Validation'!D10</f>
        <v>0</v>
      </c>
      <c r="AE11" s="5">
        <f>'Proximal Validation'!E10</f>
        <v>0</v>
      </c>
      <c r="AF11" s="5">
        <f>'Proximal Validation'!F10</f>
        <v>0</v>
      </c>
      <c r="AG11" s="5">
        <f>'Proximal Validation'!G10</f>
        <v>1.2284044642001399E-3</v>
      </c>
      <c r="AH11" s="5">
        <f>'Proximal Validation'!H10</f>
        <v>-0.113915167748928</v>
      </c>
      <c r="AI11" s="5">
        <f>'Proximal Validation'!I10</f>
        <v>-2.0511765033006698E-3</v>
      </c>
      <c r="AJ11" s="5">
        <f>'Proximal Validation'!J10</f>
        <v>-0.53618127107620195</v>
      </c>
      <c r="AK11" s="5">
        <f>'Proximal Validation'!K10</f>
        <v>-3.6365408450365101E-3</v>
      </c>
      <c r="AL11" s="5">
        <f>'Proximal Validation'!L10</f>
        <v>0.105719238519669</v>
      </c>
      <c r="AM11" s="8">
        <v>0.7316346965236179</v>
      </c>
      <c r="AN11" s="8">
        <v>0.17208978326093791</v>
      </c>
      <c r="AO11" s="8">
        <v>1.585755622395886</v>
      </c>
      <c r="AP11" s="8">
        <v>3.0318542166298695E-4</v>
      </c>
      <c r="AQ11" s="5">
        <f t="shared" si="5"/>
        <v>-6.8365303476382144E-2</v>
      </c>
      <c r="AR11" s="5">
        <f t="shared" si="6"/>
        <v>-7.910216739062087E-3</v>
      </c>
      <c r="AS11" s="5">
        <f t="shared" si="7"/>
        <v>1.4959295600989408E-2</v>
      </c>
      <c r="AT11" s="5">
        <f t="shared" si="8"/>
        <v>6.8365303476382144E-2</v>
      </c>
      <c r="AU11" s="5">
        <f t="shared" si="1"/>
        <v>7.910216739062087E-3</v>
      </c>
      <c r="AV11" s="5">
        <f t="shared" si="2"/>
        <v>1.4959295600989408E-2</v>
      </c>
    </row>
    <row r="12" spans="1:51" x14ac:dyDescent="0.25">
      <c r="A12" s="5">
        <f>'Proximal Validation'!A11</f>
        <v>0.3</v>
      </c>
      <c r="B12" s="5">
        <f>'Proximal Validation'!B11</f>
        <v>0.2</v>
      </c>
      <c r="C12" s="5">
        <f>'Proximal Validation'!C11</f>
        <v>1.5707963267948966</v>
      </c>
      <c r="D12" s="5">
        <f>'Proximal Validation'!D11</f>
        <v>0</v>
      </c>
      <c r="E12" s="5">
        <f>'Proximal Validation'!E11</f>
        <v>0</v>
      </c>
      <c r="F12" s="5">
        <f>'Proximal Validation'!F11</f>
        <v>0</v>
      </c>
      <c r="G12" s="5">
        <f>'Proximal Validation'!G11</f>
        <v>-9.6103904070332606E-5</v>
      </c>
      <c r="H12" s="5">
        <f>'Proximal Validation'!H11</f>
        <v>-5.9686940163373899E-2</v>
      </c>
      <c r="I12" s="5">
        <f>'Proximal Validation'!I11</f>
        <v>-6.3943007262423602E-4</v>
      </c>
      <c r="J12" s="5">
        <f>'Proximal Validation'!J11</f>
        <v>-7.6781243085861206E-2</v>
      </c>
      <c r="K12" s="5">
        <f>'Proximal Validation'!K11</f>
        <v>-1.8407814204692799E-3</v>
      </c>
      <c r="L12" s="5">
        <f>'Proximal Validation'!L11</f>
        <v>0.17655885219574</v>
      </c>
      <c r="M12" s="8"/>
      <c r="N12" s="8"/>
      <c r="O12" s="8"/>
      <c r="P12" s="8"/>
      <c r="Q12" s="5">
        <f t="shared" si="3"/>
        <v>-0.3</v>
      </c>
      <c r="R12" s="5">
        <f t="shared" si="3"/>
        <v>-0.2</v>
      </c>
      <c r="S12" s="5">
        <f t="shared" si="3"/>
        <v>-1.5707963267948966</v>
      </c>
      <c r="T12" s="5">
        <f t="shared" si="4"/>
        <v>0.3</v>
      </c>
      <c r="U12" s="5">
        <f t="shared" si="0"/>
        <v>0.2</v>
      </c>
      <c r="V12" s="5">
        <f t="shared" si="0"/>
        <v>1.5707963267948966</v>
      </c>
      <c r="W12" s="7"/>
      <c r="X12" s="7"/>
      <c r="Y12" s="7"/>
      <c r="AA12" s="5">
        <f>'Proximal Validation'!A11</f>
        <v>0.3</v>
      </c>
      <c r="AB12" s="5">
        <f>'Proximal Validation'!B11</f>
        <v>0.2</v>
      </c>
      <c r="AC12" s="5">
        <f>'Proximal Validation'!C11</f>
        <v>1.5707963267948966</v>
      </c>
      <c r="AD12" s="5">
        <f>'Proximal Validation'!D11</f>
        <v>0</v>
      </c>
      <c r="AE12" s="5">
        <f>'Proximal Validation'!E11</f>
        <v>0</v>
      </c>
      <c r="AF12" s="5">
        <f>'Proximal Validation'!F11</f>
        <v>0</v>
      </c>
      <c r="AG12" s="5">
        <f>'Proximal Validation'!G11</f>
        <v>-9.6103904070332606E-5</v>
      </c>
      <c r="AH12" s="5">
        <f>'Proximal Validation'!H11</f>
        <v>-5.9686940163373899E-2</v>
      </c>
      <c r="AI12" s="5">
        <f>'Proximal Validation'!I11</f>
        <v>-6.3943007262423602E-4</v>
      </c>
      <c r="AJ12" s="5">
        <f>'Proximal Validation'!J11</f>
        <v>-7.6781243085861206E-2</v>
      </c>
      <c r="AK12" s="5">
        <f>'Proximal Validation'!K11</f>
        <v>-1.8407814204692799E-3</v>
      </c>
      <c r="AL12" s="5">
        <f>'Proximal Validation'!L11</f>
        <v>0.17655885219574</v>
      </c>
      <c r="AM12" s="8">
        <v>0.29592508164170878</v>
      </c>
      <c r="AN12" s="8">
        <v>0.19999999999997781</v>
      </c>
      <c r="AO12" s="8">
        <v>1.5785429502112804</v>
      </c>
      <c r="AP12" s="8">
        <v>6.972532612836978E-4</v>
      </c>
      <c r="AQ12" s="5">
        <f t="shared" si="5"/>
        <v>-4.074918358291213E-3</v>
      </c>
      <c r="AR12" s="5">
        <f t="shared" si="6"/>
        <v>-2.2204460492503131E-14</v>
      </c>
      <c r="AS12" s="5">
        <f t="shared" si="7"/>
        <v>7.7466234163838799E-3</v>
      </c>
      <c r="AT12" s="5">
        <f t="shared" si="8"/>
        <v>4.074918358291213E-3</v>
      </c>
      <c r="AU12" s="5">
        <f t="shared" si="1"/>
        <v>2.2204460492503131E-14</v>
      </c>
      <c r="AV12" s="5">
        <f t="shared" si="2"/>
        <v>7.7466234163838799E-3</v>
      </c>
      <c r="AW12" s="7"/>
      <c r="AX12" s="7"/>
      <c r="AY12" s="7"/>
    </row>
    <row r="13" spans="1:51" x14ac:dyDescent="0.25">
      <c r="A13" s="5">
        <f>'Proximal Validation'!A12</f>
        <v>0.7</v>
      </c>
      <c r="B13" s="5">
        <f>'Proximal Validation'!B12</f>
        <v>0.2</v>
      </c>
      <c r="C13" s="5">
        <f>'Proximal Validation'!C12</f>
        <v>1.5707963267948966</v>
      </c>
      <c r="D13" s="5">
        <f>'Proximal Validation'!D12</f>
        <v>0</v>
      </c>
      <c r="E13" s="5">
        <f>'Proximal Validation'!E12</f>
        <v>0</v>
      </c>
      <c r="F13" s="5">
        <f>'Proximal Validation'!F12</f>
        <v>0</v>
      </c>
      <c r="G13" s="5">
        <f>'Proximal Validation'!G12</f>
        <v>6.8014755379408598E-4</v>
      </c>
      <c r="H13" s="5">
        <f>'Proximal Validation'!H12</f>
        <v>-8.2236602902412401E-2</v>
      </c>
      <c r="I13" s="5">
        <f>'Proximal Validation'!I12</f>
        <v>-2.0893728360533701E-3</v>
      </c>
      <c r="J13" s="5">
        <f>'Proximal Validation'!J12</f>
        <v>-0.387284815311432</v>
      </c>
      <c r="K13" s="5">
        <f>'Proximal Validation'!K12</f>
        <v>-7.8587606549263E-4</v>
      </c>
      <c r="L13" s="5">
        <f>'Proximal Validation'!L12</f>
        <v>3.3172652125358602E-2</v>
      </c>
      <c r="M13" s="8"/>
      <c r="N13" s="8"/>
      <c r="O13" s="8"/>
      <c r="P13" s="8"/>
      <c r="Q13" s="5">
        <f t="shared" si="3"/>
        <v>-0.7</v>
      </c>
      <c r="R13" s="5">
        <f t="shared" si="3"/>
        <v>-0.2</v>
      </c>
      <c r="S13" s="5">
        <f t="shared" si="3"/>
        <v>-1.5707963267948966</v>
      </c>
      <c r="T13" s="5">
        <f t="shared" si="4"/>
        <v>0.7</v>
      </c>
      <c r="U13" s="5">
        <f t="shared" si="0"/>
        <v>0.2</v>
      </c>
      <c r="V13" s="5">
        <f t="shared" si="0"/>
        <v>1.5707963267948966</v>
      </c>
      <c r="AA13" s="5">
        <f>'Proximal Validation'!A12</f>
        <v>0.7</v>
      </c>
      <c r="AB13" s="5">
        <f>'Proximal Validation'!B12</f>
        <v>0.2</v>
      </c>
      <c r="AC13" s="5">
        <f>'Proximal Validation'!C12</f>
        <v>1.5707963267948966</v>
      </c>
      <c r="AD13" s="5">
        <f>'Proximal Validation'!D12</f>
        <v>0</v>
      </c>
      <c r="AE13" s="5">
        <f>'Proximal Validation'!E12</f>
        <v>0</v>
      </c>
      <c r="AF13" s="5">
        <f>'Proximal Validation'!F12</f>
        <v>0</v>
      </c>
      <c r="AG13" s="5">
        <f>'Proximal Validation'!G12</f>
        <v>6.8014755379408598E-4</v>
      </c>
      <c r="AH13" s="5">
        <f>'Proximal Validation'!H12</f>
        <v>-8.2236602902412401E-2</v>
      </c>
      <c r="AI13" s="5">
        <f>'Proximal Validation'!I12</f>
        <v>-2.0893728360533701E-3</v>
      </c>
      <c r="AJ13" s="5">
        <f>'Proximal Validation'!J12</f>
        <v>-0.387284815311432</v>
      </c>
      <c r="AK13" s="5">
        <f>'Proximal Validation'!K12</f>
        <v>-7.8587606549263E-4</v>
      </c>
      <c r="AL13" s="5">
        <f>'Proximal Validation'!L12</f>
        <v>3.3172652125358602E-2</v>
      </c>
      <c r="AM13" s="8">
        <v>0.6021084022972677</v>
      </c>
      <c r="AN13" s="8">
        <v>0.18165086373278252</v>
      </c>
      <c r="AO13" s="8">
        <v>1.5799400389930107</v>
      </c>
      <c r="AP13" s="8">
        <v>3.464397181053898E-4</v>
      </c>
      <c r="AQ13" s="5">
        <f t="shared" si="5"/>
        <v>-9.7891597702732258E-2</v>
      </c>
      <c r="AR13" s="5">
        <f t="shared" si="6"/>
        <v>-1.8349136267217486E-2</v>
      </c>
      <c r="AS13" s="5">
        <f t="shared" si="7"/>
        <v>9.1437121981141622E-3</v>
      </c>
      <c r="AT13" s="5">
        <f t="shared" si="8"/>
        <v>9.7891597702732258E-2</v>
      </c>
      <c r="AU13" s="5">
        <f t="shared" si="1"/>
        <v>1.8349136267217486E-2</v>
      </c>
      <c r="AV13" s="5">
        <f t="shared" si="2"/>
        <v>9.1437121981141622E-3</v>
      </c>
    </row>
    <row r="15" spans="1:51" ht="15.75" x14ac:dyDescent="0.25">
      <c r="A15" s="31" t="s">
        <v>31</v>
      </c>
      <c r="B15" s="32"/>
      <c r="C15" s="33"/>
    </row>
    <row r="16" spans="1:51" x14ac:dyDescent="0.25">
      <c r="A16">
        <v>1</v>
      </c>
      <c r="B16">
        <v>0</v>
      </c>
      <c r="C16">
        <v>0</v>
      </c>
    </row>
    <row r="17" spans="1:12" x14ac:dyDescent="0.25">
      <c r="A17">
        <v>0</v>
      </c>
      <c r="B17">
        <v>1</v>
      </c>
      <c r="C17">
        <v>0</v>
      </c>
    </row>
    <row r="18" spans="1:12" x14ac:dyDescent="0.25">
      <c r="A18">
        <v>0</v>
      </c>
      <c r="B18">
        <v>0</v>
      </c>
      <c r="C18">
        <v>1</v>
      </c>
    </row>
    <row r="20" spans="1:12" ht="15.75" thickBot="1" x14ac:dyDescent="0.3"/>
    <row r="21" spans="1:12" ht="15.75" x14ac:dyDescent="0.25">
      <c r="C21" s="1" t="s">
        <v>33</v>
      </c>
      <c r="D21" s="1" t="s">
        <v>8</v>
      </c>
      <c r="E21" s="1" t="s">
        <v>9</v>
      </c>
      <c r="F21" s="1" t="s">
        <v>10</v>
      </c>
      <c r="G21" s="17" t="s">
        <v>32</v>
      </c>
      <c r="H21" s="18"/>
      <c r="I21" s="18"/>
      <c r="J21" s="18"/>
      <c r="K21" s="18"/>
      <c r="L21" s="18"/>
    </row>
    <row r="22" spans="1:12" x14ac:dyDescent="0.25">
      <c r="C22" s="10">
        <v>1</v>
      </c>
      <c r="D22" s="5">
        <f t="shared" ref="D22:L22" si="9">D4</f>
        <v>0</v>
      </c>
      <c r="E22" s="5">
        <f t="shared" si="9"/>
        <v>0</v>
      </c>
      <c r="F22" s="5">
        <f t="shared" si="9"/>
        <v>0</v>
      </c>
      <c r="G22" s="5">
        <f t="shared" si="9"/>
        <v>4.2863236740231498E-4</v>
      </c>
      <c r="H22" s="5">
        <f t="shared" si="9"/>
        <v>-6.0315418988466298E-2</v>
      </c>
      <c r="I22" s="5">
        <f t="shared" si="9"/>
        <v>-2.55721563007683E-4</v>
      </c>
      <c r="J22" s="5">
        <f t="shared" si="9"/>
        <v>-4.1011810302734403E-2</v>
      </c>
      <c r="K22" s="5">
        <f t="shared" si="9"/>
        <v>7.4238330125808705E-4</v>
      </c>
      <c r="L22" s="5">
        <f t="shared" si="9"/>
        <v>0.38065329194068898</v>
      </c>
    </row>
    <row r="23" spans="1:12" x14ac:dyDescent="0.25">
      <c r="C23" s="10">
        <v>1</v>
      </c>
      <c r="D23" s="5">
        <v>1</v>
      </c>
      <c r="E23" s="5">
        <v>0</v>
      </c>
      <c r="F23" s="5">
        <v>0</v>
      </c>
      <c r="G23" s="5">
        <v>1.2604678049683599E-3</v>
      </c>
      <c r="H23" s="5">
        <v>-4.7446787357330301E-2</v>
      </c>
      <c r="I23" s="5">
        <v>-3.4751283237710601E-4</v>
      </c>
      <c r="J23" s="5">
        <v>-2.1835237741470299E-2</v>
      </c>
      <c r="K23" s="5">
        <v>-2.4636760354042101E-3</v>
      </c>
      <c r="L23" s="5">
        <v>0.30359500646591198</v>
      </c>
    </row>
    <row r="24" spans="1:12" x14ac:dyDescent="0.25">
      <c r="C24" s="10">
        <v>1</v>
      </c>
      <c r="D24" s="5">
        <v>0</v>
      </c>
      <c r="E24" s="5">
        <v>1</v>
      </c>
      <c r="F24" s="5">
        <v>0</v>
      </c>
      <c r="G24" s="5">
        <v>-7.1317888796329498E-5</v>
      </c>
      <c r="H24" s="5">
        <v>-4.71697263419628E-2</v>
      </c>
      <c r="I24" s="5">
        <v>-5.8462901506573002E-5</v>
      </c>
      <c r="J24" s="5">
        <v>-1.39291621744633E-2</v>
      </c>
      <c r="K24" s="5">
        <v>5.78882545232773E-3</v>
      </c>
      <c r="L24" s="5">
        <v>0.30146729946136502</v>
      </c>
    </row>
    <row r="25" spans="1:12" x14ac:dyDescent="0.25">
      <c r="C25" s="10">
        <v>1</v>
      </c>
      <c r="D25" s="5">
        <v>0</v>
      </c>
      <c r="E25" s="5">
        <v>0</v>
      </c>
      <c r="F25" s="5">
        <v>1</v>
      </c>
      <c r="G25" s="5">
        <v>7.2116788942366795E-4</v>
      </c>
      <c r="H25" s="5">
        <v>-7.3741316795349093E-2</v>
      </c>
      <c r="I25" s="5">
        <v>-3.1679874518886198E-4</v>
      </c>
      <c r="J25" s="5">
        <v>-4.0545701980590799E-2</v>
      </c>
      <c r="K25" s="5">
        <v>3.0917301774024998E-3</v>
      </c>
      <c r="L25" s="5">
        <v>0.47281098365783703</v>
      </c>
    </row>
    <row r="26" spans="1:12" x14ac:dyDescent="0.25">
      <c r="C26" s="10">
        <v>2</v>
      </c>
      <c r="D26" s="5">
        <v>0</v>
      </c>
      <c r="E26" s="5">
        <v>0</v>
      </c>
      <c r="F26" s="5">
        <v>0</v>
      </c>
      <c r="G26" s="5">
        <f>G5</f>
        <v>6.2025361694395499E-4</v>
      </c>
      <c r="H26" s="5">
        <f t="shared" ref="H26:L26" si="10">H5</f>
        <v>-0.13314910233020799</v>
      </c>
      <c r="I26" s="5">
        <f t="shared" si="10"/>
        <v>-2.3612950462847899E-4</v>
      </c>
      <c r="J26" s="5">
        <f t="shared" si="10"/>
        <v>-0.197828054428101</v>
      </c>
      <c r="K26" s="5">
        <f t="shared" si="10"/>
        <v>3.5987794399261501E-3</v>
      </c>
      <c r="L26" s="5">
        <f t="shared" si="10"/>
        <v>0.83635294437408403</v>
      </c>
    </row>
    <row r="27" spans="1:12" x14ac:dyDescent="0.25">
      <c r="C27" s="10">
        <v>2</v>
      </c>
      <c r="D27" s="5">
        <v>1</v>
      </c>
      <c r="E27" s="5">
        <v>0</v>
      </c>
      <c r="F27" s="5">
        <v>0</v>
      </c>
      <c r="G27" s="5">
        <v>2.07313452847302E-3</v>
      </c>
      <c r="H27" s="5">
        <v>-0.122202716767788</v>
      </c>
      <c r="I27" s="5">
        <v>-8.4010127466172002E-4</v>
      </c>
      <c r="J27" s="5">
        <v>-0.16897943615913399</v>
      </c>
      <c r="K27" s="5">
        <v>-4.7241300344467198E-3</v>
      </c>
      <c r="L27" s="5">
        <v>0.77549177408218395</v>
      </c>
    </row>
    <row r="28" spans="1:12" x14ac:dyDescent="0.25">
      <c r="C28" s="10">
        <v>2</v>
      </c>
      <c r="D28" s="5">
        <v>0</v>
      </c>
      <c r="E28" s="5">
        <v>1</v>
      </c>
      <c r="F28" s="5">
        <v>0</v>
      </c>
      <c r="G28" s="5">
        <v>-1.1102480348199599E-3</v>
      </c>
      <c r="H28" s="5">
        <v>-0.12042395025491701</v>
      </c>
      <c r="I28" s="5">
        <v>7.4647646397352197E-4</v>
      </c>
      <c r="J28" s="5">
        <v>-0.16515125334262801</v>
      </c>
      <c r="K28" s="5">
        <v>1.4706075191497799E-2</v>
      </c>
      <c r="L28" s="5">
        <v>0.76510286331176802</v>
      </c>
    </row>
    <row r="29" spans="1:12" x14ac:dyDescent="0.25">
      <c r="C29" s="10">
        <v>2</v>
      </c>
      <c r="D29" s="5">
        <v>0</v>
      </c>
      <c r="E29" s="5">
        <v>0</v>
      </c>
      <c r="F29" s="5">
        <v>1</v>
      </c>
      <c r="G29" s="5">
        <v>7.4507505632936998E-4</v>
      </c>
      <c r="H29" s="5">
        <v>-0.142236098647118</v>
      </c>
      <c r="I29" s="5">
        <v>-2.0663149189203999E-4</v>
      </c>
      <c r="J29" s="5">
        <v>-0.20041969418525701</v>
      </c>
      <c r="K29" s="5">
        <v>4.9352645874023403E-3</v>
      </c>
      <c r="L29" s="5">
        <v>0.90020644664764404</v>
      </c>
    </row>
    <row r="30" spans="1:12" x14ac:dyDescent="0.25">
      <c r="C30" s="10">
        <v>3</v>
      </c>
      <c r="D30" s="5">
        <v>0</v>
      </c>
      <c r="E30" s="5">
        <v>0</v>
      </c>
      <c r="F30" s="5">
        <v>0</v>
      </c>
      <c r="G30" s="5">
        <f>G6</f>
        <v>1.679906854406E-4</v>
      </c>
      <c r="H30" s="5">
        <f t="shared" ref="H30:L30" si="11">H6</f>
        <v>-4.5721895992755897E-2</v>
      </c>
      <c r="I30" s="5">
        <f t="shared" si="11"/>
        <v>-3.8841026253067E-4</v>
      </c>
      <c r="J30" s="5">
        <f t="shared" si="11"/>
        <v>-3.3596165478229502E-2</v>
      </c>
      <c r="K30" s="5">
        <f t="shared" si="11"/>
        <v>-1.0348893702030199E-3</v>
      </c>
      <c r="L30" s="5">
        <f t="shared" si="11"/>
        <v>0.25438803434371898</v>
      </c>
    </row>
    <row r="31" spans="1:12" x14ac:dyDescent="0.25">
      <c r="C31" s="10">
        <v>3</v>
      </c>
      <c r="D31" s="5">
        <v>1</v>
      </c>
      <c r="E31" s="5">
        <v>0</v>
      </c>
      <c r="F31" s="5">
        <v>0</v>
      </c>
      <c r="G31" s="5">
        <v>6.7202863283455404E-4</v>
      </c>
      <c r="H31" s="5">
        <v>-2.8641611337661702E-2</v>
      </c>
      <c r="I31" s="5">
        <v>-3.1960324849933402E-4</v>
      </c>
      <c r="J31" s="5">
        <v>-1.41942147165537E-2</v>
      </c>
      <c r="K31" s="5">
        <v>-3.4365355968475298E-3</v>
      </c>
      <c r="L31" s="5">
        <v>0.160551592707634</v>
      </c>
    </row>
    <row r="32" spans="1:12" x14ac:dyDescent="0.25">
      <c r="C32" s="10">
        <v>3</v>
      </c>
      <c r="D32" s="5">
        <v>0</v>
      </c>
      <c r="E32" s="5">
        <v>1</v>
      </c>
      <c r="F32" s="5">
        <v>0</v>
      </c>
      <c r="G32" s="5">
        <v>-5.1244441419839902E-4</v>
      </c>
      <c r="H32" s="5">
        <v>-2.8414282947778698E-2</v>
      </c>
      <c r="I32" s="5">
        <v>-1.13105634227395E-4</v>
      </c>
      <c r="J32" s="5">
        <v>-1.2105987407267101E-2</v>
      </c>
      <c r="K32" s="5">
        <v>3.4243352711200701E-3</v>
      </c>
      <c r="L32" s="5">
        <v>0.158538013696671</v>
      </c>
    </row>
    <row r="33" spans="3:12" x14ac:dyDescent="0.25">
      <c r="C33" s="10">
        <v>3</v>
      </c>
      <c r="D33" s="5">
        <v>0</v>
      </c>
      <c r="E33" s="5">
        <v>0</v>
      </c>
      <c r="F33" s="5">
        <v>1</v>
      </c>
      <c r="G33" s="5">
        <v>7.2014634497463703E-5</v>
      </c>
      <c r="H33" s="5">
        <v>-6.3001990318298298E-2</v>
      </c>
      <c r="I33" s="5">
        <v>-4.6006840420886901E-4</v>
      </c>
      <c r="J33" s="5">
        <v>-4.3199941515922498E-2</v>
      </c>
      <c r="K33" s="5">
        <v>1.5255436301231401E-4</v>
      </c>
      <c r="L33" s="5">
        <v>0.35322821140289301</v>
      </c>
    </row>
    <row r="34" spans="3:12" x14ac:dyDescent="0.25">
      <c r="C34" s="10">
        <v>4</v>
      </c>
      <c r="D34" s="5">
        <v>0</v>
      </c>
      <c r="E34" s="5">
        <v>0</v>
      </c>
      <c r="F34" s="5">
        <v>0</v>
      </c>
      <c r="G34" s="5">
        <f>G7</f>
        <v>3.3436843659728798E-4</v>
      </c>
      <c r="H34" s="5">
        <f t="shared" ref="H34:L34" si="12">H7</f>
        <v>-9.1593101620674106E-2</v>
      </c>
      <c r="I34" s="5">
        <f t="shared" si="12"/>
        <v>-1.09562510624528E-3</v>
      </c>
      <c r="J34" s="5">
        <f t="shared" si="12"/>
        <v>-0.13726633787155201</v>
      </c>
      <c r="K34" s="5">
        <f t="shared" si="12"/>
        <v>-2.9727667570114101E-3</v>
      </c>
      <c r="L34" s="5">
        <f t="shared" si="12"/>
        <v>0.44673037528991699</v>
      </c>
    </row>
    <row r="35" spans="3:12" x14ac:dyDescent="0.25">
      <c r="C35" s="10">
        <v>4</v>
      </c>
      <c r="D35" s="5">
        <v>1</v>
      </c>
      <c r="E35" s="5">
        <v>0</v>
      </c>
      <c r="F35" s="5">
        <v>0</v>
      </c>
      <c r="G35" s="5">
        <v>2.2847848013043399E-3</v>
      </c>
      <c r="H35" s="5">
        <v>-7.8242003917694106E-2</v>
      </c>
      <c r="I35" s="5">
        <v>-2.1650253329426098E-3</v>
      </c>
      <c r="J35" s="5">
        <v>-0.10976672917604401</v>
      </c>
      <c r="K35" s="5">
        <v>-1.3771079480647999E-2</v>
      </c>
      <c r="L35" s="5">
        <v>0.38438755273818997</v>
      </c>
    </row>
    <row r="36" spans="3:12" x14ac:dyDescent="0.25">
      <c r="C36" s="10">
        <v>4</v>
      </c>
      <c r="D36" s="5">
        <v>0</v>
      </c>
      <c r="E36" s="5">
        <v>1</v>
      </c>
      <c r="F36" s="5">
        <v>0</v>
      </c>
      <c r="G36" s="5">
        <v>-1.52848358266056E-3</v>
      </c>
      <c r="H36" s="5">
        <v>-7.7229537069797502E-2</v>
      </c>
      <c r="I36" s="5">
        <v>2.91183590888977E-4</v>
      </c>
      <c r="J36" s="5">
        <v>-0.106938481330872</v>
      </c>
      <c r="K36" s="5">
        <v>7.6940208673477199E-3</v>
      </c>
      <c r="L36" s="5">
        <v>0.37955632805824302</v>
      </c>
    </row>
    <row r="37" spans="3:12" x14ac:dyDescent="0.25">
      <c r="C37" s="10">
        <v>4</v>
      </c>
      <c r="D37" s="5">
        <v>0</v>
      </c>
      <c r="E37" s="5">
        <v>0</v>
      </c>
      <c r="F37" s="5">
        <v>1</v>
      </c>
      <c r="G37" s="5">
        <v>4.0927564259618499E-4</v>
      </c>
      <c r="H37" s="5">
        <v>-0.10435087978839901</v>
      </c>
      <c r="I37" s="5">
        <v>-1.21412286534905E-3</v>
      </c>
      <c r="J37" s="5">
        <v>-0.15015038847923301</v>
      </c>
      <c r="K37" s="5">
        <v>-3.2331123948097199E-3</v>
      </c>
      <c r="L37" s="5">
        <v>0.51237004995346103</v>
      </c>
    </row>
    <row r="38" spans="3:12" x14ac:dyDescent="0.25">
      <c r="C38" s="10">
        <v>5</v>
      </c>
      <c r="D38" s="5">
        <v>0</v>
      </c>
      <c r="E38" s="5">
        <v>0</v>
      </c>
      <c r="F38" s="5">
        <v>0</v>
      </c>
      <c r="G38" s="5">
        <f>G8</f>
        <v>5.2663497626781498E-5</v>
      </c>
      <c r="H38" s="5">
        <f t="shared" ref="H38:L38" si="13">H8</f>
        <v>-0.12548637390136699</v>
      </c>
      <c r="I38" s="5">
        <f t="shared" si="13"/>
        <v>-9.7444711718708298E-4</v>
      </c>
      <c r="J38" s="5">
        <f t="shared" si="13"/>
        <v>-0.25848296284675598</v>
      </c>
      <c r="K38" s="5">
        <f t="shared" si="13"/>
        <v>6.1889737844467196E-4</v>
      </c>
      <c r="L38" s="5">
        <f t="shared" si="13"/>
        <v>0.60252058506011996</v>
      </c>
    </row>
    <row r="39" spans="3:12" x14ac:dyDescent="0.25">
      <c r="C39" s="10">
        <v>5</v>
      </c>
      <c r="D39" s="5">
        <v>1</v>
      </c>
      <c r="E39" s="5">
        <v>0</v>
      </c>
      <c r="F39" s="5">
        <v>0</v>
      </c>
      <c r="G39" s="5">
        <v>2.53545213490725E-3</v>
      </c>
      <c r="H39" s="5">
        <v>-0.110637925565243</v>
      </c>
      <c r="I39" s="5">
        <v>-2.3652061354368899E-3</v>
      </c>
      <c r="J39" s="5">
        <v>-0.22408065199852001</v>
      </c>
      <c r="K39" s="5">
        <v>-1.32833570241928E-2</v>
      </c>
      <c r="L39" s="5">
        <v>0.53405982255935702</v>
      </c>
    </row>
    <row r="40" spans="3:12" x14ac:dyDescent="0.25">
      <c r="C40" s="10">
        <v>5</v>
      </c>
      <c r="D40" s="5">
        <v>0</v>
      </c>
      <c r="E40" s="5">
        <v>1</v>
      </c>
      <c r="F40" s="5">
        <v>0</v>
      </c>
      <c r="G40" s="5">
        <v>-2.4969903752207799E-3</v>
      </c>
      <c r="H40" s="5">
        <v>-0.109356731176376</v>
      </c>
      <c r="I40" s="5">
        <v>8.0027384683489799E-4</v>
      </c>
      <c r="J40" s="5">
        <v>-0.21961303055286399</v>
      </c>
      <c r="K40" s="5">
        <v>1.5953015536069901E-2</v>
      </c>
      <c r="L40" s="5">
        <v>0.52850234508514404</v>
      </c>
    </row>
    <row r="41" spans="3:12" x14ac:dyDescent="0.25">
      <c r="C41" s="10">
        <v>5</v>
      </c>
      <c r="D41" s="5">
        <v>0</v>
      </c>
      <c r="E41" s="5">
        <v>0</v>
      </c>
      <c r="F41" s="5">
        <v>1</v>
      </c>
      <c r="G41" s="5">
        <v>1.1015310883522E-4</v>
      </c>
      <c r="H41" s="5">
        <v>-0.134395331144333</v>
      </c>
      <c r="I41" s="5">
        <v>-1.06273661367595E-3</v>
      </c>
      <c r="J41" s="5">
        <v>-0.27552005648612998</v>
      </c>
      <c r="K41" s="5">
        <v>8.8381767272949197E-4</v>
      </c>
      <c r="L41" s="5">
        <v>0.64680564403533902</v>
      </c>
    </row>
    <row r="42" spans="3:12" x14ac:dyDescent="0.25">
      <c r="C42" s="10">
        <v>6</v>
      </c>
      <c r="D42" s="5">
        <v>0</v>
      </c>
      <c r="E42" s="5">
        <v>0</v>
      </c>
      <c r="F42" s="5">
        <v>0</v>
      </c>
      <c r="G42" s="5">
        <f>G9</f>
        <v>3.1168537680059699E-4</v>
      </c>
      <c r="H42" s="5">
        <f t="shared" ref="H42:L42" si="14">H9</f>
        <v>-7.88237899541855E-2</v>
      </c>
      <c r="I42" s="5">
        <f t="shared" si="14"/>
        <v>-1.01786095183343E-3</v>
      </c>
      <c r="J42" s="5">
        <f t="shared" si="14"/>
        <v>-0.13838192820549</v>
      </c>
      <c r="K42" s="5">
        <f t="shared" si="14"/>
        <v>-1.14574655890465E-3</v>
      </c>
      <c r="L42" s="5">
        <f t="shared" si="14"/>
        <v>0.27298316359519997</v>
      </c>
    </row>
    <row r="43" spans="3:12" x14ac:dyDescent="0.25">
      <c r="C43" s="10">
        <v>6</v>
      </c>
      <c r="D43" s="5">
        <v>1</v>
      </c>
      <c r="E43" s="5">
        <v>0</v>
      </c>
      <c r="F43" s="5">
        <v>0</v>
      </c>
      <c r="G43" s="5">
        <v>2.67795147374272E-3</v>
      </c>
      <c r="H43" s="5">
        <v>-6.6341109573841095E-2</v>
      </c>
      <c r="I43" s="5">
        <v>-2.99975578673184E-3</v>
      </c>
      <c r="J43" s="5">
        <v>-0.112947233021259</v>
      </c>
      <c r="K43" s="5">
        <v>-1.37254931032658E-2</v>
      </c>
      <c r="L43" s="5">
        <v>0.231223449110985</v>
      </c>
    </row>
    <row r="44" spans="3:12" x14ac:dyDescent="0.25">
      <c r="C44" s="10">
        <v>6</v>
      </c>
      <c r="D44" s="5">
        <v>0</v>
      </c>
      <c r="E44" s="5">
        <v>1</v>
      </c>
      <c r="F44" s="5">
        <v>0</v>
      </c>
      <c r="G44" s="5">
        <v>-2.3008859716355801E-3</v>
      </c>
      <c r="H44" s="5">
        <v>-6.4458705484867096E-2</v>
      </c>
      <c r="I44" s="5">
        <v>1.4156964607536799E-3</v>
      </c>
      <c r="J44" s="5">
        <v>-0.106676936149597</v>
      </c>
      <c r="K44" s="5">
        <v>1.2914394028484801E-2</v>
      </c>
      <c r="L44" s="5">
        <v>0.224694058299065</v>
      </c>
    </row>
    <row r="45" spans="3:12" x14ac:dyDescent="0.25">
      <c r="C45" s="10">
        <v>6</v>
      </c>
      <c r="D45" s="5">
        <v>0</v>
      </c>
      <c r="E45" s="5">
        <v>0</v>
      </c>
      <c r="F45" s="5">
        <v>1</v>
      </c>
      <c r="G45" s="5">
        <v>1.5420001000165899E-4</v>
      </c>
      <c r="H45" s="5">
        <v>-9.0588927268981906E-2</v>
      </c>
      <c r="I45" s="5">
        <v>-9.9709560163319089E-4</v>
      </c>
      <c r="J45" s="5">
        <v>-0.15762710571289101</v>
      </c>
      <c r="K45" s="5">
        <v>7.6498836278915405E-5</v>
      </c>
      <c r="L45" s="5">
        <v>0.31581044197082497</v>
      </c>
    </row>
    <row r="46" spans="3:12" x14ac:dyDescent="0.25">
      <c r="C46" s="10">
        <v>7</v>
      </c>
      <c r="D46" s="5">
        <v>0</v>
      </c>
      <c r="E46" s="5">
        <v>0</v>
      </c>
      <c r="F46" s="5">
        <v>0</v>
      </c>
      <c r="G46" s="5">
        <f>G10</f>
        <v>4.6556734014302498E-4</v>
      </c>
      <c r="H46" s="5">
        <f t="shared" ref="H46:L46" si="15">H10</f>
        <v>-0.13455995917320299</v>
      </c>
      <c r="I46" s="5">
        <f t="shared" si="15"/>
        <v>-1.54974625911564E-3</v>
      </c>
      <c r="J46" s="5">
        <f t="shared" si="15"/>
        <v>-0.33463472127914401</v>
      </c>
      <c r="K46" s="5">
        <f t="shared" si="15"/>
        <v>-5.6979432702064503E-4</v>
      </c>
      <c r="L46" s="5">
        <f t="shared" si="15"/>
        <v>0.42998898029327398</v>
      </c>
    </row>
    <row r="47" spans="3:12" x14ac:dyDescent="0.25">
      <c r="C47" s="10">
        <v>7</v>
      </c>
      <c r="D47" s="5">
        <v>1</v>
      </c>
      <c r="E47" s="5">
        <v>0</v>
      </c>
      <c r="F47" s="5">
        <v>0</v>
      </c>
      <c r="G47" s="5">
        <v>4.8077367246150996E-3</v>
      </c>
      <c r="H47" s="5">
        <v>-0.113145597279072</v>
      </c>
      <c r="I47" s="5">
        <v>-4.92939818650484E-3</v>
      </c>
      <c r="J47" s="5">
        <v>-0.27269926667213401</v>
      </c>
      <c r="K47" s="5">
        <v>-2.3869417607784299E-2</v>
      </c>
      <c r="L47" s="5">
        <v>0.36223465204238903</v>
      </c>
    </row>
    <row r="48" spans="3:12" x14ac:dyDescent="0.25">
      <c r="C48" s="10">
        <v>7</v>
      </c>
      <c r="D48" s="5">
        <v>0</v>
      </c>
      <c r="E48" s="5">
        <v>1</v>
      </c>
      <c r="F48" s="5">
        <v>0</v>
      </c>
      <c r="G48" s="5">
        <v>-3.8453126326203299E-3</v>
      </c>
      <c r="H48" s="5">
        <v>-0.11084070801734899</v>
      </c>
      <c r="I48" s="5">
        <v>2.3674322292208702E-3</v>
      </c>
      <c r="J48" s="5">
        <v>-0.26526337862014798</v>
      </c>
      <c r="K48" s="5">
        <v>2.2937936708331101E-2</v>
      </c>
      <c r="L48" s="5">
        <v>0.35498845577240001</v>
      </c>
    </row>
    <row r="49" spans="3:12" x14ac:dyDescent="0.25">
      <c r="C49" s="10">
        <v>7</v>
      </c>
      <c r="D49" s="5">
        <v>0</v>
      </c>
      <c r="E49" s="5">
        <v>0</v>
      </c>
      <c r="F49" s="5">
        <v>1</v>
      </c>
      <c r="G49" s="5">
        <v>9.0912333689630004E-5</v>
      </c>
      <c r="H49" s="5">
        <v>-0.13312196731567399</v>
      </c>
      <c r="I49" s="5">
        <v>-1.17106991820037E-3</v>
      </c>
      <c r="J49" s="5">
        <v>-0.32538154721260099</v>
      </c>
      <c r="K49" s="5">
        <v>1.9564218819141401E-3</v>
      </c>
      <c r="L49" s="5">
        <v>0.42583167552947998</v>
      </c>
    </row>
    <row r="50" spans="3:12" x14ac:dyDescent="0.25">
      <c r="C50" s="10">
        <v>8</v>
      </c>
      <c r="D50" s="5">
        <v>0</v>
      </c>
      <c r="E50" s="5">
        <v>0</v>
      </c>
      <c r="F50" s="5">
        <v>0</v>
      </c>
      <c r="G50" s="5">
        <f>G11</f>
        <v>1.2284044642001399E-3</v>
      </c>
      <c r="H50" s="5">
        <f t="shared" ref="H50:L50" si="16">H11</f>
        <v>-0.113915167748928</v>
      </c>
      <c r="I50" s="5">
        <f t="shared" si="16"/>
        <v>-2.0511765033006698E-3</v>
      </c>
      <c r="J50" s="5">
        <f t="shared" si="16"/>
        <v>-0.53618127107620195</v>
      </c>
      <c r="K50" s="5">
        <f t="shared" si="16"/>
        <v>-3.6365408450365101E-3</v>
      </c>
      <c r="L50" s="5">
        <f t="shared" si="16"/>
        <v>0.105719238519669</v>
      </c>
    </row>
    <row r="51" spans="3:12" x14ac:dyDescent="0.25">
      <c r="C51" s="10">
        <v>8</v>
      </c>
      <c r="D51" s="5">
        <v>1</v>
      </c>
      <c r="E51" s="5">
        <v>0</v>
      </c>
      <c r="F51" s="5">
        <v>0</v>
      </c>
      <c r="G51" s="5">
        <v>5.4894238710403399E-3</v>
      </c>
      <c r="H51" s="5">
        <v>-7.3084950447082506E-2</v>
      </c>
      <c r="I51" s="5">
        <v>-4.5013180933892701E-3</v>
      </c>
      <c r="J51" s="5">
        <v>-0.33152928948402399</v>
      </c>
      <c r="K51" s="5">
        <v>-2.8791576623916602E-2</v>
      </c>
      <c r="L51" s="5">
        <v>5.04887700080872E-2</v>
      </c>
    </row>
    <row r="52" spans="3:12" x14ac:dyDescent="0.25">
      <c r="C52" s="10">
        <v>8</v>
      </c>
      <c r="D52" s="5">
        <v>0</v>
      </c>
      <c r="E52" s="5">
        <v>1</v>
      </c>
      <c r="F52" s="5">
        <v>0</v>
      </c>
      <c r="G52" s="5">
        <v>-3.8221823051571798E-3</v>
      </c>
      <c r="H52" s="5">
        <v>-7.1629539132118197E-2</v>
      </c>
      <c r="I52" s="5">
        <v>1.9640875980258001E-3</v>
      </c>
      <c r="J52" s="5">
        <v>-0.32302460074424699</v>
      </c>
      <c r="K52" s="5">
        <v>2.2920258343219799E-2</v>
      </c>
      <c r="L52" s="5">
        <v>4.8302024602890001E-2</v>
      </c>
    </row>
    <row r="53" spans="3:12" x14ac:dyDescent="0.25">
      <c r="C53" s="10">
        <v>8</v>
      </c>
      <c r="D53" s="5">
        <v>0</v>
      </c>
      <c r="E53" s="5">
        <v>0</v>
      </c>
      <c r="F53" s="5">
        <v>1</v>
      </c>
      <c r="G53" s="5">
        <v>5.0750182708725301E-4</v>
      </c>
      <c r="H53" s="5">
        <v>-8.8732577860355405E-2</v>
      </c>
      <c r="I53" s="5">
        <v>-1.20672176126391E-3</v>
      </c>
      <c r="J53" s="5">
        <v>-0.412547796964645</v>
      </c>
      <c r="K53" s="5">
        <v>-4.17940318584442E-5</v>
      </c>
      <c r="L53" s="5">
        <v>6.0439635068178198E-2</v>
      </c>
    </row>
    <row r="54" spans="3:12" x14ac:dyDescent="0.25">
      <c r="C54" s="10">
        <v>9</v>
      </c>
      <c r="D54" s="5">
        <v>0</v>
      </c>
      <c r="E54" s="5">
        <v>0</v>
      </c>
      <c r="F54" s="5">
        <v>0</v>
      </c>
      <c r="G54" s="5">
        <f>G12</f>
        <v>-9.6103904070332606E-5</v>
      </c>
      <c r="H54" s="5">
        <f t="shared" ref="H54:L54" si="17">H12</f>
        <v>-5.9686940163373899E-2</v>
      </c>
      <c r="I54" s="5">
        <f t="shared" si="17"/>
        <v>-6.3943007262423602E-4</v>
      </c>
      <c r="J54" s="5">
        <f t="shared" si="17"/>
        <v>-7.6781243085861206E-2</v>
      </c>
      <c r="K54" s="5">
        <f t="shared" si="17"/>
        <v>-1.8407814204692799E-3</v>
      </c>
      <c r="L54" s="5">
        <f t="shared" si="17"/>
        <v>0.17655885219574</v>
      </c>
    </row>
    <row r="55" spans="3:12" x14ac:dyDescent="0.25">
      <c r="C55" s="10">
        <v>9</v>
      </c>
      <c r="D55" s="5">
        <v>1</v>
      </c>
      <c r="E55" s="5">
        <v>0</v>
      </c>
      <c r="F55" s="5">
        <v>0</v>
      </c>
      <c r="G55" s="5">
        <v>2.2691045887768299E-3</v>
      </c>
      <c r="H55" s="5">
        <v>-4.3545987457037E-2</v>
      </c>
      <c r="I55" s="5">
        <v>-3.6665506195277002E-3</v>
      </c>
      <c r="J55" s="5">
        <v>-5.0444856286048903E-2</v>
      </c>
      <c r="K55" s="5">
        <v>-1.5880528837442402E-2</v>
      </c>
      <c r="L55" s="5">
        <v>0.12777601182460799</v>
      </c>
    </row>
    <row r="56" spans="3:12" x14ac:dyDescent="0.25">
      <c r="C56" s="10">
        <v>9</v>
      </c>
      <c r="D56" s="5">
        <v>0</v>
      </c>
      <c r="E56" s="5">
        <v>1</v>
      </c>
      <c r="F56" s="5">
        <v>0</v>
      </c>
      <c r="G56" s="5">
        <v>-2.5864504277706099E-3</v>
      </c>
      <c r="H56" s="5">
        <v>-4.1704267263412503E-2</v>
      </c>
      <c r="I56" s="5">
        <v>2.6682387106120599E-3</v>
      </c>
      <c r="J56" s="5">
        <v>-4.7138735651969903E-2</v>
      </c>
      <c r="K56" s="5">
        <v>1.1586207896470999E-2</v>
      </c>
      <c r="L56" s="5">
        <v>0.122638940811157</v>
      </c>
    </row>
    <row r="57" spans="3:12" x14ac:dyDescent="0.25">
      <c r="C57" s="10">
        <v>9</v>
      </c>
      <c r="D57" s="5">
        <v>0</v>
      </c>
      <c r="E57" s="5">
        <v>0</v>
      </c>
      <c r="F57" s="5">
        <v>1</v>
      </c>
      <c r="G57" s="5">
        <v>-9.6828123787417994E-5</v>
      </c>
      <c r="H57" s="5">
        <v>-6.6627398133277893E-2</v>
      </c>
      <c r="I57" s="5">
        <v>-7.5205729808658405E-4</v>
      </c>
      <c r="J57" s="5">
        <v>-8.5601903498172802E-2</v>
      </c>
      <c r="K57" s="5">
        <v>-2.0322864875197402E-3</v>
      </c>
      <c r="L57" s="5">
        <v>0.19720575213432301</v>
      </c>
    </row>
    <row r="58" spans="3:12" x14ac:dyDescent="0.25">
      <c r="C58" s="10">
        <v>10</v>
      </c>
      <c r="D58" s="5">
        <v>0</v>
      </c>
      <c r="E58" s="5">
        <v>0</v>
      </c>
      <c r="F58" s="5">
        <v>0</v>
      </c>
      <c r="G58" s="5">
        <f>G13</f>
        <v>6.8014755379408598E-4</v>
      </c>
      <c r="H58" s="5">
        <f t="shared" ref="H58:L58" si="18">H13</f>
        <v>-8.2236602902412401E-2</v>
      </c>
      <c r="I58" s="5">
        <f t="shared" si="18"/>
        <v>-2.0893728360533701E-3</v>
      </c>
      <c r="J58" s="5">
        <f t="shared" si="18"/>
        <v>-0.387284815311432</v>
      </c>
      <c r="K58" s="5">
        <f t="shared" si="18"/>
        <v>-7.8587606549263E-4</v>
      </c>
      <c r="L58" s="5">
        <f t="shared" si="18"/>
        <v>3.3172652125358602E-2</v>
      </c>
    </row>
    <row r="59" spans="3:12" x14ac:dyDescent="0.25">
      <c r="C59" s="10">
        <v>10</v>
      </c>
      <c r="D59" s="5">
        <v>1</v>
      </c>
      <c r="E59" s="5">
        <v>0</v>
      </c>
      <c r="F59" s="5">
        <v>0</v>
      </c>
      <c r="G59" s="5">
        <v>4.8684934154152896E-3</v>
      </c>
      <c r="H59" s="5">
        <v>-5.4484635591507E-2</v>
      </c>
      <c r="I59" s="5">
        <v>-5.0513446331024196E-3</v>
      </c>
      <c r="J59" s="5">
        <v>-0.244855642318726</v>
      </c>
      <c r="K59" s="5">
        <v>-2.3711204528808601E-2</v>
      </c>
      <c r="L59" s="5">
        <v>1.24772973358631E-2</v>
      </c>
    </row>
    <row r="60" spans="3:12" x14ac:dyDescent="0.25">
      <c r="C60" s="10">
        <v>10</v>
      </c>
      <c r="D60" s="5">
        <v>0</v>
      </c>
      <c r="E60" s="5">
        <v>1</v>
      </c>
      <c r="F60" s="5">
        <v>0</v>
      </c>
      <c r="G60" s="5">
        <v>-4.6220421791076704E-3</v>
      </c>
      <c r="H60" s="5">
        <v>-5.2098792046308497E-2</v>
      </c>
      <c r="I60" s="5">
        <v>3.2330835238099098E-3</v>
      </c>
      <c r="J60" s="5">
        <v>-0.23107065260410301</v>
      </c>
      <c r="K60" s="5">
        <v>2.7070596814155599E-2</v>
      </c>
      <c r="L60" s="5">
        <v>1.2128621339798E-2</v>
      </c>
    </row>
    <row r="61" spans="3:12" x14ac:dyDescent="0.25">
      <c r="C61" s="10">
        <v>10</v>
      </c>
      <c r="D61" s="5">
        <v>0</v>
      </c>
      <c r="E61" s="5">
        <v>0</v>
      </c>
      <c r="F61" s="5">
        <v>1</v>
      </c>
      <c r="G61" s="5">
        <v>9.9291617516428205E-5</v>
      </c>
      <c r="H61" s="5">
        <v>-6.9623328745365101E-2</v>
      </c>
      <c r="I61" s="5">
        <v>-1.28056784160435E-3</v>
      </c>
      <c r="J61" s="5">
        <v>-0.32779985666275002</v>
      </c>
      <c r="K61" s="5">
        <v>1.96827948093414E-3</v>
      </c>
      <c r="L61" s="5">
        <v>1.52091756463051E-2</v>
      </c>
    </row>
  </sheetData>
  <mergeCells count="20">
    <mergeCell ref="AW2:AY2"/>
    <mergeCell ref="AW3:AY3"/>
    <mergeCell ref="AW6:AY6"/>
    <mergeCell ref="A1:Y1"/>
    <mergeCell ref="AA1:AY1"/>
    <mergeCell ref="AA2:AF2"/>
    <mergeCell ref="AG2:AL2"/>
    <mergeCell ref="AM2:AP2"/>
    <mergeCell ref="AQ2:AS2"/>
    <mergeCell ref="AT2:AV2"/>
    <mergeCell ref="W6:Y6"/>
    <mergeCell ref="Q2:S2"/>
    <mergeCell ref="W2:Y2"/>
    <mergeCell ref="W3:Y3"/>
    <mergeCell ref="T2:V2"/>
    <mergeCell ref="A15:C15"/>
    <mergeCell ref="G21:L21"/>
    <mergeCell ref="A2:F2"/>
    <mergeCell ref="G2:L2"/>
    <mergeCell ref="M2:P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555DD-E413-4EEB-B18C-66E0D2A3A5AE}">
  <dimension ref="A1:Y60"/>
  <sheetViews>
    <sheetView tabSelected="1" workbookViewId="0">
      <pane ySplit="2" topLeftCell="A3" activePane="bottomLeft" state="frozen"/>
      <selection activeCell="K1" sqref="K1"/>
      <selection pane="bottomLeft" activeCell="X7" sqref="X7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10.7109375" bestFit="1" customWidth="1"/>
    <col min="4" max="6" width="8.42578125" bestFit="1" customWidth="1"/>
    <col min="7" max="8" width="8.140625" bestFit="1" customWidth="1"/>
    <col min="9" max="9" width="7.7109375" bestFit="1" customWidth="1"/>
    <col min="10" max="12" width="6.42578125" bestFit="1" customWidth="1"/>
    <col min="13" max="13" width="6.5703125" bestFit="1" customWidth="1"/>
    <col min="14" max="14" width="6.85546875" bestFit="1" customWidth="1"/>
    <col min="15" max="15" width="10.7109375" bestFit="1" customWidth="1"/>
    <col min="16" max="16" width="18.5703125" customWidth="1"/>
    <col min="17" max="17" width="6.5703125" bestFit="1" customWidth="1"/>
    <col min="18" max="18" width="6.85546875" bestFit="1" customWidth="1"/>
    <col min="19" max="19" width="10.7109375" bestFit="1" customWidth="1"/>
    <col min="20" max="20" width="11" bestFit="1" customWidth="1"/>
    <col min="21" max="21" width="13.85546875" bestFit="1" customWidth="1"/>
    <col min="22" max="22" width="11.140625" bestFit="1" customWidth="1"/>
  </cols>
  <sheetData>
    <row r="1" spans="1:25" ht="15.75" x14ac:dyDescent="0.25">
      <c r="A1" s="15" t="s">
        <v>11</v>
      </c>
      <c r="B1" s="15"/>
      <c r="C1" s="15"/>
      <c r="D1" s="15"/>
      <c r="E1" s="15"/>
      <c r="F1" s="16"/>
      <c r="G1" s="17" t="s">
        <v>6</v>
      </c>
      <c r="H1" s="18"/>
      <c r="I1" s="18"/>
      <c r="J1" s="18"/>
      <c r="K1" s="18"/>
      <c r="L1" s="18"/>
      <c r="M1" s="25" t="s">
        <v>44</v>
      </c>
      <c r="N1" s="26"/>
      <c r="O1" s="26"/>
      <c r="P1" s="26"/>
      <c r="Q1" s="27" t="s">
        <v>13</v>
      </c>
      <c r="R1" s="27"/>
      <c r="S1" s="27"/>
      <c r="T1" s="30" t="s">
        <v>40</v>
      </c>
      <c r="U1" s="30"/>
      <c r="V1" s="30"/>
      <c r="W1" s="28"/>
      <c r="X1" s="28"/>
      <c r="Y1" s="28"/>
    </row>
    <row r="2" spans="1:25" ht="15.75" x14ac:dyDescent="0.25">
      <c r="A2" s="1" t="s">
        <v>34</v>
      </c>
      <c r="B2" s="1" t="s">
        <v>35</v>
      </c>
      <c r="C2" s="1" t="s">
        <v>36</v>
      </c>
      <c r="D2" s="1" t="s">
        <v>8</v>
      </c>
      <c r="E2" s="1" t="s">
        <v>9</v>
      </c>
      <c r="F2" s="1" t="s">
        <v>10</v>
      </c>
      <c r="G2" s="2" t="s">
        <v>3</v>
      </c>
      <c r="H2" s="1" t="s">
        <v>4</v>
      </c>
      <c r="I2" s="1" t="s">
        <v>5</v>
      </c>
      <c r="J2" s="1" t="s">
        <v>0</v>
      </c>
      <c r="K2" s="1" t="s">
        <v>1</v>
      </c>
      <c r="L2" s="1" t="s">
        <v>2</v>
      </c>
      <c r="M2" s="3" t="s">
        <v>34</v>
      </c>
      <c r="N2" s="1" t="s">
        <v>35</v>
      </c>
      <c r="O2" s="1" t="s">
        <v>36</v>
      </c>
      <c r="P2" s="2" t="s">
        <v>27</v>
      </c>
      <c r="Q2" s="3" t="s">
        <v>34</v>
      </c>
      <c r="R2" s="1" t="s">
        <v>35</v>
      </c>
      <c r="S2" s="1" t="s">
        <v>36</v>
      </c>
      <c r="T2" s="3" t="s">
        <v>34</v>
      </c>
      <c r="U2" s="1" t="s">
        <v>35</v>
      </c>
      <c r="V2" s="1" t="s">
        <v>36</v>
      </c>
      <c r="W2" s="29" t="s">
        <v>26</v>
      </c>
      <c r="X2" s="29"/>
      <c r="Y2" s="29"/>
    </row>
    <row r="3" spans="1:25" ht="15.75" x14ac:dyDescent="0.25">
      <c r="A3" s="5">
        <f>'Proximal Validation'!A3</f>
        <v>0.4</v>
      </c>
      <c r="B3" s="5">
        <f>'Proximal Validation'!B3</f>
        <v>0.06</v>
      </c>
      <c r="C3" s="5">
        <f>'Proximal Validation'!C3</f>
        <v>1.5707963267948966</v>
      </c>
      <c r="D3" s="5">
        <f>'Proximal Validation'!D3</f>
        <v>0</v>
      </c>
      <c r="E3" s="5">
        <f>'Proximal Validation'!E3</f>
        <v>0</v>
      </c>
      <c r="F3" s="5">
        <f>'Proximal Validation'!F3</f>
        <v>0</v>
      </c>
      <c r="G3" s="5">
        <f>'Proximal Validation'!G3</f>
        <v>4.2863236740231498E-4</v>
      </c>
      <c r="H3" s="5">
        <f>'Proximal Validation'!H3</f>
        <v>-6.0315418988466298E-2</v>
      </c>
      <c r="I3" s="5">
        <f>'Proximal Validation'!I3</f>
        <v>-2.55721563007683E-4</v>
      </c>
      <c r="J3" s="5">
        <f>'Proximal Validation'!J3</f>
        <v>-4.1011810302734403E-2</v>
      </c>
      <c r="K3" s="5">
        <f>'Proximal Validation'!K3</f>
        <v>7.4238330125808705E-4</v>
      </c>
      <c r="L3" s="5">
        <f>'Proximal Validation'!L3</f>
        <v>0.38065329194068898</v>
      </c>
      <c r="M3" s="5">
        <v>0.50342153551124347</v>
      </c>
      <c r="N3" s="5">
        <v>0.11421361314143058</v>
      </c>
      <c r="O3" s="5">
        <v>1.5794505339513802</v>
      </c>
      <c r="P3" s="11">
        <v>4.9441955031240322E-3</v>
      </c>
      <c r="Q3" s="5">
        <f>M3-A3</f>
        <v>0.10342153551124345</v>
      </c>
      <c r="R3" s="5">
        <f>N3-B3</f>
        <v>5.4213613141430583E-2</v>
      </c>
      <c r="S3" s="5">
        <f>O3-C3</f>
        <v>8.6542071564836842E-3</v>
      </c>
      <c r="T3" s="5">
        <f>ABS(Q3)</f>
        <v>0.10342153551124345</v>
      </c>
      <c r="U3" s="5">
        <f t="shared" ref="U3:V12" si="0">ABS(R3)</f>
        <v>5.4213613141430583E-2</v>
      </c>
      <c r="V3" s="5">
        <f t="shared" si="0"/>
        <v>8.6542071564836842E-3</v>
      </c>
      <c r="W3" s="1" t="s">
        <v>23</v>
      </c>
      <c r="X3" s="1" t="s">
        <v>24</v>
      </c>
      <c r="Y3" s="1" t="s">
        <v>25</v>
      </c>
    </row>
    <row r="4" spans="1:25" x14ac:dyDescent="0.25">
      <c r="A4" s="8">
        <f>'Proximal Validation'!A4</f>
        <v>0.8</v>
      </c>
      <c r="B4" s="8">
        <f>'Proximal Validation'!B4</f>
        <v>0.06</v>
      </c>
      <c r="C4" s="8">
        <f>'Proximal Validation'!C4</f>
        <v>1.5707963267948966</v>
      </c>
      <c r="D4" s="8">
        <f>'Proximal Validation'!D4</f>
        <v>0</v>
      </c>
      <c r="E4" s="8">
        <f>'Proximal Validation'!E4</f>
        <v>0</v>
      </c>
      <c r="F4" s="8">
        <f>'Proximal Validation'!F4</f>
        <v>0</v>
      </c>
      <c r="G4" s="8">
        <f>'Proximal Validation'!G4</f>
        <v>6.2025361694395499E-4</v>
      </c>
      <c r="H4" s="8">
        <f>'Proximal Validation'!H4</f>
        <v>-0.13314910233020799</v>
      </c>
      <c r="I4" s="8">
        <f>'Proximal Validation'!I4</f>
        <v>-2.3612950462847899E-4</v>
      </c>
      <c r="J4" s="8">
        <f>'Proximal Validation'!J4</f>
        <v>-0.197828054428101</v>
      </c>
      <c r="K4" s="8">
        <f>'Proximal Validation'!K4</f>
        <v>3.5987794399261501E-3</v>
      </c>
      <c r="L4" s="8">
        <f>'Proximal Validation'!L4</f>
        <v>0.83635294437408403</v>
      </c>
      <c r="M4" s="8">
        <v>0.84020607252719626</v>
      </c>
      <c r="N4" s="8">
        <v>6.7841102376618015E-2</v>
      </c>
      <c r="O4" s="8">
        <v>1.5840993856159868</v>
      </c>
      <c r="P4" s="12">
        <v>8.2990703402060877E-4</v>
      </c>
      <c r="Q4" s="5">
        <f t="shared" ref="Q4:S12" si="1">M4-A4</f>
        <v>4.0206072527196213E-2</v>
      </c>
      <c r="R4" s="5">
        <f t="shared" si="1"/>
        <v>7.8411023766180171E-3</v>
      </c>
      <c r="S4" s="5">
        <f t="shared" si="1"/>
        <v>1.3303058821090286E-2</v>
      </c>
      <c r="T4" s="5">
        <f t="shared" ref="T4:T12" si="2">ABS(Q4)</f>
        <v>4.0206072527196213E-2</v>
      </c>
      <c r="U4" s="5">
        <f t="shared" si="0"/>
        <v>7.8411023766180171E-3</v>
      </c>
      <c r="V4" s="5">
        <f t="shared" si="0"/>
        <v>1.3303058821090286E-2</v>
      </c>
      <c r="W4" s="6" cm="1">
        <f t="array" ref="W4">AVERAGE(ABS(Q3:Q12))</f>
        <v>0.1459908061141732</v>
      </c>
      <c r="X4" s="6" cm="1">
        <f t="array" ref="X4">AVERAGE(ABS(R3:R12))</f>
        <v>6.5569154119613809E-2</v>
      </c>
      <c r="Y4" s="6" cm="1">
        <f t="array" ref="Y4">AVERAGE(ABS(S3:S12))</f>
        <v>2.6800482825333472E-2</v>
      </c>
    </row>
    <row r="5" spans="1:25" x14ac:dyDescent="0.25">
      <c r="A5" s="5">
        <f>'Proximal Validation'!A5</f>
        <v>0.3</v>
      </c>
      <c r="B5" s="5">
        <f>'Proximal Validation'!B5</f>
        <v>0.08</v>
      </c>
      <c r="C5" s="5">
        <f>'Proximal Validation'!C5</f>
        <v>1.5707963267948966</v>
      </c>
      <c r="D5" s="5">
        <f>'Proximal Validation'!D5</f>
        <v>0</v>
      </c>
      <c r="E5" s="5">
        <f>'Proximal Validation'!E5</f>
        <v>0</v>
      </c>
      <c r="F5" s="5">
        <f>'Proximal Validation'!F5</f>
        <v>0</v>
      </c>
      <c r="G5" s="5">
        <f>'Proximal Validation'!G5</f>
        <v>1.679906854406E-4</v>
      </c>
      <c r="H5" s="5">
        <f>'Proximal Validation'!H5</f>
        <v>-4.5721895992755897E-2</v>
      </c>
      <c r="I5" s="5">
        <f>'Proximal Validation'!I5</f>
        <v>-3.8841026253067E-4</v>
      </c>
      <c r="J5" s="5">
        <f>'Proximal Validation'!J5</f>
        <v>-3.3596165478229502E-2</v>
      </c>
      <c r="K5" s="5">
        <f>'Proximal Validation'!K5</f>
        <v>-1.0348893702030199E-3</v>
      </c>
      <c r="L5" s="5">
        <f>'Proximal Validation'!L5</f>
        <v>0.25438803434371898</v>
      </c>
      <c r="M5" s="5">
        <v>0.30396010211973512</v>
      </c>
      <c r="N5" s="5">
        <v>0.14859361733692686</v>
      </c>
      <c r="O5" s="5">
        <v>1.5830559418520429</v>
      </c>
      <c r="P5" s="11">
        <v>5.1123127998891162E-4</v>
      </c>
      <c r="Q5" s="5">
        <f t="shared" si="1"/>
        <v>3.9601021197351316E-3</v>
      </c>
      <c r="R5" s="5">
        <f t="shared" si="1"/>
        <v>6.8593617336926857E-2</v>
      </c>
      <c r="S5" s="5">
        <f t="shared" si="1"/>
        <v>1.2259615057146345E-2</v>
      </c>
      <c r="T5" s="5">
        <f t="shared" si="2"/>
        <v>3.9601021197351316E-3</v>
      </c>
      <c r="U5" s="5">
        <f t="shared" si="0"/>
        <v>6.8593617336926857E-2</v>
      </c>
      <c r="V5" s="5">
        <f t="shared" si="0"/>
        <v>1.2259615057146345E-2</v>
      </c>
      <c r="W5" s="24"/>
      <c r="X5" s="24"/>
      <c r="Y5" s="24"/>
    </row>
    <row r="6" spans="1:25" x14ac:dyDescent="0.25">
      <c r="A6" s="5">
        <f>'Proximal Validation'!A6</f>
        <v>0.5</v>
      </c>
      <c r="B6" s="5">
        <f>'Proximal Validation'!B6</f>
        <v>0.1</v>
      </c>
      <c r="C6" s="5">
        <f>'Proximal Validation'!C6</f>
        <v>1.5707963267948966</v>
      </c>
      <c r="D6" s="5">
        <f>'Proximal Validation'!D6</f>
        <v>0</v>
      </c>
      <c r="E6" s="5">
        <f>'Proximal Validation'!E6</f>
        <v>0</v>
      </c>
      <c r="F6" s="5">
        <f>'Proximal Validation'!F6</f>
        <v>0</v>
      </c>
      <c r="G6" s="5">
        <f>'Proximal Validation'!G6</f>
        <v>3.3436843659728798E-4</v>
      </c>
      <c r="H6" s="5">
        <f>'Proximal Validation'!H6</f>
        <v>-9.1593101620674106E-2</v>
      </c>
      <c r="I6" s="5">
        <f>'Proximal Validation'!I6</f>
        <v>-1.09562510624528E-3</v>
      </c>
      <c r="J6" s="5">
        <f>'Proximal Validation'!J6</f>
        <v>-0.13726633787155201</v>
      </c>
      <c r="K6" s="5">
        <f>'Proximal Validation'!K6</f>
        <v>-2.9727667570114101E-3</v>
      </c>
      <c r="L6" s="5">
        <f>'Proximal Validation'!L6</f>
        <v>0.44673037528991699</v>
      </c>
      <c r="M6" s="5">
        <v>0.7256349919628069</v>
      </c>
      <c r="N6" s="5">
        <v>5.5441850556512018E-2</v>
      </c>
      <c r="O6" s="5">
        <v>1.5865824253474963</v>
      </c>
      <c r="P6" s="11">
        <v>1.0507663701958315E-3</v>
      </c>
      <c r="Q6" s="5">
        <f t="shared" si="1"/>
        <v>0.2256349919628069</v>
      </c>
      <c r="R6" s="5">
        <f t="shared" si="1"/>
        <v>-4.4558149443487988E-2</v>
      </c>
      <c r="S6" s="5">
        <f t="shared" si="1"/>
        <v>1.5786098552599714E-2</v>
      </c>
      <c r="T6" s="5">
        <f t="shared" si="2"/>
        <v>0.2256349919628069</v>
      </c>
      <c r="U6" s="5">
        <f t="shared" si="0"/>
        <v>4.4558149443487988E-2</v>
      </c>
      <c r="V6" s="5">
        <f t="shared" si="0"/>
        <v>1.5786098552599714E-2</v>
      </c>
    </row>
    <row r="7" spans="1:25" x14ac:dyDescent="0.25">
      <c r="A7" s="5">
        <f>'Proximal Validation'!A7</f>
        <v>0.7</v>
      </c>
      <c r="B7" s="5">
        <f>'Proximal Validation'!B7</f>
        <v>0.1</v>
      </c>
      <c r="C7" s="5">
        <f>'Proximal Validation'!C7</f>
        <v>1.5707963267948966</v>
      </c>
      <c r="D7" s="5">
        <f>'Proximal Validation'!D7</f>
        <v>0</v>
      </c>
      <c r="E7" s="5">
        <f>'Proximal Validation'!E7</f>
        <v>0</v>
      </c>
      <c r="F7" s="5">
        <f>'Proximal Validation'!F7</f>
        <v>0</v>
      </c>
      <c r="G7" s="5">
        <f>'Proximal Validation'!G7</f>
        <v>5.2663497626781498E-5</v>
      </c>
      <c r="H7" s="5">
        <f>'Proximal Validation'!H7</f>
        <v>-0.12548637390136699</v>
      </c>
      <c r="I7" s="5">
        <f>'Proximal Validation'!I7</f>
        <v>-9.7444711718708298E-4</v>
      </c>
      <c r="J7" s="5">
        <f>'Proximal Validation'!J7</f>
        <v>-0.25848296284675598</v>
      </c>
      <c r="K7" s="5">
        <f>'Proximal Validation'!K7</f>
        <v>6.1889737844467196E-4</v>
      </c>
      <c r="L7" s="5">
        <f>'Proximal Validation'!L7</f>
        <v>0.60252058506011996</v>
      </c>
      <c r="M7" s="5">
        <v>0.7645776551416299</v>
      </c>
      <c r="N7" s="5">
        <v>8.4992951791645635E-2</v>
      </c>
      <c r="O7" s="5">
        <v>1.5827879703789263</v>
      </c>
      <c r="P7" s="11">
        <v>1.1277324612643069E-3</v>
      </c>
      <c r="Q7" s="5">
        <f t="shared" si="1"/>
        <v>6.4577655141629942E-2</v>
      </c>
      <c r="R7" s="5">
        <f t="shared" si="1"/>
        <v>-1.500704820835437E-2</v>
      </c>
      <c r="S7" s="5">
        <f t="shared" si="1"/>
        <v>1.199164358402971E-2</v>
      </c>
      <c r="T7" s="5">
        <f t="shared" si="2"/>
        <v>6.4577655141629942E-2</v>
      </c>
      <c r="U7" s="5">
        <f t="shared" si="0"/>
        <v>1.500704820835437E-2</v>
      </c>
      <c r="V7" s="5">
        <f t="shared" si="0"/>
        <v>1.199164358402971E-2</v>
      </c>
    </row>
    <row r="8" spans="1:25" x14ac:dyDescent="0.25">
      <c r="A8" s="5">
        <f>'Proximal Validation'!A8</f>
        <v>0.4</v>
      </c>
      <c r="B8" s="5">
        <f>'Proximal Validation'!B8</f>
        <v>0.16</v>
      </c>
      <c r="C8" s="5">
        <f>'Proximal Validation'!C8</f>
        <v>1.5707963267948966</v>
      </c>
      <c r="D8" s="5">
        <f>'Proximal Validation'!D8</f>
        <v>0</v>
      </c>
      <c r="E8" s="5">
        <f>'Proximal Validation'!E8</f>
        <v>0</v>
      </c>
      <c r="F8" s="5">
        <f>'Proximal Validation'!F8</f>
        <v>0</v>
      </c>
      <c r="G8" s="5">
        <f>'Proximal Validation'!G8</f>
        <v>3.1168537680059699E-4</v>
      </c>
      <c r="H8" s="5">
        <f>'Proximal Validation'!H8</f>
        <v>-7.88237899541855E-2</v>
      </c>
      <c r="I8" s="5">
        <f>'Proximal Validation'!I8</f>
        <v>-1.01786095183343E-3</v>
      </c>
      <c r="J8" s="5">
        <f>'Proximal Validation'!J8</f>
        <v>-0.13838192820549</v>
      </c>
      <c r="K8" s="5">
        <f>'Proximal Validation'!K8</f>
        <v>-1.14574655890465E-3</v>
      </c>
      <c r="L8" s="5">
        <f>'Proximal Validation'!L8</f>
        <v>0.27298316359519997</v>
      </c>
      <c r="M8" s="5">
        <v>0.54316803031976313</v>
      </c>
      <c r="N8" s="5">
        <v>8.3679630672329017E-2</v>
      </c>
      <c r="O8" s="5">
        <v>1.5825540528726516</v>
      </c>
      <c r="P8" s="11">
        <v>1.4308456367854926E-2</v>
      </c>
      <c r="Q8" s="5">
        <f t="shared" si="1"/>
        <v>0.14316803031976311</v>
      </c>
      <c r="R8" s="5">
        <f t="shared" si="1"/>
        <v>-7.6320369327670987E-2</v>
      </c>
      <c r="S8" s="5">
        <f t="shared" si="1"/>
        <v>1.1757726077755049E-2</v>
      </c>
      <c r="T8" s="5">
        <f t="shared" si="2"/>
        <v>0.14316803031976311</v>
      </c>
      <c r="U8" s="5">
        <f t="shared" si="0"/>
        <v>7.6320369327670987E-2</v>
      </c>
      <c r="V8" s="5">
        <f t="shared" si="0"/>
        <v>1.1757726077755049E-2</v>
      </c>
    </row>
    <row r="9" spans="1:25" x14ac:dyDescent="0.25">
      <c r="A9" s="5">
        <f>'Proximal Validation'!A9</f>
        <v>0.6</v>
      </c>
      <c r="B9" s="5">
        <f>'Proximal Validation'!B9</f>
        <v>0.16</v>
      </c>
      <c r="C9" s="5">
        <f>'Proximal Validation'!C9</f>
        <v>1.5707963267948966</v>
      </c>
      <c r="D9" s="5">
        <f>'Proximal Validation'!D9</f>
        <v>0</v>
      </c>
      <c r="E9" s="5">
        <f>'Proximal Validation'!E9</f>
        <v>0</v>
      </c>
      <c r="F9" s="5">
        <f>'Proximal Validation'!F9</f>
        <v>0</v>
      </c>
      <c r="G9" s="5">
        <f>'Proximal Validation'!G9</f>
        <v>4.6556734014302498E-4</v>
      </c>
      <c r="H9" s="5">
        <f>'Proximal Validation'!H9</f>
        <v>-0.13455995917320299</v>
      </c>
      <c r="I9" s="5">
        <f>'Proximal Validation'!I9</f>
        <v>-1.54974625911564E-3</v>
      </c>
      <c r="J9" s="5">
        <f>'Proximal Validation'!J9</f>
        <v>-0.33463472127914401</v>
      </c>
      <c r="K9" s="5">
        <f>'Proximal Validation'!K9</f>
        <v>-5.6979432702064503E-4</v>
      </c>
      <c r="L9" s="5">
        <f>'Proximal Validation'!L9</f>
        <v>0.42998898029327398</v>
      </c>
      <c r="M9" s="5">
        <v>0.46742237901270622</v>
      </c>
      <c r="N9" s="5">
        <v>0.19999999999997309</v>
      </c>
      <c r="O9" s="5">
        <v>1.4552090752631279</v>
      </c>
      <c r="P9" s="11">
        <v>7.2814076949815745E-2</v>
      </c>
      <c r="Q9" s="5">
        <f t="shared" si="1"/>
        <v>-0.13257762098729375</v>
      </c>
      <c r="R9" s="5">
        <f t="shared" si="1"/>
        <v>3.9999999999973085E-2</v>
      </c>
      <c r="S9" s="5">
        <f t="shared" si="1"/>
        <v>-0.11558725153176863</v>
      </c>
      <c r="T9" s="5">
        <f t="shared" si="2"/>
        <v>0.13257762098729375</v>
      </c>
      <c r="U9" s="5">
        <f t="shared" si="0"/>
        <v>3.9999999999973085E-2</v>
      </c>
      <c r="V9" s="5">
        <f t="shared" si="0"/>
        <v>0.11558725153176863</v>
      </c>
      <c r="W9" s="7"/>
      <c r="X9" s="7"/>
      <c r="Y9" s="7"/>
    </row>
    <row r="10" spans="1:25" x14ac:dyDescent="0.25">
      <c r="A10" s="5">
        <f>'Proximal Validation'!A10</f>
        <v>0.8</v>
      </c>
      <c r="B10" s="5">
        <f>'Proximal Validation'!B10</f>
        <v>0.18</v>
      </c>
      <c r="C10" s="5">
        <f>'Proximal Validation'!C10</f>
        <v>1.5707963267948966</v>
      </c>
      <c r="D10" s="5">
        <f>'Proximal Validation'!D10</f>
        <v>0</v>
      </c>
      <c r="E10" s="5">
        <f>'Proximal Validation'!E10</f>
        <v>0</v>
      </c>
      <c r="F10" s="5">
        <f>'Proximal Validation'!F10</f>
        <v>0</v>
      </c>
      <c r="G10" s="5">
        <f>'Proximal Validation'!G10</f>
        <v>1.2284044642001399E-3</v>
      </c>
      <c r="H10" s="5">
        <f>'Proximal Validation'!H10</f>
        <v>-0.113915167748928</v>
      </c>
      <c r="I10" s="5">
        <f>'Proximal Validation'!I10</f>
        <v>-2.0511765033006698E-3</v>
      </c>
      <c r="J10" s="5">
        <f>'Proximal Validation'!J10</f>
        <v>-0.53618127107620195</v>
      </c>
      <c r="K10" s="5">
        <f>'Proximal Validation'!K10</f>
        <v>-3.6365408450365101E-3</v>
      </c>
      <c r="L10" s="5">
        <f>'Proximal Validation'!L10</f>
        <v>0.105719238519669</v>
      </c>
      <c r="M10" s="5">
        <v>0.98156668742846886</v>
      </c>
      <c r="N10" s="5">
        <v>0.10087230084006786</v>
      </c>
      <c r="O10" s="5">
        <v>1.5922925899676335</v>
      </c>
      <c r="P10" s="11">
        <v>1.0861503878995622E-3</v>
      </c>
      <c r="Q10" s="5">
        <f t="shared" si="1"/>
        <v>0.18156668742846882</v>
      </c>
      <c r="R10" s="5">
        <f t="shared" si="1"/>
        <v>-7.9127699159932133E-2</v>
      </c>
      <c r="S10" s="5">
        <f t="shared" si="1"/>
        <v>2.1496263172736896E-2</v>
      </c>
      <c r="T10" s="5">
        <f t="shared" si="2"/>
        <v>0.18156668742846882</v>
      </c>
      <c r="U10" s="5">
        <f t="shared" si="0"/>
        <v>7.9127699159932133E-2</v>
      </c>
      <c r="V10" s="5">
        <f t="shared" si="0"/>
        <v>2.1496263172736896E-2</v>
      </c>
    </row>
    <row r="11" spans="1:25" x14ac:dyDescent="0.25">
      <c r="A11" s="5">
        <f>'Proximal Validation'!A11</f>
        <v>0.3</v>
      </c>
      <c r="B11" s="5">
        <f>'Proximal Validation'!B11</f>
        <v>0.2</v>
      </c>
      <c r="C11" s="5">
        <f>'Proximal Validation'!C11</f>
        <v>1.5707963267948966</v>
      </c>
      <c r="D11" s="5">
        <f>'Proximal Validation'!D11</f>
        <v>0</v>
      </c>
      <c r="E11" s="5">
        <f>'Proximal Validation'!E11</f>
        <v>0</v>
      </c>
      <c r="F11" s="5">
        <f>'Proximal Validation'!F11</f>
        <v>0</v>
      </c>
      <c r="G11" s="5">
        <f>'Proximal Validation'!G11</f>
        <v>-9.6103904070332606E-5</v>
      </c>
      <c r="H11" s="5">
        <f>'Proximal Validation'!H11</f>
        <v>-5.9686940163373899E-2</v>
      </c>
      <c r="I11" s="5">
        <f>'Proximal Validation'!I11</f>
        <v>-6.3943007262423602E-4</v>
      </c>
      <c r="J11" s="5">
        <f>'Proximal Validation'!J11</f>
        <v>-7.6781243085861206E-2</v>
      </c>
      <c r="K11" s="5">
        <f>'Proximal Validation'!K11</f>
        <v>-1.8407814204692799E-3</v>
      </c>
      <c r="L11" s="5">
        <f>'Proximal Validation'!L11</f>
        <v>0.17655885219574</v>
      </c>
      <c r="M11" s="5">
        <v>0.56479536526273311</v>
      </c>
      <c r="N11" s="5">
        <v>5.1739799021021993E-2</v>
      </c>
      <c r="O11" s="5">
        <v>1.5763556921325828</v>
      </c>
      <c r="P11" s="11">
        <v>3.3916200206526519E-2</v>
      </c>
      <c r="Q11" s="5">
        <f t="shared" si="1"/>
        <v>0.26479536526273312</v>
      </c>
      <c r="R11" s="5">
        <f t="shared" si="1"/>
        <v>-0.14826020097897802</v>
      </c>
      <c r="S11" s="5">
        <f t="shared" si="1"/>
        <v>5.5593653376861951E-3</v>
      </c>
      <c r="T11" s="5">
        <f t="shared" si="2"/>
        <v>0.26479536526273312</v>
      </c>
      <c r="U11" s="5">
        <f t="shared" si="0"/>
        <v>0.14826020097897802</v>
      </c>
      <c r="V11" s="5">
        <f t="shared" si="0"/>
        <v>5.5593653376861951E-3</v>
      </c>
      <c r="W11" s="7"/>
      <c r="X11" s="7"/>
      <c r="Y11" s="7"/>
    </row>
    <row r="12" spans="1:25" x14ac:dyDescent="0.25">
      <c r="A12" s="5">
        <f>'Proximal Validation'!A12</f>
        <v>0.7</v>
      </c>
      <c r="B12" s="5">
        <f>'Proximal Validation'!B12</f>
        <v>0.2</v>
      </c>
      <c r="C12" s="5">
        <f>'Proximal Validation'!C12</f>
        <v>1.5707963267948966</v>
      </c>
      <c r="D12" s="5">
        <f>'Proximal Validation'!D12</f>
        <v>0</v>
      </c>
      <c r="E12" s="5">
        <f>'Proximal Validation'!E12</f>
        <v>0</v>
      </c>
      <c r="F12" s="5">
        <f>'Proximal Validation'!F12</f>
        <v>0</v>
      </c>
      <c r="G12" s="5">
        <f>'Proximal Validation'!G12</f>
        <v>6.8014755379408598E-4</v>
      </c>
      <c r="H12" s="5">
        <f>'Proximal Validation'!H12</f>
        <v>-8.2236602902412401E-2</v>
      </c>
      <c r="I12" s="5">
        <f>'Proximal Validation'!I12</f>
        <v>-2.0893728360533701E-3</v>
      </c>
      <c r="J12" s="5">
        <f>'Proximal Validation'!J12</f>
        <v>-0.387284815311432</v>
      </c>
      <c r="K12" s="5">
        <f>'Proximal Validation'!K12</f>
        <v>-7.8587606549263E-4</v>
      </c>
      <c r="L12" s="5">
        <f>'Proximal Validation'!L12</f>
        <v>3.3172652125358602E-2</v>
      </c>
      <c r="M12" s="5">
        <v>0.9999999998808613</v>
      </c>
      <c r="N12" s="5">
        <v>7.8230258777234038E-2</v>
      </c>
      <c r="O12" s="5">
        <v>1.6224059257569348</v>
      </c>
      <c r="P12" s="11">
        <v>9.8170271631928818E-3</v>
      </c>
      <c r="Q12" s="5">
        <f t="shared" si="1"/>
        <v>0.29999999988086135</v>
      </c>
      <c r="R12" s="5">
        <f t="shared" si="1"/>
        <v>-0.12176974122276597</v>
      </c>
      <c r="S12" s="5">
        <f t="shared" si="1"/>
        <v>5.1609598962038206E-2</v>
      </c>
      <c r="T12" s="5">
        <f t="shared" si="2"/>
        <v>0.29999999988086135</v>
      </c>
      <c r="U12" s="5">
        <f t="shared" si="0"/>
        <v>0.12176974122276597</v>
      </c>
      <c r="V12" s="5">
        <f t="shared" si="0"/>
        <v>5.1609598962038206E-2</v>
      </c>
    </row>
    <row r="13" spans="1:25" ht="15.75" x14ac:dyDescent="0.25">
      <c r="M13" s="25" t="s">
        <v>45</v>
      </c>
      <c r="N13" s="26"/>
      <c r="O13" s="26"/>
      <c r="P13" s="26"/>
      <c r="Q13" s="27" t="s">
        <v>13</v>
      </c>
      <c r="R13" s="27"/>
      <c r="S13" s="27"/>
      <c r="T13" s="30" t="s">
        <v>40</v>
      </c>
      <c r="U13" s="30"/>
      <c r="V13" s="30"/>
      <c r="W13" s="28"/>
      <c r="X13" s="28"/>
      <c r="Y13" s="28"/>
    </row>
    <row r="14" spans="1:25" ht="15.75" x14ac:dyDescent="0.25">
      <c r="A14" s="31" t="s">
        <v>31</v>
      </c>
      <c r="B14" s="32"/>
      <c r="C14" s="33"/>
      <c r="M14" s="3" t="s">
        <v>34</v>
      </c>
      <c r="N14" s="1" t="s">
        <v>35</v>
      </c>
      <c r="O14" s="1" t="s">
        <v>36</v>
      </c>
      <c r="P14" s="2" t="s">
        <v>27</v>
      </c>
      <c r="Q14" s="3" t="s">
        <v>34</v>
      </c>
      <c r="R14" s="1" t="s">
        <v>35</v>
      </c>
      <c r="S14" s="1" t="s">
        <v>36</v>
      </c>
      <c r="T14" s="3" t="s">
        <v>34</v>
      </c>
      <c r="U14" s="1" t="s">
        <v>35</v>
      </c>
      <c r="V14" s="1" t="s">
        <v>36</v>
      </c>
      <c r="W14" s="29" t="s">
        <v>26</v>
      </c>
      <c r="X14" s="29"/>
      <c r="Y14" s="29"/>
    </row>
    <row r="15" spans="1:25" ht="15.75" x14ac:dyDescent="0.25">
      <c r="A15">
        <v>1.5</v>
      </c>
      <c r="B15">
        <v>0</v>
      </c>
      <c r="C15">
        <v>0</v>
      </c>
      <c r="M15" s="5"/>
      <c r="N15" s="5"/>
      <c r="O15" s="5"/>
      <c r="P15" s="11"/>
      <c r="Q15" s="5">
        <f>M15-A3</f>
        <v>-0.4</v>
      </c>
      <c r="R15" s="5">
        <f t="shared" ref="R15:S15" si="3">N15-B3</f>
        <v>-0.06</v>
      </c>
      <c r="S15" s="5">
        <f t="shared" si="3"/>
        <v>-1.5707963267948966</v>
      </c>
      <c r="T15" s="5">
        <f>ABS(Q15)</f>
        <v>0.4</v>
      </c>
      <c r="U15" s="5">
        <f t="shared" ref="U15:U24" si="4">ABS(R15)</f>
        <v>0.06</v>
      </c>
      <c r="V15" s="5">
        <f t="shared" ref="V15:V24" si="5">ABS(S15)</f>
        <v>1.5707963267948966</v>
      </c>
      <c r="W15" s="1" t="s">
        <v>23</v>
      </c>
      <c r="X15" s="1" t="s">
        <v>24</v>
      </c>
      <c r="Y15" s="1" t="s">
        <v>25</v>
      </c>
    </row>
    <row r="16" spans="1:25" x14ac:dyDescent="0.25">
      <c r="A16">
        <v>0</v>
      </c>
      <c r="B16">
        <v>1.5</v>
      </c>
      <c r="C16">
        <v>0</v>
      </c>
      <c r="M16" s="8"/>
      <c r="N16" s="8"/>
      <c r="O16" s="8"/>
      <c r="P16" s="12"/>
      <c r="Q16" s="5">
        <f t="shared" ref="Q16:Q24" si="6">M16-A4</f>
        <v>-0.8</v>
      </c>
      <c r="R16" s="5">
        <f t="shared" ref="R16:R24" si="7">N16-B4</f>
        <v>-0.06</v>
      </c>
      <c r="S16" s="5">
        <f t="shared" ref="S16:S24" si="8">O16-C4</f>
        <v>-1.5707963267948966</v>
      </c>
      <c r="T16" s="5">
        <f t="shared" ref="T16:T24" si="9">ABS(Q16)</f>
        <v>0.8</v>
      </c>
      <c r="U16" s="5">
        <f t="shared" si="4"/>
        <v>0.06</v>
      </c>
      <c r="V16" s="5">
        <f t="shared" si="5"/>
        <v>1.5707963267948966</v>
      </c>
      <c r="W16" s="6" cm="1">
        <f t="array" ref="W16">AVERAGE(ABS(Q19:Q24))</f>
        <v>0.58333333333333337</v>
      </c>
      <c r="X16" s="6" cm="1">
        <f t="array" ref="X16">AVERAGE(ABS(R19:R24))</f>
        <v>0.16666666666666666</v>
      </c>
      <c r="Y16" s="6" cm="1">
        <f t="array" ref="Y16">AVERAGE(ABS(S19:S24))</f>
        <v>1.5707963267948966</v>
      </c>
    </row>
    <row r="17" spans="1:25" x14ac:dyDescent="0.25">
      <c r="A17">
        <v>0</v>
      </c>
      <c r="B17">
        <v>0</v>
      </c>
      <c r="C17">
        <v>1.5</v>
      </c>
      <c r="M17" s="5"/>
      <c r="N17" s="5"/>
      <c r="O17" s="5"/>
      <c r="P17" s="11"/>
      <c r="Q17" s="5">
        <f t="shared" si="6"/>
        <v>-0.3</v>
      </c>
      <c r="R17" s="5">
        <f t="shared" si="7"/>
        <v>-0.08</v>
      </c>
      <c r="S17" s="5">
        <f t="shared" si="8"/>
        <v>-1.5707963267948966</v>
      </c>
      <c r="T17" s="5">
        <f t="shared" si="9"/>
        <v>0.3</v>
      </c>
      <c r="U17" s="5">
        <f t="shared" si="4"/>
        <v>0.08</v>
      </c>
      <c r="V17" s="5">
        <f t="shared" si="5"/>
        <v>1.5707963267948966</v>
      </c>
      <c r="W17" s="24"/>
      <c r="X17" s="24"/>
      <c r="Y17" s="24"/>
    </row>
    <row r="18" spans="1:25" x14ac:dyDescent="0.25">
      <c r="M18" s="5"/>
      <c r="N18" s="5"/>
      <c r="O18" s="5"/>
      <c r="P18" s="11"/>
      <c r="Q18" s="5">
        <f t="shared" si="6"/>
        <v>-0.5</v>
      </c>
      <c r="R18" s="5">
        <f t="shared" si="7"/>
        <v>-0.1</v>
      </c>
      <c r="S18" s="5">
        <f t="shared" si="8"/>
        <v>-1.5707963267948966</v>
      </c>
      <c r="T18" s="5">
        <f t="shared" si="9"/>
        <v>0.5</v>
      </c>
      <c r="U18" s="5">
        <f t="shared" si="4"/>
        <v>0.1</v>
      </c>
      <c r="V18" s="5">
        <f t="shared" si="5"/>
        <v>1.5707963267948966</v>
      </c>
    </row>
    <row r="19" spans="1:25" ht="15.75" thickBot="1" x14ac:dyDescent="0.3">
      <c r="M19" s="5"/>
      <c r="N19" s="5"/>
      <c r="O19" s="5"/>
      <c r="P19" s="11"/>
      <c r="Q19" s="5">
        <f t="shared" si="6"/>
        <v>-0.7</v>
      </c>
      <c r="R19" s="5">
        <f t="shared" si="7"/>
        <v>-0.1</v>
      </c>
      <c r="S19" s="5">
        <f t="shared" si="8"/>
        <v>-1.5707963267948966</v>
      </c>
      <c r="T19" s="5">
        <f t="shared" si="9"/>
        <v>0.7</v>
      </c>
      <c r="U19" s="5">
        <f t="shared" si="4"/>
        <v>0.1</v>
      </c>
      <c r="V19" s="5">
        <f t="shared" si="5"/>
        <v>1.5707963267948966</v>
      </c>
    </row>
    <row r="20" spans="1:25" ht="15.75" x14ac:dyDescent="0.25">
      <c r="C20" s="1" t="s">
        <v>33</v>
      </c>
      <c r="D20" s="1" t="s">
        <v>8</v>
      </c>
      <c r="E20" s="1" t="s">
        <v>9</v>
      </c>
      <c r="F20" s="1" t="s">
        <v>10</v>
      </c>
      <c r="G20" s="17" t="s">
        <v>32</v>
      </c>
      <c r="H20" s="18"/>
      <c r="I20" s="18"/>
      <c r="J20" s="18"/>
      <c r="K20" s="18"/>
      <c r="L20" s="18"/>
      <c r="M20" s="5"/>
      <c r="N20" s="5"/>
      <c r="O20" s="5"/>
      <c r="P20" s="11"/>
      <c r="Q20" s="5">
        <f t="shared" si="6"/>
        <v>-0.4</v>
      </c>
      <c r="R20" s="5">
        <f t="shared" si="7"/>
        <v>-0.16</v>
      </c>
      <c r="S20" s="5">
        <f t="shared" si="8"/>
        <v>-1.5707963267948966</v>
      </c>
      <c r="T20" s="5">
        <f t="shared" si="9"/>
        <v>0.4</v>
      </c>
      <c r="U20" s="5">
        <f t="shared" si="4"/>
        <v>0.16</v>
      </c>
      <c r="V20" s="5">
        <f t="shared" si="5"/>
        <v>1.5707963267948966</v>
      </c>
    </row>
    <row r="21" spans="1:25" x14ac:dyDescent="0.25">
      <c r="C21" s="10">
        <v>1</v>
      </c>
      <c r="D21" s="5">
        <f t="shared" ref="D21:L21" si="10">D3</f>
        <v>0</v>
      </c>
      <c r="E21" s="5">
        <f t="shared" si="10"/>
        <v>0</v>
      </c>
      <c r="F21" s="5">
        <f t="shared" si="10"/>
        <v>0</v>
      </c>
      <c r="G21" s="5">
        <f t="shared" si="10"/>
        <v>4.2863236740231498E-4</v>
      </c>
      <c r="H21" s="5">
        <f t="shared" si="10"/>
        <v>-6.0315418988466298E-2</v>
      </c>
      <c r="I21" s="5">
        <f t="shared" si="10"/>
        <v>-2.55721563007683E-4</v>
      </c>
      <c r="J21" s="5">
        <f t="shared" si="10"/>
        <v>-4.1011810302734403E-2</v>
      </c>
      <c r="K21" s="5">
        <f t="shared" si="10"/>
        <v>7.4238330125808705E-4</v>
      </c>
      <c r="L21" s="5">
        <f t="shared" si="10"/>
        <v>0.38065329194068898</v>
      </c>
      <c r="M21" s="5"/>
      <c r="N21" s="5"/>
      <c r="O21" s="5"/>
      <c r="P21" s="11"/>
      <c r="Q21" s="5">
        <f t="shared" si="6"/>
        <v>-0.6</v>
      </c>
      <c r="R21" s="5">
        <f t="shared" si="7"/>
        <v>-0.16</v>
      </c>
      <c r="S21" s="5">
        <f t="shared" si="8"/>
        <v>-1.5707963267948966</v>
      </c>
      <c r="T21" s="5">
        <f t="shared" si="9"/>
        <v>0.6</v>
      </c>
      <c r="U21" s="5">
        <f t="shared" si="4"/>
        <v>0.16</v>
      </c>
      <c r="V21" s="5">
        <f t="shared" si="5"/>
        <v>1.5707963267948966</v>
      </c>
      <c r="W21" s="7"/>
      <c r="X21" s="7"/>
      <c r="Y21" s="7"/>
    </row>
    <row r="22" spans="1:25" x14ac:dyDescent="0.25">
      <c r="C22" s="10">
        <v>1</v>
      </c>
      <c r="D22" s="5">
        <v>1.5</v>
      </c>
      <c r="E22" s="5">
        <v>0</v>
      </c>
      <c r="F22" s="5">
        <v>0</v>
      </c>
      <c r="G22" s="5">
        <v>1.6412667464464901E-3</v>
      </c>
      <c r="H22" s="5">
        <v>-3.9588782936334603E-2</v>
      </c>
      <c r="I22" s="5">
        <v>-3.4840038279071499E-4</v>
      </c>
      <c r="J22" s="5">
        <v>-5.9798043221235301E-3</v>
      </c>
      <c r="K22" s="5">
        <v>-3.2678022980689998E-3</v>
      </c>
      <c r="L22" s="5">
        <v>0.25482219457626298</v>
      </c>
      <c r="M22" s="5"/>
      <c r="N22" s="5"/>
      <c r="O22" s="5"/>
      <c r="P22" s="11"/>
      <c r="Q22" s="5">
        <f t="shared" si="6"/>
        <v>-0.8</v>
      </c>
      <c r="R22" s="5">
        <f t="shared" si="7"/>
        <v>-0.18</v>
      </c>
      <c r="S22" s="5">
        <f t="shared" si="8"/>
        <v>-1.5707963267948966</v>
      </c>
      <c r="T22" s="5">
        <f t="shared" si="9"/>
        <v>0.8</v>
      </c>
      <c r="U22" s="5">
        <f t="shared" si="4"/>
        <v>0.18</v>
      </c>
      <c r="V22" s="5">
        <f t="shared" si="5"/>
        <v>1.5707963267948966</v>
      </c>
    </row>
    <row r="23" spans="1:25" x14ac:dyDescent="0.25">
      <c r="C23" s="10">
        <v>1</v>
      </c>
      <c r="D23" s="5">
        <v>0</v>
      </c>
      <c r="E23" s="5">
        <v>1.5</v>
      </c>
      <c r="F23" s="5">
        <v>0</v>
      </c>
      <c r="G23" s="5">
        <v>-2.15473119169474E-4</v>
      </c>
      <c r="H23" s="5">
        <v>-3.8401622325182003E-2</v>
      </c>
      <c r="I23" s="5">
        <v>-1.08311098301783E-4</v>
      </c>
      <c r="J23" s="5">
        <v>-4.2969081550836601E-4</v>
      </c>
      <c r="K23" s="5">
        <v>8.1410966813564301E-3</v>
      </c>
      <c r="L23" s="5">
        <v>0.24731409549713099</v>
      </c>
      <c r="M23" s="5"/>
      <c r="N23" s="5"/>
      <c r="O23" s="5"/>
      <c r="P23" s="11"/>
      <c r="Q23" s="5">
        <f t="shared" si="6"/>
        <v>-0.3</v>
      </c>
      <c r="R23" s="5">
        <f t="shared" si="7"/>
        <v>-0.2</v>
      </c>
      <c r="S23" s="5">
        <f t="shared" si="8"/>
        <v>-1.5707963267948966</v>
      </c>
      <c r="T23" s="5">
        <f t="shared" si="9"/>
        <v>0.3</v>
      </c>
      <c r="U23" s="5">
        <f t="shared" si="4"/>
        <v>0.2</v>
      </c>
      <c r="V23" s="5">
        <f t="shared" si="5"/>
        <v>1.5707963267948966</v>
      </c>
      <c r="W23" s="7"/>
      <c r="X23" s="7"/>
      <c r="Y23" s="7"/>
    </row>
    <row r="24" spans="1:25" x14ac:dyDescent="0.25">
      <c r="C24" s="10">
        <v>1</v>
      </c>
      <c r="D24" s="5">
        <v>0</v>
      </c>
      <c r="E24" s="5">
        <v>0</v>
      </c>
      <c r="F24" s="5">
        <v>1.5</v>
      </c>
      <c r="G24" s="5">
        <v>9.6457567997276805E-4</v>
      </c>
      <c r="H24" s="5">
        <v>-8.1467948853969602E-2</v>
      </c>
      <c r="I24" s="5">
        <v>-3.9827194996178199E-4</v>
      </c>
      <c r="J24" s="5">
        <v>-3.4821972250938402E-2</v>
      </c>
      <c r="K24" s="5">
        <v>3.8996785879135101E-3</v>
      </c>
      <c r="L24" s="5">
        <v>0.52454042434692405</v>
      </c>
      <c r="M24" s="5"/>
      <c r="N24" s="5"/>
      <c r="O24" s="5"/>
      <c r="P24" s="11"/>
      <c r="Q24" s="5">
        <f t="shared" si="6"/>
        <v>-0.7</v>
      </c>
      <c r="R24" s="5">
        <f t="shared" si="7"/>
        <v>-0.2</v>
      </c>
      <c r="S24" s="5">
        <f t="shared" si="8"/>
        <v>-1.5707963267948966</v>
      </c>
      <c r="T24" s="5">
        <f t="shared" si="9"/>
        <v>0.7</v>
      </c>
      <c r="U24" s="5">
        <f t="shared" si="4"/>
        <v>0.2</v>
      </c>
      <c r="V24" s="5">
        <f t="shared" si="5"/>
        <v>1.5707963267948966</v>
      </c>
    </row>
    <row r="25" spans="1:25" ht="15.75" x14ac:dyDescent="0.25">
      <c r="C25" s="10">
        <v>2</v>
      </c>
      <c r="D25" s="5">
        <v>0</v>
      </c>
      <c r="E25" s="5">
        <v>0</v>
      </c>
      <c r="F25" s="5">
        <v>0</v>
      </c>
      <c r="G25" s="5">
        <f>G4</f>
        <v>6.2025361694395499E-4</v>
      </c>
      <c r="H25" s="5">
        <f t="shared" ref="H25:L25" si="11">H4</f>
        <v>-0.13314910233020799</v>
      </c>
      <c r="I25" s="5">
        <f t="shared" si="11"/>
        <v>-2.3612950462847899E-4</v>
      </c>
      <c r="J25" s="5">
        <f t="shared" si="11"/>
        <v>-0.197828054428101</v>
      </c>
      <c r="K25" s="5">
        <f t="shared" si="11"/>
        <v>3.5987794399261501E-3</v>
      </c>
      <c r="L25" s="5">
        <f t="shared" si="11"/>
        <v>0.83635294437408403</v>
      </c>
      <c r="M25" s="25" t="s">
        <v>46</v>
      </c>
      <c r="N25" s="26"/>
      <c r="O25" s="26"/>
      <c r="P25" s="26"/>
      <c r="Q25" s="27" t="s">
        <v>13</v>
      </c>
      <c r="R25" s="27"/>
      <c r="S25" s="27"/>
      <c r="T25" s="30" t="s">
        <v>40</v>
      </c>
      <c r="U25" s="30"/>
      <c r="V25" s="30"/>
      <c r="W25" s="28"/>
      <c r="X25" s="28"/>
      <c r="Y25" s="28"/>
    </row>
    <row r="26" spans="1:25" ht="15.75" x14ac:dyDescent="0.25">
      <c r="C26" s="10">
        <v>2</v>
      </c>
      <c r="D26" s="5">
        <v>1.5</v>
      </c>
      <c r="E26" s="5">
        <v>0</v>
      </c>
      <c r="F26" s="5">
        <v>0</v>
      </c>
      <c r="G26" s="5">
        <v>3.0786544084548998E-3</v>
      </c>
      <c r="H26" s="5">
        <v>-0.11442683637142199</v>
      </c>
      <c r="I26" s="5">
        <v>-1.2956497957929999E-3</v>
      </c>
      <c r="J26" s="5">
        <v>-0.159542337059975</v>
      </c>
      <c r="K26" s="5">
        <v>-1.09155625104904E-2</v>
      </c>
      <c r="L26" s="5">
        <v>0.72994768619537398</v>
      </c>
      <c r="M26" s="3" t="s">
        <v>34</v>
      </c>
      <c r="N26" s="1" t="s">
        <v>35</v>
      </c>
      <c r="O26" s="1" t="s">
        <v>36</v>
      </c>
      <c r="P26" s="2" t="s">
        <v>27</v>
      </c>
      <c r="Q26" s="3" t="s">
        <v>34</v>
      </c>
      <c r="R26" s="1" t="s">
        <v>35</v>
      </c>
      <c r="S26" s="1" t="s">
        <v>36</v>
      </c>
      <c r="T26" s="3" t="s">
        <v>34</v>
      </c>
      <c r="U26" s="1" t="s">
        <v>35</v>
      </c>
      <c r="V26" s="1" t="s">
        <v>36</v>
      </c>
      <c r="W26" s="29" t="s">
        <v>26</v>
      </c>
      <c r="X26" s="29"/>
      <c r="Y26" s="29"/>
    </row>
    <row r="27" spans="1:25" ht="15.75" x14ac:dyDescent="0.25">
      <c r="C27" s="10">
        <v>2</v>
      </c>
      <c r="D27" s="5">
        <v>0</v>
      </c>
      <c r="E27" s="5">
        <v>1.5</v>
      </c>
      <c r="F27" s="5">
        <v>0</v>
      </c>
      <c r="G27" s="5">
        <v>-1.9559690263122298E-3</v>
      </c>
      <c r="H27" s="5">
        <v>-0.112859226763248</v>
      </c>
      <c r="I27" s="5">
        <v>1.1151042999699701E-3</v>
      </c>
      <c r="J27" s="5">
        <v>-0.146312341094017</v>
      </c>
      <c r="K27" s="5">
        <v>1.99707970023155E-2</v>
      </c>
      <c r="L27" s="5">
        <v>0.72010242938995395</v>
      </c>
      <c r="M27" s="5"/>
      <c r="N27" s="5"/>
      <c r="O27" s="5"/>
      <c r="P27" s="11"/>
      <c r="Q27" s="5">
        <f>M27-A3</f>
        <v>-0.4</v>
      </c>
      <c r="R27" s="5">
        <f t="shared" ref="R27:S27" si="12">N27-B3</f>
        <v>-0.06</v>
      </c>
      <c r="S27" s="5">
        <f t="shared" si="12"/>
        <v>-1.5707963267948966</v>
      </c>
      <c r="T27" s="5">
        <f>ABS(Q27)</f>
        <v>0.4</v>
      </c>
      <c r="U27" s="5">
        <f t="shared" ref="U27:U36" si="13">ABS(R27)</f>
        <v>0.06</v>
      </c>
      <c r="V27" s="5">
        <f t="shared" ref="V27:V36" si="14">ABS(S27)</f>
        <v>1.5707963267948966</v>
      </c>
      <c r="W27" s="1" t="s">
        <v>23</v>
      </c>
      <c r="X27" s="1" t="s">
        <v>24</v>
      </c>
      <c r="Y27" s="1" t="s">
        <v>25</v>
      </c>
    </row>
    <row r="28" spans="1:25" x14ac:dyDescent="0.25">
      <c r="C28" s="10">
        <v>2</v>
      </c>
      <c r="D28" s="5">
        <v>0</v>
      </c>
      <c r="E28" s="5">
        <v>0</v>
      </c>
      <c r="F28" s="5">
        <v>1.5</v>
      </c>
      <c r="G28" s="5">
        <v>8.51176679134369E-4</v>
      </c>
      <c r="H28" s="5">
        <v>-0.145732522010803</v>
      </c>
      <c r="I28" s="5">
        <v>-2.5534653104841698E-4</v>
      </c>
      <c r="J28" s="5">
        <v>-0.19965955615043601</v>
      </c>
      <c r="K28" s="5">
        <v>5.21017611026764E-3</v>
      </c>
      <c r="L28" s="5">
        <v>0.92426776885986295</v>
      </c>
      <c r="M28" s="8"/>
      <c r="N28" s="8"/>
      <c r="O28" s="8"/>
      <c r="P28" s="12"/>
      <c r="Q28" s="5">
        <f t="shared" ref="Q28:Q36" si="15">M28-A4</f>
        <v>-0.8</v>
      </c>
      <c r="R28" s="5">
        <f t="shared" ref="R28:R36" si="16">N28-B4</f>
        <v>-0.06</v>
      </c>
      <c r="S28" s="5">
        <f t="shared" ref="S28:S36" si="17">O28-C4</f>
        <v>-1.5707963267948966</v>
      </c>
      <c r="T28" s="5">
        <f t="shared" ref="T28:T36" si="18">ABS(Q28)</f>
        <v>0.8</v>
      </c>
      <c r="U28" s="5">
        <f t="shared" si="13"/>
        <v>0.06</v>
      </c>
      <c r="V28" s="5">
        <f t="shared" si="14"/>
        <v>1.5707963267948966</v>
      </c>
      <c r="W28" s="6" cm="1">
        <f t="array" ref="W28">AVERAGE(ABS(Q31:Q36))</f>
        <v>0.58333333333333337</v>
      </c>
      <c r="X28" s="6" cm="1">
        <f t="array" ref="X28">AVERAGE(ABS(R31:R36))</f>
        <v>0.16666666666666666</v>
      </c>
      <c r="Y28" s="6" cm="1">
        <f t="array" ref="Y28">AVERAGE(ABS(S31:S36))</f>
        <v>1.5707963267948966</v>
      </c>
    </row>
    <row r="29" spans="1:25" x14ac:dyDescent="0.25">
      <c r="C29" s="10">
        <v>3</v>
      </c>
      <c r="D29" s="5">
        <v>0</v>
      </c>
      <c r="E29" s="5">
        <v>0</v>
      </c>
      <c r="F29" s="5">
        <v>0</v>
      </c>
      <c r="G29" s="5">
        <f>G5</f>
        <v>1.679906854406E-4</v>
      </c>
      <c r="H29" s="5">
        <f t="shared" ref="H29:L29" si="19">H5</f>
        <v>-4.5721895992755897E-2</v>
      </c>
      <c r="I29" s="5">
        <f t="shared" si="19"/>
        <v>-3.8841026253067E-4</v>
      </c>
      <c r="J29" s="5">
        <f t="shared" si="19"/>
        <v>-3.3596165478229502E-2</v>
      </c>
      <c r="K29" s="5">
        <f t="shared" si="19"/>
        <v>-1.0348893702030199E-3</v>
      </c>
      <c r="L29" s="5">
        <f t="shared" si="19"/>
        <v>0.25438803434371898</v>
      </c>
      <c r="M29" s="5"/>
      <c r="N29" s="5"/>
      <c r="O29" s="5"/>
      <c r="P29" s="11"/>
      <c r="Q29" s="5">
        <f t="shared" si="15"/>
        <v>-0.3</v>
      </c>
      <c r="R29" s="5">
        <f t="shared" si="16"/>
        <v>-0.08</v>
      </c>
      <c r="S29" s="5">
        <f t="shared" si="17"/>
        <v>-1.5707963267948966</v>
      </c>
      <c r="T29" s="5">
        <f t="shared" si="18"/>
        <v>0.3</v>
      </c>
      <c r="U29" s="5">
        <f t="shared" si="13"/>
        <v>0.08</v>
      </c>
      <c r="V29" s="5">
        <f t="shared" si="14"/>
        <v>1.5707963267948966</v>
      </c>
      <c r="W29" s="24"/>
      <c r="X29" s="24"/>
      <c r="Y29" s="24"/>
    </row>
    <row r="30" spans="1:25" x14ac:dyDescent="0.25">
      <c r="C30" s="10">
        <v>3</v>
      </c>
      <c r="D30" s="5">
        <v>1.5</v>
      </c>
      <c r="E30" s="5">
        <v>0</v>
      </c>
      <c r="F30" s="5">
        <v>0</v>
      </c>
      <c r="G30" s="5">
        <v>7.5818668119609399E-4</v>
      </c>
      <c r="H30" s="5">
        <v>-1.9146863371133801E-2</v>
      </c>
      <c r="I30" s="5">
        <v>-8.1150035839527805E-5</v>
      </c>
      <c r="J30" s="5">
        <v>-3.4306589514017101E-3</v>
      </c>
      <c r="K30" s="5">
        <v>-4.3338462710380598E-3</v>
      </c>
      <c r="L30" s="5">
        <v>0.107362911105156</v>
      </c>
      <c r="M30" s="5"/>
      <c r="N30" s="5"/>
      <c r="O30" s="5"/>
      <c r="P30" s="11"/>
      <c r="Q30" s="5">
        <f t="shared" si="15"/>
        <v>-0.5</v>
      </c>
      <c r="R30" s="5">
        <f t="shared" si="16"/>
        <v>-0.1</v>
      </c>
      <c r="S30" s="5">
        <f t="shared" si="17"/>
        <v>-1.5707963267948966</v>
      </c>
      <c r="T30" s="5">
        <f t="shared" si="18"/>
        <v>0.5</v>
      </c>
      <c r="U30" s="5">
        <f t="shared" si="13"/>
        <v>0.1</v>
      </c>
      <c r="V30" s="5">
        <f t="shared" si="14"/>
        <v>1.5707963267948966</v>
      </c>
    </row>
    <row r="31" spans="1:25" x14ac:dyDescent="0.25">
      <c r="C31" s="10">
        <v>3</v>
      </c>
      <c r="D31" s="5">
        <v>0</v>
      </c>
      <c r="E31" s="5">
        <v>1.5</v>
      </c>
      <c r="F31" s="5">
        <v>0</v>
      </c>
      <c r="G31" s="5">
        <v>-5.52012003026903E-4</v>
      </c>
      <c r="H31" s="5">
        <v>-1.9014896824955899E-2</v>
      </c>
      <c r="I31" s="5">
        <v>-2.5363833992742002E-4</v>
      </c>
      <c r="J31" s="5">
        <v>-8.0577668268233505E-4</v>
      </c>
      <c r="K31" s="5">
        <v>3.5313419066369499E-3</v>
      </c>
      <c r="L31" s="5">
        <v>0.10630398988723801</v>
      </c>
      <c r="M31" s="5"/>
      <c r="N31" s="5"/>
      <c r="O31" s="5"/>
      <c r="P31" s="11"/>
      <c r="Q31" s="5">
        <f t="shared" si="15"/>
        <v>-0.7</v>
      </c>
      <c r="R31" s="5">
        <f t="shared" si="16"/>
        <v>-0.1</v>
      </c>
      <c r="S31" s="5">
        <f t="shared" si="17"/>
        <v>-1.5707963267948966</v>
      </c>
      <c r="T31" s="5">
        <f t="shared" si="18"/>
        <v>0.7</v>
      </c>
      <c r="U31" s="5">
        <f t="shared" si="13"/>
        <v>0.1</v>
      </c>
      <c r="V31" s="5">
        <f t="shared" si="14"/>
        <v>1.5707963267948966</v>
      </c>
    </row>
    <row r="32" spans="1:25" x14ac:dyDescent="0.25">
      <c r="C32" s="10">
        <v>3</v>
      </c>
      <c r="D32" s="5">
        <v>0</v>
      </c>
      <c r="E32" s="5">
        <v>0</v>
      </c>
      <c r="F32" s="5">
        <v>1.5</v>
      </c>
      <c r="G32" s="5">
        <v>-2.33325408771634E-5</v>
      </c>
      <c r="H32" s="5">
        <v>-7.04074427485466E-2</v>
      </c>
      <c r="I32" s="5">
        <v>-4.5982724986970398E-4</v>
      </c>
      <c r="J32" s="5">
        <v>-4.5281000435352298E-2</v>
      </c>
      <c r="K32" s="5">
        <v>8.8363140821456898E-4</v>
      </c>
      <c r="L32" s="5">
        <v>0.395793557167053</v>
      </c>
      <c r="M32" s="5"/>
      <c r="N32" s="5"/>
      <c r="O32" s="5"/>
      <c r="P32" s="11"/>
      <c r="Q32" s="5">
        <f t="shared" si="15"/>
        <v>-0.4</v>
      </c>
      <c r="R32" s="5">
        <f t="shared" si="16"/>
        <v>-0.16</v>
      </c>
      <c r="S32" s="5">
        <f t="shared" si="17"/>
        <v>-1.5707963267948966</v>
      </c>
      <c r="T32" s="5">
        <f t="shared" si="18"/>
        <v>0.4</v>
      </c>
      <c r="U32" s="5">
        <f t="shared" si="13"/>
        <v>0.16</v>
      </c>
      <c r="V32" s="5">
        <f t="shared" si="14"/>
        <v>1.5707963267948966</v>
      </c>
    </row>
    <row r="33" spans="3:25" x14ac:dyDescent="0.25">
      <c r="C33" s="10">
        <v>4</v>
      </c>
      <c r="D33" s="5">
        <v>0</v>
      </c>
      <c r="E33" s="5">
        <v>0</v>
      </c>
      <c r="F33" s="5">
        <v>0</v>
      </c>
      <c r="G33" s="5">
        <f>G6</f>
        <v>3.3436843659728798E-4</v>
      </c>
      <c r="H33" s="5">
        <f t="shared" ref="H33:L33" si="20">H6</f>
        <v>-9.1593101620674106E-2</v>
      </c>
      <c r="I33" s="5">
        <f t="shared" si="20"/>
        <v>-1.09562510624528E-3</v>
      </c>
      <c r="J33" s="5">
        <f t="shared" si="20"/>
        <v>-0.13726633787155201</v>
      </c>
      <c r="K33" s="5">
        <f t="shared" si="20"/>
        <v>-2.9727667570114101E-3</v>
      </c>
      <c r="L33" s="5">
        <f t="shared" si="20"/>
        <v>0.44673037528991699</v>
      </c>
      <c r="M33" s="5"/>
      <c r="N33" s="5"/>
      <c r="O33" s="5"/>
      <c r="P33" s="11"/>
      <c r="Q33" s="5">
        <f t="shared" si="15"/>
        <v>-0.6</v>
      </c>
      <c r="R33" s="5">
        <f t="shared" si="16"/>
        <v>-0.16</v>
      </c>
      <c r="S33" s="5">
        <f t="shared" si="17"/>
        <v>-1.5707963267948966</v>
      </c>
      <c r="T33" s="5">
        <f t="shared" si="18"/>
        <v>0.6</v>
      </c>
      <c r="U33" s="5">
        <f t="shared" si="13"/>
        <v>0.16</v>
      </c>
      <c r="V33" s="5">
        <f t="shared" si="14"/>
        <v>1.5707963267948966</v>
      </c>
      <c r="W33" s="7"/>
      <c r="X33" s="7"/>
      <c r="Y33" s="7"/>
    </row>
    <row r="34" spans="3:25" x14ac:dyDescent="0.25">
      <c r="C34" s="10">
        <v>4</v>
      </c>
      <c r="D34" s="5">
        <v>1.5</v>
      </c>
      <c r="E34" s="5">
        <v>0</v>
      </c>
      <c r="F34" s="5">
        <v>0</v>
      </c>
      <c r="G34" s="5">
        <v>3.0973881948739299E-3</v>
      </c>
      <c r="H34" s="5">
        <v>-6.95194602012634E-2</v>
      </c>
      <c r="I34" s="5">
        <v>-2.5332393124699601E-3</v>
      </c>
      <c r="J34" s="5">
        <v>-9.1822899878025097E-2</v>
      </c>
      <c r="K34" s="5">
        <v>-1.8441684544086501E-2</v>
      </c>
      <c r="L34" s="5">
        <v>0.34359931945800798</v>
      </c>
      <c r="M34" s="5"/>
      <c r="N34" s="5"/>
      <c r="O34" s="5"/>
      <c r="P34" s="11"/>
      <c r="Q34" s="5">
        <f t="shared" si="15"/>
        <v>-0.8</v>
      </c>
      <c r="R34" s="5">
        <f t="shared" si="16"/>
        <v>-0.18</v>
      </c>
      <c r="S34" s="5">
        <f t="shared" si="17"/>
        <v>-1.5707963267948966</v>
      </c>
      <c r="T34" s="5">
        <f t="shared" si="18"/>
        <v>0.8</v>
      </c>
      <c r="U34" s="5">
        <f t="shared" si="13"/>
        <v>0.18</v>
      </c>
      <c r="V34" s="5">
        <f t="shared" si="14"/>
        <v>1.5707963267948966</v>
      </c>
    </row>
    <row r="35" spans="3:25" x14ac:dyDescent="0.25">
      <c r="C35" s="10">
        <v>4</v>
      </c>
      <c r="D35" s="5">
        <v>0</v>
      </c>
      <c r="E35" s="5">
        <v>1.5</v>
      </c>
      <c r="F35" s="5">
        <v>0</v>
      </c>
      <c r="G35" s="5">
        <v>-2.37156637012959E-3</v>
      </c>
      <c r="H35" s="5">
        <v>-6.8494059145450606E-2</v>
      </c>
      <c r="I35" s="5">
        <v>8.0478377640247302E-4</v>
      </c>
      <c r="J35" s="5">
        <v>-8.7323129177093506E-2</v>
      </c>
      <c r="K35" s="5">
        <v>1.2371422722935701E-2</v>
      </c>
      <c r="L35" s="5">
        <v>0.33844605088233898</v>
      </c>
      <c r="M35" s="5"/>
      <c r="N35" s="5"/>
      <c r="O35" s="5"/>
      <c r="P35" s="11"/>
      <c r="Q35" s="5">
        <f t="shared" si="15"/>
        <v>-0.3</v>
      </c>
      <c r="R35" s="5">
        <f t="shared" si="16"/>
        <v>-0.2</v>
      </c>
      <c r="S35" s="5">
        <f t="shared" si="17"/>
        <v>-1.5707963267948966</v>
      </c>
      <c r="T35" s="5">
        <f t="shared" si="18"/>
        <v>0.3</v>
      </c>
      <c r="U35" s="5">
        <f t="shared" si="13"/>
        <v>0.2</v>
      </c>
      <c r="V35" s="5">
        <f t="shared" si="14"/>
        <v>1.5707963267948966</v>
      </c>
      <c r="W35" s="7"/>
      <c r="X35" s="7"/>
      <c r="Y35" s="7"/>
    </row>
    <row r="36" spans="3:25" x14ac:dyDescent="0.25">
      <c r="C36" s="10">
        <v>4</v>
      </c>
      <c r="D36" s="5">
        <v>0</v>
      </c>
      <c r="E36" s="5">
        <v>0</v>
      </c>
      <c r="F36" s="5">
        <v>1.5</v>
      </c>
      <c r="G36" s="5">
        <v>4.0871603414416302E-4</v>
      </c>
      <c r="H36" s="5">
        <v>-0.10985789448022799</v>
      </c>
      <c r="I36" s="5">
        <v>-1.26350473146886E-3</v>
      </c>
      <c r="J36" s="5">
        <v>-0.154622092843056</v>
      </c>
      <c r="K36" s="5">
        <v>-3.02500277757645E-3</v>
      </c>
      <c r="L36" s="5">
        <v>0.54040026664733898</v>
      </c>
      <c r="M36" s="5"/>
      <c r="N36" s="5"/>
      <c r="O36" s="5"/>
      <c r="P36" s="11"/>
      <c r="Q36" s="5">
        <f t="shared" si="15"/>
        <v>-0.7</v>
      </c>
      <c r="R36" s="5">
        <f t="shared" si="16"/>
        <v>-0.2</v>
      </c>
      <c r="S36" s="5">
        <f t="shared" si="17"/>
        <v>-1.5707963267948966</v>
      </c>
      <c r="T36" s="5">
        <f t="shared" si="18"/>
        <v>0.7</v>
      </c>
      <c r="U36" s="5">
        <f t="shared" si="13"/>
        <v>0.2</v>
      </c>
      <c r="V36" s="5">
        <f t="shared" si="14"/>
        <v>1.5707963267948966</v>
      </c>
    </row>
    <row r="37" spans="3:25" x14ac:dyDescent="0.25">
      <c r="C37" s="10">
        <v>5</v>
      </c>
      <c r="D37" s="5">
        <v>0</v>
      </c>
      <c r="E37" s="5">
        <v>0</v>
      </c>
      <c r="F37" s="5">
        <v>0</v>
      </c>
      <c r="G37" s="5">
        <f>G7</f>
        <v>5.2663497626781498E-5</v>
      </c>
      <c r="H37" s="5">
        <f t="shared" ref="H37:L37" si="21">H7</f>
        <v>-0.12548637390136699</v>
      </c>
      <c r="I37" s="5">
        <f t="shared" si="21"/>
        <v>-9.7444711718708298E-4</v>
      </c>
      <c r="J37" s="5">
        <f t="shared" si="21"/>
        <v>-0.25848296284675598</v>
      </c>
      <c r="K37" s="5">
        <f t="shared" si="21"/>
        <v>6.1889737844467196E-4</v>
      </c>
      <c r="L37" s="5">
        <f t="shared" si="21"/>
        <v>0.60252058506011996</v>
      </c>
    </row>
    <row r="38" spans="3:25" x14ac:dyDescent="0.25">
      <c r="C38" s="10">
        <v>5</v>
      </c>
      <c r="D38" s="5">
        <v>1.5</v>
      </c>
      <c r="E38" s="5">
        <v>0</v>
      </c>
      <c r="F38" s="5">
        <v>0</v>
      </c>
      <c r="G38" s="5">
        <v>3.8735552225261901E-3</v>
      </c>
      <c r="H38" s="5">
        <v>-0.10250039398670199</v>
      </c>
      <c r="I38" s="5">
        <v>-3.0874428339302501E-3</v>
      </c>
      <c r="J38" s="5">
        <v>-0.200877666473389</v>
      </c>
      <c r="K38" s="5">
        <v>-2.0546242594718898E-2</v>
      </c>
      <c r="L38" s="5">
        <v>0.49526518583297702</v>
      </c>
    </row>
    <row r="39" spans="3:25" x14ac:dyDescent="0.25">
      <c r="C39" s="10">
        <v>5</v>
      </c>
      <c r="D39" s="5">
        <v>0</v>
      </c>
      <c r="E39" s="5">
        <v>1.5</v>
      </c>
      <c r="F39" s="5">
        <v>0</v>
      </c>
      <c r="G39" s="5">
        <v>-3.41223413124681E-3</v>
      </c>
      <c r="H39" s="5">
        <v>-0.101086124777794</v>
      </c>
      <c r="I39" s="5">
        <v>1.3796529965475199E-3</v>
      </c>
      <c r="J39" s="5">
        <v>-0.19690237939357799</v>
      </c>
      <c r="K39" s="5">
        <v>2.1174792200326899E-2</v>
      </c>
      <c r="L39" s="5">
        <v>0.48914974927902199</v>
      </c>
    </row>
    <row r="40" spans="3:25" x14ac:dyDescent="0.25">
      <c r="C40" s="10">
        <v>5</v>
      </c>
      <c r="D40" s="5">
        <v>0</v>
      </c>
      <c r="E40" s="5">
        <v>0</v>
      </c>
      <c r="F40" s="5">
        <v>1.5</v>
      </c>
      <c r="G40" s="5">
        <v>-1.0955496691167401E-4</v>
      </c>
      <c r="H40" s="5">
        <v>-0.137609422206879</v>
      </c>
      <c r="I40" s="5">
        <v>-9.4528222689405105E-4</v>
      </c>
      <c r="J40" s="5">
        <v>-0.27856466174125699</v>
      </c>
      <c r="K40" s="5">
        <v>2.1467953920364402E-3</v>
      </c>
      <c r="L40" s="5">
        <v>0.66296279430389404</v>
      </c>
    </row>
    <row r="41" spans="3:25" x14ac:dyDescent="0.25">
      <c r="C41" s="10">
        <v>6</v>
      </c>
      <c r="D41" s="5">
        <v>0</v>
      </c>
      <c r="E41" s="5">
        <v>0</v>
      </c>
      <c r="F41" s="5">
        <v>0</v>
      </c>
      <c r="G41" s="5">
        <f>G8</f>
        <v>3.1168537680059699E-4</v>
      </c>
      <c r="H41" s="5">
        <f t="shared" ref="H41:L41" si="22">H8</f>
        <v>-7.88237899541855E-2</v>
      </c>
      <c r="I41" s="5">
        <f t="shared" si="22"/>
        <v>-1.01786095183343E-3</v>
      </c>
      <c r="J41" s="5">
        <f t="shared" si="22"/>
        <v>-0.13838192820549</v>
      </c>
      <c r="K41" s="5">
        <f t="shared" si="22"/>
        <v>-1.14574655890465E-3</v>
      </c>
      <c r="L41" s="5">
        <f t="shared" si="22"/>
        <v>0.27298316359519997</v>
      </c>
    </row>
    <row r="42" spans="3:25" x14ac:dyDescent="0.25">
      <c r="C42" s="10">
        <v>6</v>
      </c>
      <c r="D42" s="5">
        <v>1.5</v>
      </c>
      <c r="E42" s="5">
        <v>0</v>
      </c>
      <c r="F42" s="5">
        <v>0</v>
      </c>
      <c r="G42" s="5">
        <v>3.54892574250698E-3</v>
      </c>
      <c r="H42" s="5">
        <v>-5.8664917945861803E-2</v>
      </c>
      <c r="I42" s="5">
        <v>-3.6627326626330601E-3</v>
      </c>
      <c r="J42" s="5">
        <v>-9.5448635518550901E-2</v>
      </c>
      <c r="K42" s="5">
        <v>-1.8327087163925199E-2</v>
      </c>
      <c r="L42" s="5">
        <v>0.204424828290939</v>
      </c>
    </row>
    <row r="43" spans="3:25" x14ac:dyDescent="0.25">
      <c r="C43" s="10">
        <v>6</v>
      </c>
      <c r="D43" s="5">
        <v>0</v>
      </c>
      <c r="E43" s="5">
        <v>1.5</v>
      </c>
      <c r="F43" s="5">
        <v>0</v>
      </c>
      <c r="G43" s="5">
        <v>-3.2538974191993501E-3</v>
      </c>
      <c r="H43" s="5">
        <v>-5.6882563978433602E-2</v>
      </c>
      <c r="I43" s="5">
        <v>2.2233272902667501E-3</v>
      </c>
      <c r="J43" s="5">
        <v>-9.0512804687023204E-2</v>
      </c>
      <c r="K43" s="5">
        <v>1.8111418932676301E-2</v>
      </c>
      <c r="L43" s="5">
        <v>0.199122428894043</v>
      </c>
    </row>
    <row r="44" spans="3:25" x14ac:dyDescent="0.25">
      <c r="C44" s="10">
        <v>6</v>
      </c>
      <c r="D44" s="5">
        <v>0</v>
      </c>
      <c r="E44" s="5">
        <v>0</v>
      </c>
      <c r="F44" s="5">
        <v>1.5</v>
      </c>
      <c r="G44" s="5">
        <v>1.2265332043170899E-4</v>
      </c>
      <c r="H44" s="5">
        <v>-9.5207482576370198E-2</v>
      </c>
      <c r="I44" s="5">
        <v>-1.0439777979627299E-3</v>
      </c>
      <c r="J44" s="5">
        <v>-0.16297052800655401</v>
      </c>
      <c r="K44" s="5">
        <v>4.86113131046295E-4</v>
      </c>
      <c r="L44" s="5">
        <v>0.33190307021141102</v>
      </c>
    </row>
    <row r="45" spans="3:25" x14ac:dyDescent="0.25">
      <c r="C45" s="10">
        <v>7</v>
      </c>
      <c r="D45" s="5">
        <v>0</v>
      </c>
      <c r="E45" s="5">
        <v>0</v>
      </c>
      <c r="F45" s="5">
        <v>0</v>
      </c>
      <c r="G45" s="5">
        <f>G9</f>
        <v>4.6556734014302498E-4</v>
      </c>
      <c r="H45" s="5">
        <f t="shared" ref="H45:L45" si="23">H9</f>
        <v>-0.13455995917320299</v>
      </c>
      <c r="I45" s="5">
        <f t="shared" si="23"/>
        <v>-1.54974625911564E-3</v>
      </c>
      <c r="J45" s="5">
        <f t="shared" si="23"/>
        <v>-0.33463472127914401</v>
      </c>
      <c r="K45" s="5">
        <f t="shared" si="23"/>
        <v>-5.6979432702064503E-4</v>
      </c>
      <c r="L45" s="5">
        <f t="shared" si="23"/>
        <v>0.42998898029327398</v>
      </c>
    </row>
    <row r="46" spans="3:25" x14ac:dyDescent="0.25">
      <c r="C46" s="10">
        <v>7</v>
      </c>
      <c r="D46" s="5">
        <v>1.5</v>
      </c>
      <c r="E46" s="5">
        <v>0</v>
      </c>
      <c r="F46" s="5">
        <v>0</v>
      </c>
      <c r="G46" s="5">
        <v>6.6393953748047404E-3</v>
      </c>
      <c r="H46" s="5">
        <v>-0.102738752961159</v>
      </c>
      <c r="I46" s="5">
        <v>-6.3366619870066599E-3</v>
      </c>
      <c r="J46" s="5">
        <v>-0.24302496016025499</v>
      </c>
      <c r="K46" s="5">
        <v>-3.3672533929347999E-2</v>
      </c>
      <c r="L46" s="5">
        <v>0.32821264863014199</v>
      </c>
    </row>
    <row r="47" spans="3:25" x14ac:dyDescent="0.25">
      <c r="C47" s="10">
        <v>7</v>
      </c>
      <c r="D47" s="5">
        <v>0</v>
      </c>
      <c r="E47" s="5">
        <v>1.5</v>
      </c>
      <c r="F47" s="5">
        <v>0</v>
      </c>
      <c r="G47" s="5">
        <v>-6.1084558255970504E-3</v>
      </c>
      <c r="H47" s="5">
        <v>-9.9644310772419004E-2</v>
      </c>
      <c r="I47" s="5">
        <v>4.2782211676240002E-3</v>
      </c>
      <c r="J47" s="5">
        <v>-0.23266792297363301</v>
      </c>
      <c r="K47" s="5">
        <v>3.45250852406025E-2</v>
      </c>
      <c r="L47" s="5">
        <v>0.31887066364288302</v>
      </c>
    </row>
    <row r="48" spans="3:25" x14ac:dyDescent="0.25">
      <c r="C48" s="10">
        <v>7</v>
      </c>
      <c r="D48" s="5">
        <v>0</v>
      </c>
      <c r="E48" s="5">
        <v>0</v>
      </c>
      <c r="F48" s="5">
        <v>1.5</v>
      </c>
      <c r="G48" s="5">
        <v>-1.8417136743664701E-5</v>
      </c>
      <c r="H48" s="5">
        <v>-0.13477577269077301</v>
      </c>
      <c r="I48" s="5">
        <v>-1.1057034134864801E-3</v>
      </c>
      <c r="J48" s="5">
        <v>-0.32878553867340099</v>
      </c>
      <c r="K48" s="5">
        <v>2.4412311613559701E-3</v>
      </c>
      <c r="L48" s="5">
        <v>0.42967307567596402</v>
      </c>
    </row>
    <row r="49" spans="3:12" x14ac:dyDescent="0.25">
      <c r="C49" s="10">
        <v>8</v>
      </c>
      <c r="D49" s="5">
        <v>0</v>
      </c>
      <c r="E49" s="5">
        <v>0</v>
      </c>
      <c r="F49" s="5">
        <v>0</v>
      </c>
      <c r="G49" s="5">
        <f>G10</f>
        <v>1.2284044642001399E-3</v>
      </c>
      <c r="H49" s="5">
        <f t="shared" ref="H49:L49" si="24">H10</f>
        <v>-0.113915167748928</v>
      </c>
      <c r="I49" s="5">
        <f t="shared" si="24"/>
        <v>-2.0511765033006698E-3</v>
      </c>
      <c r="J49" s="5">
        <f t="shared" si="24"/>
        <v>-0.53618127107620195</v>
      </c>
      <c r="K49" s="5">
        <f t="shared" si="24"/>
        <v>-3.6365408450365101E-3</v>
      </c>
      <c r="L49" s="5">
        <f t="shared" si="24"/>
        <v>0.105719238519669</v>
      </c>
    </row>
    <row r="50" spans="3:12" x14ac:dyDescent="0.25">
      <c r="C50" s="10">
        <v>8</v>
      </c>
      <c r="D50" s="5">
        <v>1.5</v>
      </c>
      <c r="E50" s="5">
        <v>0</v>
      </c>
      <c r="F50" s="5">
        <v>0</v>
      </c>
      <c r="G50" s="5">
        <v>7.1500753983855204E-3</v>
      </c>
      <c r="H50" s="5">
        <v>-6.5072715282440199E-2</v>
      </c>
      <c r="I50" s="5">
        <v>-5.52379293367267E-3</v>
      </c>
      <c r="J50" s="5">
        <v>-0.28514552116393999</v>
      </c>
      <c r="K50" s="5">
        <v>-3.8700658828020103E-2</v>
      </c>
      <c r="L50" s="5">
        <v>4.2753197252750397E-2</v>
      </c>
    </row>
    <row r="51" spans="3:12" x14ac:dyDescent="0.25">
      <c r="C51" s="10">
        <v>8</v>
      </c>
      <c r="D51" s="5">
        <v>0</v>
      </c>
      <c r="E51" s="5">
        <v>1.5</v>
      </c>
      <c r="F51" s="5">
        <v>0</v>
      </c>
      <c r="G51" s="5">
        <v>-6.2153153121471396E-3</v>
      </c>
      <c r="H51" s="5">
        <v>-6.2135655432939502E-2</v>
      </c>
      <c r="I51" s="5">
        <v>3.6217607557773599E-3</v>
      </c>
      <c r="J51" s="5">
        <v>-0.26937389373779302</v>
      </c>
      <c r="K51" s="5">
        <v>3.6031112074851997E-2</v>
      </c>
      <c r="L51" s="5">
        <v>3.9808422327041598E-2</v>
      </c>
    </row>
    <row r="52" spans="3:12" x14ac:dyDescent="0.25">
      <c r="C52" s="10">
        <v>8</v>
      </c>
      <c r="D52" s="5">
        <v>0</v>
      </c>
      <c r="E52" s="5">
        <v>0</v>
      </c>
      <c r="F52" s="5">
        <v>1.5</v>
      </c>
      <c r="G52" s="5">
        <v>3.31332674250007E-4</v>
      </c>
      <c r="H52" s="5">
        <v>-8.8129743933677701E-2</v>
      </c>
      <c r="I52" s="5">
        <v>-1.14210275933146E-3</v>
      </c>
      <c r="J52" s="5">
        <v>-0.408759385347366</v>
      </c>
      <c r="K52" s="5">
        <v>2.3646838963031801E-4</v>
      </c>
      <c r="L52" s="5">
        <v>5.8439146727323497E-2</v>
      </c>
    </row>
    <row r="53" spans="3:12" x14ac:dyDescent="0.25">
      <c r="C53" s="10">
        <v>9</v>
      </c>
      <c r="D53" s="5">
        <v>0</v>
      </c>
      <c r="E53" s="5">
        <v>0</v>
      </c>
      <c r="F53" s="5">
        <v>0</v>
      </c>
      <c r="G53" s="5">
        <f>G11</f>
        <v>-9.6103904070332606E-5</v>
      </c>
      <c r="H53" s="5">
        <f t="shared" ref="H53:L53" si="25">H11</f>
        <v>-5.9686940163373899E-2</v>
      </c>
      <c r="I53" s="5">
        <f t="shared" si="25"/>
        <v>-6.3943007262423602E-4</v>
      </c>
      <c r="J53" s="5">
        <f t="shared" si="25"/>
        <v>-7.6781243085861206E-2</v>
      </c>
      <c r="K53" s="5">
        <f t="shared" si="25"/>
        <v>-1.8407814204692799E-3</v>
      </c>
      <c r="L53" s="5">
        <f t="shared" si="25"/>
        <v>0.17655885219574</v>
      </c>
    </row>
    <row r="54" spans="3:12" x14ac:dyDescent="0.25">
      <c r="C54" s="10">
        <v>9</v>
      </c>
      <c r="D54" s="5">
        <v>1.5</v>
      </c>
      <c r="E54" s="5">
        <v>0</v>
      </c>
      <c r="F54" s="5">
        <v>0</v>
      </c>
      <c r="G54" s="5">
        <v>3.0519608408212701E-3</v>
      </c>
      <c r="H54" s="5">
        <v>-3.6098230630159399E-2</v>
      </c>
      <c r="I54" s="5">
        <v>-4.5362347736954698E-3</v>
      </c>
      <c r="J54" s="5">
        <v>-3.5666882991790799E-2</v>
      </c>
      <c r="K54" s="5">
        <v>-2.0685818046331399E-2</v>
      </c>
      <c r="L54" s="5">
        <v>0.106608189642429</v>
      </c>
    </row>
    <row r="55" spans="3:12" x14ac:dyDescent="0.25">
      <c r="C55" s="10">
        <v>9</v>
      </c>
      <c r="D55" s="5">
        <v>0</v>
      </c>
      <c r="E55" s="5">
        <v>1.5</v>
      </c>
      <c r="F55" s="5">
        <v>0</v>
      </c>
      <c r="G55" s="5">
        <v>-3.3382773399353001E-3</v>
      </c>
      <c r="H55" s="5">
        <v>-3.4567233175039298E-2</v>
      </c>
      <c r="I55" s="5">
        <v>3.5208382178097998E-3</v>
      </c>
      <c r="J55" s="5">
        <v>-3.35270911455154E-2</v>
      </c>
      <c r="K55" s="5">
        <v>1.5442168340086901E-2</v>
      </c>
      <c r="L55" s="5">
        <v>0.101495251059532</v>
      </c>
    </row>
    <row r="56" spans="3:12" x14ac:dyDescent="0.25">
      <c r="C56" s="10">
        <v>9</v>
      </c>
      <c r="D56" s="5">
        <v>0</v>
      </c>
      <c r="E56" s="5">
        <v>0</v>
      </c>
      <c r="F56" s="5">
        <v>1.5</v>
      </c>
      <c r="G56" s="5">
        <v>-3.1255272915586802E-4</v>
      </c>
      <c r="H56" s="5">
        <v>-7.1918331086635603E-2</v>
      </c>
      <c r="I56" s="5">
        <v>-5.9856439474970102E-4</v>
      </c>
      <c r="J56" s="5">
        <v>-9.2133581638336196E-2</v>
      </c>
      <c r="K56" s="5">
        <v>-1.1441409587860101E-3</v>
      </c>
      <c r="L56" s="5">
        <v>0.21290627121925401</v>
      </c>
    </row>
    <row r="57" spans="3:12" x14ac:dyDescent="0.25">
      <c r="C57" s="10">
        <v>10</v>
      </c>
      <c r="D57" s="5">
        <v>0</v>
      </c>
      <c r="E57" s="5">
        <v>0</v>
      </c>
      <c r="F57" s="5">
        <v>0</v>
      </c>
      <c r="G57" s="5">
        <f>G12</f>
        <v>6.8014755379408598E-4</v>
      </c>
      <c r="H57" s="5">
        <f t="shared" ref="H57:L57" si="26">H12</f>
        <v>-8.2236602902412401E-2</v>
      </c>
      <c r="I57" s="5">
        <f t="shared" si="26"/>
        <v>-2.0893728360533701E-3</v>
      </c>
      <c r="J57" s="5">
        <f t="shared" si="26"/>
        <v>-0.387284815311432</v>
      </c>
      <c r="K57" s="5">
        <f t="shared" si="26"/>
        <v>-7.8587606549263E-4</v>
      </c>
      <c r="L57" s="5">
        <f t="shared" si="26"/>
        <v>3.3172652125358602E-2</v>
      </c>
    </row>
    <row r="58" spans="3:12" x14ac:dyDescent="0.25">
      <c r="C58" s="10">
        <v>10</v>
      </c>
      <c r="D58" s="5">
        <v>1.5</v>
      </c>
      <c r="E58" s="5">
        <v>0</v>
      </c>
      <c r="F58" s="5">
        <v>0</v>
      </c>
      <c r="G58" s="5">
        <v>6.5653454512357703E-3</v>
      </c>
      <c r="H58" s="5">
        <v>-4.6795047819614403E-2</v>
      </c>
      <c r="I58" s="5">
        <v>-6.2811337411403699E-3</v>
      </c>
      <c r="J58" s="5">
        <v>-0.20125000178813901</v>
      </c>
      <c r="K58" s="5">
        <v>-3.3734023571014397E-2</v>
      </c>
      <c r="L58" s="5">
        <v>8.6800679564475996E-3</v>
      </c>
    </row>
    <row r="59" spans="3:12" x14ac:dyDescent="0.25">
      <c r="C59" s="10">
        <v>10</v>
      </c>
      <c r="D59" s="5">
        <v>0</v>
      </c>
      <c r="E59" s="5">
        <v>1.5</v>
      </c>
      <c r="F59" s="5">
        <v>0</v>
      </c>
      <c r="G59" s="5">
        <v>-7.1160625666379903E-3</v>
      </c>
      <c r="H59" s="5">
        <v>-4.6454571187496199E-2</v>
      </c>
      <c r="I59" s="5">
        <v>5.6142839603125997E-3</v>
      </c>
      <c r="J59" s="5">
        <v>-0.19703240692615501</v>
      </c>
      <c r="K59" s="5">
        <v>3.9974384009838097E-2</v>
      </c>
      <c r="L59" s="5">
        <v>1.0234892368316701E-2</v>
      </c>
    </row>
    <row r="60" spans="3:12" x14ac:dyDescent="0.25">
      <c r="C60" s="10">
        <v>10</v>
      </c>
      <c r="D60" s="5">
        <v>0</v>
      </c>
      <c r="E60" s="5">
        <v>0</v>
      </c>
      <c r="F60" s="5">
        <v>1.5</v>
      </c>
      <c r="G60" s="5">
        <v>-5.7212542742490801E-4</v>
      </c>
      <c r="H60" s="5">
        <v>-6.8202309310436193E-2</v>
      </c>
      <c r="I60" s="5">
        <v>-6.6437420900911104E-4</v>
      </c>
      <c r="J60" s="5">
        <v>-0.31760939955711398</v>
      </c>
      <c r="K60" s="5">
        <v>5.0625987350940696E-3</v>
      </c>
      <c r="L60" s="5">
        <v>1.45403146743774E-2</v>
      </c>
    </row>
  </sheetData>
  <mergeCells count="22">
    <mergeCell ref="W17:Y17"/>
    <mergeCell ref="Q1:S1"/>
    <mergeCell ref="W1:Y1"/>
    <mergeCell ref="W2:Y2"/>
    <mergeCell ref="T1:V1"/>
    <mergeCell ref="W14:Y14"/>
    <mergeCell ref="A14:C14"/>
    <mergeCell ref="G20:L20"/>
    <mergeCell ref="A1:F1"/>
    <mergeCell ref="G1:L1"/>
    <mergeCell ref="M1:P1"/>
    <mergeCell ref="M13:P13"/>
    <mergeCell ref="Q13:S13"/>
    <mergeCell ref="T13:V13"/>
    <mergeCell ref="W13:Y13"/>
    <mergeCell ref="W5:Y5"/>
    <mergeCell ref="W29:Y29"/>
    <mergeCell ref="M25:P25"/>
    <mergeCell ref="Q25:S25"/>
    <mergeCell ref="T25:V25"/>
    <mergeCell ref="W25:Y25"/>
    <mergeCell ref="W26:Y2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6981-73D2-4F8C-88D7-D5FA77AC2EB0}">
  <dimension ref="A1:M62"/>
  <sheetViews>
    <sheetView topLeftCell="A21" workbookViewId="0">
      <selection activeCell="H50" sqref="H50:M52"/>
    </sheetView>
  </sheetViews>
  <sheetFormatPr defaultRowHeight="15" x14ac:dyDescent="0.25"/>
  <sheetData>
    <row r="1" spans="1:13" ht="15.75" x14ac:dyDescent="0.25">
      <c r="A1" s="35" t="s">
        <v>21</v>
      </c>
      <c r="B1" s="32"/>
      <c r="C1" s="32"/>
      <c r="D1" s="32"/>
      <c r="E1" s="32"/>
      <c r="F1" s="33"/>
      <c r="H1" s="35" t="s">
        <v>22</v>
      </c>
      <c r="I1" s="32"/>
      <c r="J1" s="32"/>
      <c r="K1" s="32"/>
      <c r="L1" s="32"/>
      <c r="M1" s="33"/>
    </row>
    <row r="2" spans="1:13" ht="15.75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H2" s="3" t="s">
        <v>18</v>
      </c>
      <c r="I2" s="3" t="s">
        <v>19</v>
      </c>
      <c r="J2" s="3" t="s">
        <v>20</v>
      </c>
      <c r="K2" s="3" t="s">
        <v>15</v>
      </c>
      <c r="L2" s="3" t="s">
        <v>16</v>
      </c>
      <c r="M2" s="3" t="s">
        <v>17</v>
      </c>
    </row>
    <row r="3" spans="1:13" x14ac:dyDescent="0.25">
      <c r="A3">
        <v>0.27298316359519997</v>
      </c>
      <c r="B3">
        <v>1.14574655890465E-3</v>
      </c>
      <c r="C3">
        <v>-0.13838192820549</v>
      </c>
      <c r="D3">
        <v>-1.01786095183343E-3</v>
      </c>
      <c r="E3">
        <v>7.88237899541855E-2</v>
      </c>
      <c r="F3">
        <v>3.1168537680059699E-4</v>
      </c>
      <c r="H3">
        <f>$F3</f>
        <v>3.1168537680059699E-4</v>
      </c>
      <c r="I3">
        <f>-1*$E3</f>
        <v>-7.88237899541855E-2</v>
      </c>
      <c r="J3">
        <f>$D3</f>
        <v>-1.01786095183343E-3</v>
      </c>
      <c r="K3">
        <f>$C3</f>
        <v>-0.13838192820549</v>
      </c>
      <c r="L3">
        <f>-1*$B3</f>
        <v>-1.14574655890465E-3</v>
      </c>
      <c r="M3">
        <f>$A3</f>
        <v>0.27298316359519997</v>
      </c>
    </row>
    <row r="4" spans="1:13" x14ac:dyDescent="0.25">
      <c r="A4">
        <v>0.25242263078689597</v>
      </c>
      <c r="B4">
        <v>8.2274600863456691E-3</v>
      </c>
      <c r="C4">
        <v>-0.12710483372211501</v>
      </c>
      <c r="D4">
        <v>-2.1703592501580698E-3</v>
      </c>
      <c r="E4">
        <v>7.2682023048400907E-2</v>
      </c>
      <c r="F4">
        <v>1.6261921264231201E-3</v>
      </c>
      <c r="H4">
        <f t="shared" ref="H4:H62" si="0">$F4</f>
        <v>1.6261921264231201E-3</v>
      </c>
      <c r="I4">
        <f t="shared" ref="I4:I62" si="1">-1*$E4</f>
        <v>-7.2682023048400907E-2</v>
      </c>
      <c r="J4">
        <f t="shared" ref="J4:J62" si="2">$D4</f>
        <v>-2.1703592501580698E-3</v>
      </c>
      <c r="K4">
        <f t="shared" ref="K4:K62" si="3">$C4</f>
        <v>-0.12710483372211501</v>
      </c>
      <c r="L4">
        <f t="shared" ref="L4:L62" si="4">-1*$B4</f>
        <v>-8.2274600863456691E-3</v>
      </c>
      <c r="M4">
        <f t="shared" ref="M4:M62" si="5">$A4</f>
        <v>0.25242263078689597</v>
      </c>
    </row>
    <row r="5" spans="1:13" x14ac:dyDescent="0.25">
      <c r="A5">
        <v>0.25155869126319902</v>
      </c>
      <c r="B5">
        <v>-5.0658285617828404E-3</v>
      </c>
      <c r="C5">
        <v>-0.12602137029171001</v>
      </c>
      <c r="D5">
        <v>8.8032218627631705E-5</v>
      </c>
      <c r="E5">
        <v>7.2226621210575104E-2</v>
      </c>
      <c r="F5">
        <v>-8.2752108573913596E-4</v>
      </c>
      <c r="H5">
        <f t="shared" si="0"/>
        <v>-8.2752108573913596E-4</v>
      </c>
      <c r="I5">
        <f t="shared" si="1"/>
        <v>-7.2226621210575104E-2</v>
      </c>
      <c r="J5">
        <f t="shared" si="2"/>
        <v>8.8032218627631705E-5</v>
      </c>
      <c r="K5">
        <f t="shared" si="3"/>
        <v>-0.12602137029171001</v>
      </c>
      <c r="L5">
        <f t="shared" si="4"/>
        <v>5.0658285617828404E-3</v>
      </c>
      <c r="M5">
        <f t="shared" si="5"/>
        <v>0.25155869126319902</v>
      </c>
    </row>
    <row r="6" spans="1:13" x14ac:dyDescent="0.25">
      <c r="A6">
        <v>0.28976070880889898</v>
      </c>
      <c r="B6">
        <v>4.7545880079269398E-4</v>
      </c>
      <c r="C6">
        <v>-0.13593830168247201</v>
      </c>
      <c r="D6">
        <v>-1.0331524536013601E-3</v>
      </c>
      <c r="E6">
        <v>8.3331584930419894E-2</v>
      </c>
      <c r="F6">
        <v>2.87485192529857E-4</v>
      </c>
      <c r="H6">
        <f t="shared" si="0"/>
        <v>2.87485192529857E-4</v>
      </c>
      <c r="I6">
        <f t="shared" si="1"/>
        <v>-8.3331584930419894E-2</v>
      </c>
      <c r="J6">
        <f t="shared" si="2"/>
        <v>-1.0331524536013601E-3</v>
      </c>
      <c r="K6">
        <f t="shared" si="3"/>
        <v>-0.13593830168247201</v>
      </c>
      <c r="L6">
        <f t="shared" si="4"/>
        <v>-4.7545880079269398E-4</v>
      </c>
      <c r="M6">
        <f t="shared" si="5"/>
        <v>0.28976070880889898</v>
      </c>
    </row>
    <row r="7" spans="1:13" x14ac:dyDescent="0.25">
      <c r="A7">
        <v>0.231223449110985</v>
      </c>
      <c r="B7">
        <v>1.37254931032658E-2</v>
      </c>
      <c r="C7">
        <v>-0.112947233021259</v>
      </c>
      <c r="D7">
        <v>-2.99975578673184E-3</v>
      </c>
      <c r="E7">
        <v>6.6341109573841095E-2</v>
      </c>
      <c r="F7">
        <v>2.67795147374272E-3</v>
      </c>
      <c r="H7">
        <f t="shared" si="0"/>
        <v>2.67795147374272E-3</v>
      </c>
      <c r="I7">
        <f t="shared" si="1"/>
        <v>-6.6341109573841095E-2</v>
      </c>
      <c r="J7">
        <f t="shared" si="2"/>
        <v>-2.99975578673184E-3</v>
      </c>
      <c r="K7">
        <f t="shared" si="3"/>
        <v>-0.112947233021259</v>
      </c>
      <c r="L7">
        <f t="shared" si="4"/>
        <v>-1.37254931032658E-2</v>
      </c>
      <c r="M7">
        <f t="shared" si="5"/>
        <v>0.231223449110985</v>
      </c>
    </row>
    <row r="8" spans="1:13" x14ac:dyDescent="0.25">
      <c r="A8">
        <v>0.224694058299065</v>
      </c>
      <c r="B8">
        <v>-1.2914394028484801E-2</v>
      </c>
      <c r="C8">
        <v>-0.106676936149597</v>
      </c>
      <c r="D8" s="4">
        <v>1.4156964607536799E-3</v>
      </c>
      <c r="E8">
        <v>6.4458705484867096E-2</v>
      </c>
      <c r="F8" s="4">
        <v>-2.3008859716355801E-3</v>
      </c>
      <c r="H8">
        <f t="shared" si="0"/>
        <v>-2.3008859716355801E-3</v>
      </c>
      <c r="I8">
        <f t="shared" si="1"/>
        <v>-6.4458705484867096E-2</v>
      </c>
      <c r="J8">
        <f t="shared" si="2"/>
        <v>1.4156964607536799E-3</v>
      </c>
      <c r="K8">
        <f t="shared" si="3"/>
        <v>-0.106676936149597</v>
      </c>
      <c r="L8">
        <f t="shared" si="4"/>
        <v>1.2914394028484801E-2</v>
      </c>
      <c r="M8">
        <f t="shared" si="5"/>
        <v>0.224694058299065</v>
      </c>
    </row>
    <row r="9" spans="1:13" x14ac:dyDescent="0.25">
      <c r="A9">
        <v>0.31581044197082497</v>
      </c>
      <c r="B9">
        <v>-7.6498836278915405E-5</v>
      </c>
      <c r="C9">
        <v>-0.15762710571289101</v>
      </c>
      <c r="D9">
        <v>-9.9709560163319089E-4</v>
      </c>
      <c r="E9">
        <v>9.0588927268981906E-2</v>
      </c>
      <c r="F9">
        <v>1.5420001000165899E-4</v>
      </c>
      <c r="H9">
        <f t="shared" si="0"/>
        <v>1.5420001000165899E-4</v>
      </c>
      <c r="I9">
        <f t="shared" si="1"/>
        <v>-9.0588927268981906E-2</v>
      </c>
      <c r="J9">
        <f t="shared" si="2"/>
        <v>-9.9709560163319089E-4</v>
      </c>
      <c r="K9">
        <f t="shared" si="3"/>
        <v>-0.15762710571289101</v>
      </c>
      <c r="L9">
        <f t="shared" si="4"/>
        <v>7.6498836278915405E-5</v>
      </c>
      <c r="M9">
        <f t="shared" si="5"/>
        <v>0.31581044197082497</v>
      </c>
    </row>
    <row r="10" spans="1:13" x14ac:dyDescent="0.25">
      <c r="A10">
        <v>0.204424828290939</v>
      </c>
      <c r="B10">
        <v>1.8327087163925199E-2</v>
      </c>
      <c r="C10">
        <v>-9.5448635518550901E-2</v>
      </c>
      <c r="D10">
        <v>-3.6627326626330601E-3</v>
      </c>
      <c r="E10">
        <v>5.8664917945861803E-2</v>
      </c>
      <c r="F10">
        <v>3.54892574250698E-3</v>
      </c>
      <c r="H10">
        <f t="shared" si="0"/>
        <v>3.54892574250698E-3</v>
      </c>
      <c r="I10">
        <f t="shared" si="1"/>
        <v>-5.8664917945861803E-2</v>
      </c>
      <c r="J10">
        <f t="shared" si="2"/>
        <v>-3.6627326626330601E-3</v>
      </c>
      <c r="K10">
        <f t="shared" si="3"/>
        <v>-9.5448635518550901E-2</v>
      </c>
      <c r="L10">
        <f t="shared" si="4"/>
        <v>-1.8327087163925199E-2</v>
      </c>
      <c r="M10">
        <f t="shared" si="5"/>
        <v>0.204424828290939</v>
      </c>
    </row>
    <row r="11" spans="1:13" x14ac:dyDescent="0.25">
      <c r="A11">
        <v>0.199122428894043</v>
      </c>
      <c r="B11">
        <v>-1.8111418932676301E-2</v>
      </c>
      <c r="C11">
        <v>-9.0512804687023204E-2</v>
      </c>
      <c r="D11">
        <v>2.2233272902667501E-3</v>
      </c>
      <c r="E11">
        <v>5.6882563978433602E-2</v>
      </c>
      <c r="F11">
        <v>-3.2538974191993501E-3</v>
      </c>
      <c r="H11">
        <f t="shared" si="0"/>
        <v>-3.2538974191993501E-3</v>
      </c>
      <c r="I11">
        <f t="shared" si="1"/>
        <v>-5.6882563978433602E-2</v>
      </c>
      <c r="J11">
        <f t="shared" si="2"/>
        <v>2.2233272902667501E-3</v>
      </c>
      <c r="K11">
        <f t="shared" si="3"/>
        <v>-9.0512804687023204E-2</v>
      </c>
      <c r="L11">
        <f t="shared" si="4"/>
        <v>1.8111418932676301E-2</v>
      </c>
      <c r="M11">
        <f t="shared" si="5"/>
        <v>0.199122428894043</v>
      </c>
    </row>
    <row r="12" spans="1:13" x14ac:dyDescent="0.25">
      <c r="A12">
        <v>0.33190307021141102</v>
      </c>
      <c r="B12">
        <v>-4.86113131046295E-4</v>
      </c>
      <c r="C12">
        <v>-0.16297052800655401</v>
      </c>
      <c r="D12">
        <v>-1.0439777979627299E-3</v>
      </c>
      <c r="E12">
        <v>9.5207482576370198E-2</v>
      </c>
      <c r="F12">
        <v>1.2265332043170899E-4</v>
      </c>
      <c r="H12">
        <f t="shared" si="0"/>
        <v>1.2265332043170899E-4</v>
      </c>
      <c r="I12">
        <f t="shared" si="1"/>
        <v>-9.5207482576370198E-2</v>
      </c>
      <c r="J12">
        <f t="shared" si="2"/>
        <v>-1.0439777979627299E-3</v>
      </c>
      <c r="K12">
        <f t="shared" si="3"/>
        <v>-0.16297052800655401</v>
      </c>
      <c r="L12">
        <f t="shared" si="4"/>
        <v>4.86113131046295E-4</v>
      </c>
      <c r="M12">
        <f t="shared" si="5"/>
        <v>0.33190307021141102</v>
      </c>
    </row>
    <row r="13" spans="1:13" x14ac:dyDescent="0.25">
      <c r="A13">
        <v>0.42998898029327398</v>
      </c>
      <c r="B13">
        <v>5.6979432702064503E-4</v>
      </c>
      <c r="C13">
        <v>-0.33463472127914401</v>
      </c>
      <c r="D13">
        <v>-1.54974625911564E-3</v>
      </c>
      <c r="E13">
        <v>0.13455995917320299</v>
      </c>
      <c r="F13">
        <v>4.6556734014302498E-4</v>
      </c>
      <c r="H13">
        <f t="shared" si="0"/>
        <v>4.6556734014302498E-4</v>
      </c>
      <c r="I13">
        <f t="shared" si="1"/>
        <v>-0.13455995917320299</v>
      </c>
      <c r="J13">
        <f t="shared" si="2"/>
        <v>-1.54974625911564E-3</v>
      </c>
      <c r="K13">
        <f t="shared" si="3"/>
        <v>-0.33463472127914401</v>
      </c>
      <c r="L13">
        <f t="shared" si="4"/>
        <v>-5.6979432702064503E-4</v>
      </c>
      <c r="M13">
        <f t="shared" si="5"/>
        <v>0.42998898029327398</v>
      </c>
    </row>
    <row r="14" spans="1:13" x14ac:dyDescent="0.25">
      <c r="A14">
        <v>0.40445050597190901</v>
      </c>
      <c r="B14">
        <v>1.27998143434525E-2</v>
      </c>
      <c r="C14">
        <v>-0.31214833259582497</v>
      </c>
      <c r="D14">
        <v>-3.4107193350791901E-3</v>
      </c>
      <c r="E14">
        <v>0.12638346850872001</v>
      </c>
      <c r="F14">
        <v>2.7635600417852402E-3</v>
      </c>
      <c r="H14">
        <f t="shared" si="0"/>
        <v>2.7635600417852402E-3</v>
      </c>
      <c r="I14">
        <f t="shared" si="1"/>
        <v>-0.12638346850872001</v>
      </c>
      <c r="J14">
        <f t="shared" si="2"/>
        <v>-3.4107193350791901E-3</v>
      </c>
      <c r="K14">
        <f t="shared" si="3"/>
        <v>-0.31214833259582497</v>
      </c>
      <c r="L14">
        <f t="shared" si="4"/>
        <v>-1.27998143434525E-2</v>
      </c>
      <c r="M14">
        <f t="shared" si="5"/>
        <v>0.40445050597190901</v>
      </c>
    </row>
    <row r="15" spans="1:13" x14ac:dyDescent="0.25">
      <c r="A15">
        <v>0.39820054173469499</v>
      </c>
      <c r="B15">
        <v>-7.9032443463802303E-3</v>
      </c>
      <c r="C15">
        <v>-0.30551758408546398</v>
      </c>
      <c r="D15" s="4">
        <v>-8.1646139733493301E-5</v>
      </c>
      <c r="E15">
        <v>0.12432137131691</v>
      </c>
      <c r="F15">
        <v>-1.09459296800196E-3</v>
      </c>
      <c r="H15">
        <f t="shared" si="0"/>
        <v>-1.09459296800196E-3</v>
      </c>
      <c r="I15">
        <f t="shared" si="1"/>
        <v>-0.12432137131691</v>
      </c>
      <c r="J15">
        <f t="shared" si="2"/>
        <v>-8.1646139733493301E-5</v>
      </c>
      <c r="K15">
        <f t="shared" si="3"/>
        <v>-0.30551758408546398</v>
      </c>
      <c r="L15">
        <f t="shared" si="4"/>
        <v>7.9032443463802303E-3</v>
      </c>
      <c r="M15">
        <f t="shared" si="5"/>
        <v>0.39820054173469499</v>
      </c>
    </row>
    <row r="16" spans="1:13" x14ac:dyDescent="0.25">
      <c r="A16">
        <v>0.416602432727814</v>
      </c>
      <c r="B16">
        <v>-5.8681890368461598E-4</v>
      </c>
      <c r="C16">
        <v>-0.31836175918579102</v>
      </c>
      <c r="D16">
        <v>-1.32465653587133E-3</v>
      </c>
      <c r="E16">
        <v>0.12994953989982599</v>
      </c>
      <c r="F16">
        <v>3.0349823646247398E-4</v>
      </c>
      <c r="H16">
        <f t="shared" si="0"/>
        <v>3.0349823646247398E-4</v>
      </c>
      <c r="I16">
        <f t="shared" si="1"/>
        <v>-0.12994953989982599</v>
      </c>
      <c r="J16">
        <f t="shared" si="2"/>
        <v>-1.32465653587133E-3</v>
      </c>
      <c r="K16">
        <f t="shared" si="3"/>
        <v>-0.31836175918579102</v>
      </c>
      <c r="L16">
        <f t="shared" si="4"/>
        <v>5.8681890368461598E-4</v>
      </c>
      <c r="M16">
        <f t="shared" si="5"/>
        <v>0.416602432727814</v>
      </c>
    </row>
    <row r="17" spans="1:13" x14ac:dyDescent="0.25">
      <c r="A17">
        <v>0.36223465204238903</v>
      </c>
      <c r="B17">
        <v>2.3869417607784299E-2</v>
      </c>
      <c r="C17">
        <v>-0.27269926667213401</v>
      </c>
      <c r="D17">
        <v>-4.92939818650484E-3</v>
      </c>
      <c r="E17">
        <v>0.113145597279072</v>
      </c>
      <c r="F17">
        <v>4.8077367246150996E-3</v>
      </c>
      <c r="H17">
        <f t="shared" si="0"/>
        <v>4.8077367246150996E-3</v>
      </c>
      <c r="I17">
        <f t="shared" si="1"/>
        <v>-0.113145597279072</v>
      </c>
      <c r="J17">
        <f t="shared" si="2"/>
        <v>-4.92939818650484E-3</v>
      </c>
      <c r="K17">
        <f t="shared" si="3"/>
        <v>-0.27269926667213401</v>
      </c>
      <c r="L17">
        <f t="shared" si="4"/>
        <v>-2.3869417607784299E-2</v>
      </c>
      <c r="M17">
        <f t="shared" si="5"/>
        <v>0.36223465204238903</v>
      </c>
    </row>
    <row r="18" spans="1:13" x14ac:dyDescent="0.25">
      <c r="A18">
        <v>0.35498845577240001</v>
      </c>
      <c r="B18">
        <v>-2.2937936708331101E-2</v>
      </c>
      <c r="C18">
        <v>-0.26526337862014798</v>
      </c>
      <c r="D18">
        <v>2.3674322292208702E-3</v>
      </c>
      <c r="E18">
        <v>0.11084070801734899</v>
      </c>
      <c r="F18">
        <v>-3.8453126326203299E-3</v>
      </c>
      <c r="H18">
        <f t="shared" si="0"/>
        <v>-3.8453126326203299E-3</v>
      </c>
      <c r="I18">
        <f t="shared" si="1"/>
        <v>-0.11084070801734899</v>
      </c>
      <c r="J18">
        <f t="shared" si="2"/>
        <v>2.3674322292208702E-3</v>
      </c>
      <c r="K18">
        <f t="shared" si="3"/>
        <v>-0.26526337862014798</v>
      </c>
      <c r="L18">
        <f t="shared" si="4"/>
        <v>2.2937936708331101E-2</v>
      </c>
      <c r="M18">
        <f t="shared" si="5"/>
        <v>0.35498845577240001</v>
      </c>
    </row>
    <row r="19" spans="1:13" x14ac:dyDescent="0.25">
      <c r="A19">
        <v>0.42583167552947998</v>
      </c>
      <c r="B19">
        <v>-1.9564218819141401E-3</v>
      </c>
      <c r="C19">
        <v>-0.32538154721260099</v>
      </c>
      <c r="D19">
        <v>-1.17106991820037E-3</v>
      </c>
      <c r="E19">
        <v>0.13312196731567399</v>
      </c>
      <c r="F19" s="4">
        <v>9.0912333689630004E-5</v>
      </c>
      <c r="H19">
        <f t="shared" si="0"/>
        <v>9.0912333689630004E-5</v>
      </c>
      <c r="I19">
        <f t="shared" si="1"/>
        <v>-0.13312196731567399</v>
      </c>
      <c r="J19">
        <f t="shared" si="2"/>
        <v>-1.17106991820037E-3</v>
      </c>
      <c r="K19">
        <f t="shared" si="3"/>
        <v>-0.32538154721260099</v>
      </c>
      <c r="L19">
        <f t="shared" si="4"/>
        <v>1.9564218819141401E-3</v>
      </c>
      <c r="M19">
        <f t="shared" si="5"/>
        <v>0.42583167552947998</v>
      </c>
    </row>
    <row r="20" spans="1:13" x14ac:dyDescent="0.25">
      <c r="A20">
        <v>0.32821264863014199</v>
      </c>
      <c r="B20">
        <v>3.3672533929347999E-2</v>
      </c>
      <c r="C20">
        <v>-0.24302496016025499</v>
      </c>
      <c r="D20">
        <v>-6.3366619870066599E-3</v>
      </c>
      <c r="E20">
        <v>0.102738752961159</v>
      </c>
      <c r="F20">
        <v>6.6393953748047404E-3</v>
      </c>
      <c r="H20">
        <f t="shared" si="0"/>
        <v>6.6393953748047404E-3</v>
      </c>
      <c r="I20">
        <f t="shared" si="1"/>
        <v>-0.102738752961159</v>
      </c>
      <c r="J20">
        <f t="shared" si="2"/>
        <v>-6.3366619870066599E-3</v>
      </c>
      <c r="K20">
        <f t="shared" si="3"/>
        <v>-0.24302496016025499</v>
      </c>
      <c r="L20">
        <f t="shared" si="4"/>
        <v>-3.3672533929347999E-2</v>
      </c>
      <c r="M20">
        <f t="shared" si="5"/>
        <v>0.32821264863014199</v>
      </c>
    </row>
    <row r="21" spans="1:13" x14ac:dyDescent="0.25">
      <c r="A21">
        <v>0.31887066364288302</v>
      </c>
      <c r="B21">
        <v>-3.45250852406025E-2</v>
      </c>
      <c r="C21">
        <v>-0.23266792297363301</v>
      </c>
      <c r="D21">
        <v>4.2782211676240002E-3</v>
      </c>
      <c r="E21">
        <v>9.9644310772419004E-2</v>
      </c>
      <c r="F21">
        <v>-6.1084558255970504E-3</v>
      </c>
      <c r="H21">
        <f t="shared" si="0"/>
        <v>-6.1084558255970504E-3</v>
      </c>
      <c r="I21">
        <f t="shared" si="1"/>
        <v>-9.9644310772419004E-2</v>
      </c>
      <c r="J21">
        <f t="shared" si="2"/>
        <v>4.2782211676240002E-3</v>
      </c>
      <c r="K21">
        <f t="shared" si="3"/>
        <v>-0.23266792297363301</v>
      </c>
      <c r="L21">
        <f t="shared" si="4"/>
        <v>3.45250852406025E-2</v>
      </c>
      <c r="M21">
        <f t="shared" si="5"/>
        <v>0.31887066364288302</v>
      </c>
    </row>
    <row r="22" spans="1:13" x14ac:dyDescent="0.25">
      <c r="A22">
        <v>0.42967307567596402</v>
      </c>
      <c r="B22">
        <v>-2.4412311613559701E-3</v>
      </c>
      <c r="C22">
        <v>-0.32878553867340099</v>
      </c>
      <c r="D22">
        <v>-1.1057034134864801E-3</v>
      </c>
      <c r="E22">
        <v>0.13477577269077301</v>
      </c>
      <c r="F22" s="4">
        <v>-1.8417136743664701E-5</v>
      </c>
      <c r="H22">
        <f t="shared" si="0"/>
        <v>-1.8417136743664701E-5</v>
      </c>
      <c r="I22">
        <f t="shared" si="1"/>
        <v>-0.13477577269077301</v>
      </c>
      <c r="J22">
        <f t="shared" si="2"/>
        <v>-1.1057034134864801E-3</v>
      </c>
      <c r="K22">
        <f t="shared" si="3"/>
        <v>-0.32878553867340099</v>
      </c>
      <c r="L22">
        <f t="shared" si="4"/>
        <v>2.4412311613559701E-3</v>
      </c>
      <c r="M22">
        <f t="shared" si="5"/>
        <v>0.42967307567596402</v>
      </c>
    </row>
    <row r="23" spans="1:13" x14ac:dyDescent="0.25">
      <c r="A23">
        <v>0.105719238519669</v>
      </c>
      <c r="B23">
        <v>3.6365408450365101E-3</v>
      </c>
      <c r="C23">
        <v>-0.53618127107620195</v>
      </c>
      <c r="D23">
        <v>-2.0511765033006698E-3</v>
      </c>
      <c r="E23">
        <v>0.113915167748928</v>
      </c>
      <c r="F23">
        <v>1.2284044642001399E-3</v>
      </c>
      <c r="H23">
        <f t="shared" si="0"/>
        <v>1.2284044642001399E-3</v>
      </c>
      <c r="I23">
        <f t="shared" si="1"/>
        <v>-0.113915167748928</v>
      </c>
      <c r="J23">
        <f t="shared" si="2"/>
        <v>-2.0511765033006698E-3</v>
      </c>
      <c r="K23">
        <f t="shared" si="3"/>
        <v>-0.53618127107620195</v>
      </c>
      <c r="L23">
        <f t="shared" si="4"/>
        <v>-3.6365408450365101E-3</v>
      </c>
      <c r="M23">
        <f t="shared" si="5"/>
        <v>0.105719238519669</v>
      </c>
    </row>
    <row r="24" spans="1:13" x14ac:dyDescent="0.25">
      <c r="A24">
        <v>6.5671034157276195E-2</v>
      </c>
      <c r="B24">
        <v>1.8430761992931401E-2</v>
      </c>
      <c r="C24">
        <v>-0.41343912482261702</v>
      </c>
      <c r="D24">
        <v>-3.5368353128433202E-3</v>
      </c>
      <c r="E24">
        <v>8.8343590497970595E-2</v>
      </c>
      <c r="F24">
        <v>3.8382182829081999E-3</v>
      </c>
      <c r="H24">
        <f t="shared" si="0"/>
        <v>3.8382182829081999E-3</v>
      </c>
      <c r="I24">
        <f t="shared" si="1"/>
        <v>-8.8343590497970595E-2</v>
      </c>
      <c r="J24">
        <f t="shared" si="2"/>
        <v>-3.5368353128433202E-3</v>
      </c>
      <c r="K24">
        <f t="shared" si="3"/>
        <v>-0.41343912482261702</v>
      </c>
      <c r="L24">
        <f t="shared" si="4"/>
        <v>-1.8430761992931401E-2</v>
      </c>
      <c r="M24">
        <f t="shared" si="5"/>
        <v>6.5671034157276195E-2</v>
      </c>
    </row>
    <row r="25" spans="1:13" x14ac:dyDescent="0.25">
      <c r="A25">
        <v>5.9520550072193097E-2</v>
      </c>
      <c r="B25">
        <v>-8.7560154497623392E-3</v>
      </c>
      <c r="C25">
        <v>-0.39028978347778298</v>
      </c>
      <c r="D25">
        <v>6.3753977883607095E-5</v>
      </c>
      <c r="E25">
        <v>8.3852507174015004E-2</v>
      </c>
      <c r="F25">
        <v>-1.1623625177890099E-3</v>
      </c>
      <c r="H25">
        <f t="shared" si="0"/>
        <v>-1.1623625177890099E-3</v>
      </c>
      <c r="I25">
        <f t="shared" si="1"/>
        <v>-8.3852507174015004E-2</v>
      </c>
      <c r="J25">
        <f t="shared" si="2"/>
        <v>6.3753977883607095E-5</v>
      </c>
      <c r="K25">
        <f t="shared" si="3"/>
        <v>-0.39028978347778298</v>
      </c>
      <c r="L25">
        <f t="shared" si="4"/>
        <v>8.7560154497623392E-3</v>
      </c>
      <c r="M25">
        <f t="shared" si="5"/>
        <v>5.9520550072193097E-2</v>
      </c>
    </row>
    <row r="26" spans="1:13" x14ac:dyDescent="0.25">
      <c r="A26">
        <v>6.0908857733011197E-2</v>
      </c>
      <c r="B26">
        <v>1.74019858241081E-3</v>
      </c>
      <c r="C26">
        <v>-0.40222004055976901</v>
      </c>
      <c r="D26">
        <v>-1.3630648609250799E-3</v>
      </c>
      <c r="E26">
        <v>8.6440630257129697E-2</v>
      </c>
      <c r="F26">
        <v>7.5774901779368498E-4</v>
      </c>
      <c r="H26">
        <f t="shared" si="0"/>
        <v>7.5774901779368498E-4</v>
      </c>
      <c r="I26">
        <f t="shared" si="1"/>
        <v>-8.6440630257129697E-2</v>
      </c>
      <c r="J26">
        <f t="shared" si="2"/>
        <v>-1.3630648609250799E-3</v>
      </c>
      <c r="K26">
        <f t="shared" si="3"/>
        <v>-0.40222004055976901</v>
      </c>
      <c r="L26">
        <f t="shared" si="4"/>
        <v>-1.74019858241081E-3</v>
      </c>
      <c r="M26">
        <f t="shared" si="5"/>
        <v>6.0908857733011197E-2</v>
      </c>
    </row>
    <row r="27" spans="1:13" x14ac:dyDescent="0.25">
      <c r="A27">
        <v>5.04887700080872E-2</v>
      </c>
      <c r="B27">
        <v>2.8791576623916602E-2</v>
      </c>
      <c r="C27">
        <v>-0.33152928948402399</v>
      </c>
      <c r="D27">
        <v>-4.5013180933892701E-3</v>
      </c>
      <c r="E27">
        <v>7.3084950447082506E-2</v>
      </c>
      <c r="F27">
        <v>5.4894238710403399E-3</v>
      </c>
      <c r="H27">
        <f t="shared" si="0"/>
        <v>5.4894238710403399E-3</v>
      </c>
      <c r="I27">
        <f t="shared" si="1"/>
        <v>-7.3084950447082506E-2</v>
      </c>
      <c r="J27">
        <f t="shared" si="2"/>
        <v>-4.5013180933892701E-3</v>
      </c>
      <c r="K27">
        <f t="shared" si="3"/>
        <v>-0.33152928948402399</v>
      </c>
      <c r="L27">
        <f t="shared" si="4"/>
        <v>-2.8791576623916602E-2</v>
      </c>
      <c r="M27">
        <f t="shared" si="5"/>
        <v>5.04887700080872E-2</v>
      </c>
    </row>
    <row r="28" spans="1:13" x14ac:dyDescent="0.25">
      <c r="A28">
        <v>4.8302024602890001E-2</v>
      </c>
      <c r="B28">
        <v>-2.2920258343219799E-2</v>
      </c>
      <c r="C28">
        <v>-0.32302460074424699</v>
      </c>
      <c r="D28">
        <v>1.9640875980258001E-3</v>
      </c>
      <c r="E28">
        <v>7.1629539132118197E-2</v>
      </c>
      <c r="F28">
        <v>-3.8221823051571798E-3</v>
      </c>
      <c r="H28">
        <f t="shared" si="0"/>
        <v>-3.8221823051571798E-3</v>
      </c>
      <c r="I28">
        <f t="shared" si="1"/>
        <v>-7.1629539132118197E-2</v>
      </c>
      <c r="J28">
        <f t="shared" si="2"/>
        <v>1.9640875980258001E-3</v>
      </c>
      <c r="K28">
        <f t="shared" si="3"/>
        <v>-0.32302460074424699</v>
      </c>
      <c r="L28">
        <f t="shared" si="4"/>
        <v>2.2920258343219799E-2</v>
      </c>
      <c r="M28">
        <f t="shared" si="5"/>
        <v>4.8302024602890001E-2</v>
      </c>
    </row>
    <row r="29" spans="1:13" x14ac:dyDescent="0.25">
      <c r="A29">
        <v>6.0439635068178198E-2</v>
      </c>
      <c r="B29">
        <v>4.17940318584442E-5</v>
      </c>
      <c r="C29">
        <v>-0.412547796964645</v>
      </c>
      <c r="D29">
        <v>-1.20672176126391E-3</v>
      </c>
      <c r="E29">
        <v>8.8732577860355405E-2</v>
      </c>
      <c r="F29">
        <v>5.0750182708725301E-4</v>
      </c>
      <c r="H29">
        <f t="shared" si="0"/>
        <v>5.0750182708725301E-4</v>
      </c>
      <c r="I29">
        <f t="shared" si="1"/>
        <v>-8.8732577860355405E-2</v>
      </c>
      <c r="J29">
        <f t="shared" si="2"/>
        <v>-1.20672176126391E-3</v>
      </c>
      <c r="K29">
        <f t="shared" si="3"/>
        <v>-0.412547796964645</v>
      </c>
      <c r="L29">
        <f t="shared" si="4"/>
        <v>-4.17940318584442E-5</v>
      </c>
      <c r="M29">
        <f t="shared" si="5"/>
        <v>6.0439635068178198E-2</v>
      </c>
    </row>
    <row r="30" spans="1:13" x14ac:dyDescent="0.25">
      <c r="A30">
        <v>4.2753197252750397E-2</v>
      </c>
      <c r="B30">
        <v>3.8700658828020103E-2</v>
      </c>
      <c r="C30">
        <v>-0.28514552116393999</v>
      </c>
      <c r="D30">
        <v>-5.52379293367267E-3</v>
      </c>
      <c r="E30">
        <v>6.5072715282440199E-2</v>
      </c>
      <c r="F30">
        <v>7.1500753983855204E-3</v>
      </c>
      <c r="H30">
        <f t="shared" si="0"/>
        <v>7.1500753983855204E-3</v>
      </c>
      <c r="I30">
        <f t="shared" si="1"/>
        <v>-6.5072715282440199E-2</v>
      </c>
      <c r="J30">
        <f t="shared" si="2"/>
        <v>-5.52379293367267E-3</v>
      </c>
      <c r="K30">
        <f t="shared" si="3"/>
        <v>-0.28514552116393999</v>
      </c>
      <c r="L30">
        <f t="shared" si="4"/>
        <v>-3.8700658828020103E-2</v>
      </c>
      <c r="M30">
        <f t="shared" si="5"/>
        <v>4.2753197252750397E-2</v>
      </c>
    </row>
    <row r="31" spans="1:13" x14ac:dyDescent="0.25">
      <c r="A31">
        <v>3.9808422327041598E-2</v>
      </c>
      <c r="B31">
        <v>-3.6031112074851997E-2</v>
      </c>
      <c r="C31">
        <v>-0.26937389373779302</v>
      </c>
      <c r="D31">
        <v>3.6217607557773599E-3</v>
      </c>
      <c r="E31">
        <v>6.2135655432939502E-2</v>
      </c>
      <c r="F31">
        <v>-6.2153153121471396E-3</v>
      </c>
      <c r="H31">
        <f t="shared" si="0"/>
        <v>-6.2153153121471396E-3</v>
      </c>
      <c r="I31">
        <f t="shared" si="1"/>
        <v>-6.2135655432939502E-2</v>
      </c>
      <c r="J31">
        <f t="shared" si="2"/>
        <v>3.6217607557773599E-3</v>
      </c>
      <c r="K31">
        <f t="shared" si="3"/>
        <v>-0.26937389373779302</v>
      </c>
      <c r="L31">
        <f t="shared" si="4"/>
        <v>3.6031112074851997E-2</v>
      </c>
      <c r="M31">
        <f t="shared" si="5"/>
        <v>3.9808422327041598E-2</v>
      </c>
    </row>
    <row r="32" spans="1:13" x14ac:dyDescent="0.25">
      <c r="A32">
        <v>5.8439146727323497E-2</v>
      </c>
      <c r="B32">
        <v>-2.3646838963031801E-4</v>
      </c>
      <c r="C32">
        <v>-0.408759385347366</v>
      </c>
      <c r="D32">
        <v>-1.14210275933146E-3</v>
      </c>
      <c r="E32">
        <v>8.8129743933677701E-2</v>
      </c>
      <c r="F32">
        <v>3.31332674250007E-4</v>
      </c>
      <c r="H32">
        <f t="shared" si="0"/>
        <v>3.31332674250007E-4</v>
      </c>
      <c r="I32">
        <f t="shared" si="1"/>
        <v>-8.8129743933677701E-2</v>
      </c>
      <c r="J32">
        <f t="shared" si="2"/>
        <v>-1.14210275933146E-3</v>
      </c>
      <c r="K32">
        <f t="shared" si="3"/>
        <v>-0.408759385347366</v>
      </c>
      <c r="L32">
        <f t="shared" si="4"/>
        <v>2.3646838963031801E-4</v>
      </c>
      <c r="M32">
        <f t="shared" si="5"/>
        <v>5.8439146727323497E-2</v>
      </c>
    </row>
    <row r="33" spans="1:13" x14ac:dyDescent="0.25">
      <c r="A33">
        <v>0.17655885219574</v>
      </c>
      <c r="B33">
        <v>1.8407814204692799E-3</v>
      </c>
      <c r="C33">
        <v>-7.6781243085861206E-2</v>
      </c>
      <c r="D33">
        <v>-6.3943007262423602E-4</v>
      </c>
      <c r="E33">
        <v>5.9686940163373899E-2</v>
      </c>
      <c r="F33">
        <v>-9.6103904070332606E-5</v>
      </c>
      <c r="H33">
        <f t="shared" si="0"/>
        <v>-9.6103904070332606E-5</v>
      </c>
      <c r="I33">
        <f t="shared" si="1"/>
        <v>-5.9686940163373899E-2</v>
      </c>
      <c r="J33">
        <f t="shared" si="2"/>
        <v>-6.3943007262423602E-4</v>
      </c>
      <c r="K33">
        <f t="shared" si="3"/>
        <v>-7.6781243085861206E-2</v>
      </c>
      <c r="L33">
        <f t="shared" si="4"/>
        <v>-1.8407814204692799E-3</v>
      </c>
      <c r="M33">
        <f t="shared" si="5"/>
        <v>0.17655885219574</v>
      </c>
    </row>
    <row r="34" spans="1:13" x14ac:dyDescent="0.25">
      <c r="A34">
        <v>0.15282407402992201</v>
      </c>
      <c r="B34">
        <v>1.05602666735649E-2</v>
      </c>
      <c r="C34">
        <v>-6.5182447433471694E-2</v>
      </c>
      <c r="D34">
        <v>-2.6427994016557902E-3</v>
      </c>
      <c r="E34">
        <v>5.1898334175348303E-2</v>
      </c>
      <c r="F34">
        <v>1.4402139931917199E-3</v>
      </c>
      <c r="H34">
        <f t="shared" si="0"/>
        <v>1.4402139931917199E-3</v>
      </c>
      <c r="I34">
        <f t="shared" si="1"/>
        <v>-5.1898334175348303E-2</v>
      </c>
      <c r="J34">
        <f t="shared" si="2"/>
        <v>-2.6427994016557902E-3</v>
      </c>
      <c r="K34">
        <f t="shared" si="3"/>
        <v>-6.5182447433471694E-2</v>
      </c>
      <c r="L34">
        <f t="shared" si="4"/>
        <v>-1.05602666735649E-2</v>
      </c>
      <c r="M34">
        <f t="shared" si="5"/>
        <v>0.15282407402992201</v>
      </c>
    </row>
    <row r="35" spans="1:13" x14ac:dyDescent="0.25">
      <c r="A35">
        <v>0.15045405924320199</v>
      </c>
      <c r="B35">
        <v>-4.4592213816940802E-3</v>
      </c>
      <c r="C35">
        <v>-6.11056536436081E-2</v>
      </c>
      <c r="D35">
        <v>1.07883068267256E-3</v>
      </c>
      <c r="E35">
        <v>5.0718866288661998E-2</v>
      </c>
      <c r="F35">
        <v>-1.3236163649708E-3</v>
      </c>
      <c r="H35">
        <f t="shared" si="0"/>
        <v>-1.3236163649708E-3</v>
      </c>
      <c r="I35">
        <f t="shared" si="1"/>
        <v>-5.0718866288661998E-2</v>
      </c>
      <c r="J35">
        <f t="shared" si="2"/>
        <v>1.07883068267256E-3</v>
      </c>
      <c r="K35">
        <f t="shared" si="3"/>
        <v>-6.11056536436081E-2</v>
      </c>
      <c r="L35">
        <f t="shared" si="4"/>
        <v>4.4592213816940802E-3</v>
      </c>
      <c r="M35">
        <f t="shared" si="5"/>
        <v>0.15045405924320199</v>
      </c>
    </row>
    <row r="36" spans="1:13" x14ac:dyDescent="0.25">
      <c r="A36">
        <v>0.18208906054496801</v>
      </c>
      <c r="B36">
        <v>1.7534289509058001E-3</v>
      </c>
      <c r="C36">
        <v>-8.0417476594448103E-2</v>
      </c>
      <c r="D36">
        <v>-6.4612115966156103E-4</v>
      </c>
      <c r="E36">
        <v>6.17353655397892E-2</v>
      </c>
      <c r="F36">
        <v>-1.1979727423749899E-4</v>
      </c>
      <c r="H36">
        <f t="shared" si="0"/>
        <v>-1.1979727423749899E-4</v>
      </c>
      <c r="I36">
        <f t="shared" si="1"/>
        <v>-6.17353655397892E-2</v>
      </c>
      <c r="J36">
        <f t="shared" si="2"/>
        <v>-6.4612115966156103E-4</v>
      </c>
      <c r="K36">
        <f t="shared" si="3"/>
        <v>-8.0417476594448103E-2</v>
      </c>
      <c r="L36">
        <f t="shared" si="4"/>
        <v>-1.7534289509058001E-3</v>
      </c>
      <c r="M36">
        <f t="shared" si="5"/>
        <v>0.18208906054496801</v>
      </c>
    </row>
    <row r="37" spans="1:13" x14ac:dyDescent="0.25">
      <c r="A37">
        <v>0.12777601182460799</v>
      </c>
      <c r="B37">
        <v>1.5880528837442402E-2</v>
      </c>
      <c r="C37">
        <v>-5.0444856286048903E-2</v>
      </c>
      <c r="D37">
        <v>-3.6665506195277002E-3</v>
      </c>
      <c r="E37">
        <v>4.3545987457037E-2</v>
      </c>
      <c r="F37">
        <v>2.2691045887768299E-3</v>
      </c>
      <c r="H37">
        <f t="shared" si="0"/>
        <v>2.2691045887768299E-3</v>
      </c>
      <c r="I37">
        <f t="shared" si="1"/>
        <v>-4.3545987457037E-2</v>
      </c>
      <c r="J37">
        <f t="shared" si="2"/>
        <v>-3.6665506195277002E-3</v>
      </c>
      <c r="K37">
        <f t="shared" si="3"/>
        <v>-5.0444856286048903E-2</v>
      </c>
      <c r="L37">
        <f t="shared" si="4"/>
        <v>-1.5880528837442402E-2</v>
      </c>
      <c r="M37">
        <f t="shared" si="5"/>
        <v>0.12777601182460799</v>
      </c>
    </row>
    <row r="38" spans="1:13" x14ac:dyDescent="0.25">
      <c r="A38">
        <v>0.122638940811157</v>
      </c>
      <c r="B38">
        <v>-1.1586207896470999E-2</v>
      </c>
      <c r="C38">
        <v>-4.7138735651969903E-2</v>
      </c>
      <c r="D38">
        <v>2.6682387106120599E-3</v>
      </c>
      <c r="E38">
        <v>4.1704267263412503E-2</v>
      </c>
      <c r="F38">
        <v>-2.5864504277706099E-3</v>
      </c>
      <c r="H38">
        <f t="shared" si="0"/>
        <v>-2.5864504277706099E-3</v>
      </c>
      <c r="I38">
        <f t="shared" si="1"/>
        <v>-4.1704267263412503E-2</v>
      </c>
      <c r="J38">
        <f t="shared" si="2"/>
        <v>2.6682387106120599E-3</v>
      </c>
      <c r="K38">
        <f t="shared" si="3"/>
        <v>-4.7138735651969903E-2</v>
      </c>
      <c r="L38">
        <f t="shared" si="4"/>
        <v>1.1586207896470999E-2</v>
      </c>
      <c r="M38">
        <f t="shared" si="5"/>
        <v>0.122638940811157</v>
      </c>
    </row>
    <row r="39" spans="1:13" x14ac:dyDescent="0.25">
      <c r="A39">
        <v>0.19720575213432301</v>
      </c>
      <c r="B39">
        <v>2.0322864875197402E-3</v>
      </c>
      <c r="C39">
        <v>-8.5601903498172802E-2</v>
      </c>
      <c r="D39">
        <v>-7.5205729808658405E-4</v>
      </c>
      <c r="E39">
        <v>6.6627398133277893E-2</v>
      </c>
      <c r="F39">
        <v>-9.6828123787417994E-5</v>
      </c>
      <c r="H39">
        <f t="shared" si="0"/>
        <v>-9.6828123787417994E-5</v>
      </c>
      <c r="I39">
        <f t="shared" si="1"/>
        <v>-6.6627398133277893E-2</v>
      </c>
      <c r="J39">
        <f t="shared" si="2"/>
        <v>-7.5205729808658405E-4</v>
      </c>
      <c r="K39">
        <f t="shared" si="3"/>
        <v>-8.5601903498172802E-2</v>
      </c>
      <c r="L39">
        <f t="shared" si="4"/>
        <v>-2.0322864875197402E-3</v>
      </c>
      <c r="M39">
        <f t="shared" si="5"/>
        <v>0.19720575213432301</v>
      </c>
    </row>
    <row r="40" spans="1:13" x14ac:dyDescent="0.25">
      <c r="A40">
        <v>0.106608189642429</v>
      </c>
      <c r="B40">
        <v>2.0685818046331399E-2</v>
      </c>
      <c r="C40">
        <v>-3.5666882991790799E-2</v>
      </c>
      <c r="D40">
        <v>-4.5362347736954698E-3</v>
      </c>
      <c r="E40">
        <v>3.6098230630159399E-2</v>
      </c>
      <c r="F40">
        <v>3.0519608408212701E-3</v>
      </c>
      <c r="H40">
        <f t="shared" si="0"/>
        <v>3.0519608408212701E-3</v>
      </c>
      <c r="I40">
        <f t="shared" si="1"/>
        <v>-3.6098230630159399E-2</v>
      </c>
      <c r="J40">
        <f t="shared" si="2"/>
        <v>-4.5362347736954698E-3</v>
      </c>
      <c r="K40">
        <f t="shared" si="3"/>
        <v>-3.5666882991790799E-2</v>
      </c>
      <c r="L40">
        <f t="shared" si="4"/>
        <v>-2.0685818046331399E-2</v>
      </c>
      <c r="M40">
        <f t="shared" si="5"/>
        <v>0.106608189642429</v>
      </c>
    </row>
    <row r="41" spans="1:13" x14ac:dyDescent="0.25">
      <c r="A41">
        <v>0.101495251059532</v>
      </c>
      <c r="B41">
        <v>-1.5442168340086901E-2</v>
      </c>
      <c r="C41">
        <v>-3.35270911455154E-2</v>
      </c>
      <c r="D41">
        <v>3.5208382178097998E-3</v>
      </c>
      <c r="E41">
        <v>3.4567233175039298E-2</v>
      </c>
      <c r="F41">
        <v>-3.3382773399353001E-3</v>
      </c>
      <c r="H41">
        <f t="shared" si="0"/>
        <v>-3.3382773399353001E-3</v>
      </c>
      <c r="I41">
        <f t="shared" si="1"/>
        <v>-3.4567233175039298E-2</v>
      </c>
      <c r="J41">
        <f t="shared" si="2"/>
        <v>3.5208382178097998E-3</v>
      </c>
      <c r="K41">
        <f t="shared" si="3"/>
        <v>-3.35270911455154E-2</v>
      </c>
      <c r="L41">
        <f t="shared" si="4"/>
        <v>1.5442168340086901E-2</v>
      </c>
      <c r="M41">
        <f t="shared" si="5"/>
        <v>0.101495251059532</v>
      </c>
    </row>
    <row r="42" spans="1:13" x14ac:dyDescent="0.25">
      <c r="A42">
        <v>0.21290627121925401</v>
      </c>
      <c r="B42">
        <v>1.1441409587860101E-3</v>
      </c>
      <c r="C42">
        <v>-9.2133581638336196E-2</v>
      </c>
      <c r="D42">
        <v>-5.9856439474970102E-4</v>
      </c>
      <c r="E42">
        <v>7.1918331086635603E-2</v>
      </c>
      <c r="F42">
        <v>-3.1255272915586802E-4</v>
      </c>
      <c r="H42">
        <f t="shared" si="0"/>
        <v>-3.1255272915586802E-4</v>
      </c>
      <c r="I42">
        <f t="shared" si="1"/>
        <v>-7.1918331086635603E-2</v>
      </c>
      <c r="J42">
        <f t="shared" si="2"/>
        <v>-5.9856439474970102E-4</v>
      </c>
      <c r="K42">
        <f t="shared" si="3"/>
        <v>-9.2133581638336196E-2</v>
      </c>
      <c r="L42">
        <f t="shared" si="4"/>
        <v>-1.1441409587860101E-3</v>
      </c>
      <c r="M42">
        <f t="shared" si="5"/>
        <v>0.21290627121925401</v>
      </c>
    </row>
    <row r="43" spans="1:13" x14ac:dyDescent="0.25">
      <c r="A43">
        <v>3.3172652125358602E-2</v>
      </c>
      <c r="B43">
        <v>7.8587606549263E-4</v>
      </c>
      <c r="C43">
        <v>-0.387284815311432</v>
      </c>
      <c r="D43">
        <v>-2.0893728360533701E-3</v>
      </c>
      <c r="E43">
        <v>8.2236602902412401E-2</v>
      </c>
      <c r="F43">
        <v>6.8014755379408598E-4</v>
      </c>
      <c r="H43">
        <f t="shared" si="0"/>
        <v>6.8014755379408598E-4</v>
      </c>
      <c r="I43">
        <f t="shared" si="1"/>
        <v>-8.2236602902412401E-2</v>
      </c>
      <c r="J43">
        <f t="shared" si="2"/>
        <v>-2.0893728360533701E-3</v>
      </c>
      <c r="K43">
        <f t="shared" si="3"/>
        <v>-0.387284815311432</v>
      </c>
      <c r="L43">
        <f t="shared" si="4"/>
        <v>-7.8587606549263E-4</v>
      </c>
      <c r="M43">
        <f t="shared" si="5"/>
        <v>3.3172652125358602E-2</v>
      </c>
    </row>
    <row r="44" spans="1:13" x14ac:dyDescent="0.25">
      <c r="A44">
        <v>1.7418351024389302E-2</v>
      </c>
      <c r="B44">
        <v>1.54179837554693E-2</v>
      </c>
      <c r="C44">
        <v>-0.306052505970001</v>
      </c>
      <c r="D44">
        <v>-4.0368093177676201E-3</v>
      </c>
      <c r="E44">
        <v>6.55329003930092E-2</v>
      </c>
      <c r="F44">
        <v>3.3882816787809099E-3</v>
      </c>
      <c r="H44">
        <f t="shared" si="0"/>
        <v>3.3882816787809099E-3</v>
      </c>
      <c r="I44">
        <f t="shared" si="1"/>
        <v>-6.55329003930092E-2</v>
      </c>
      <c r="J44">
        <f t="shared" si="2"/>
        <v>-4.0368093177676201E-3</v>
      </c>
      <c r="K44">
        <f t="shared" si="3"/>
        <v>-0.306052505970001</v>
      </c>
      <c r="L44">
        <f t="shared" si="4"/>
        <v>-1.54179837554693E-2</v>
      </c>
      <c r="M44">
        <f t="shared" si="5"/>
        <v>1.7418351024389302E-2</v>
      </c>
    </row>
    <row r="45" spans="1:13" x14ac:dyDescent="0.25">
      <c r="A45">
        <v>1.5695527195930498E-2</v>
      </c>
      <c r="B45">
        <v>-1.1657871305942501E-2</v>
      </c>
      <c r="C45">
        <v>-0.28483009338378901</v>
      </c>
      <c r="D45">
        <v>5.5631331633776405E-4</v>
      </c>
      <c r="E45">
        <v>6.1465077102184303E-2</v>
      </c>
      <c r="F45">
        <v>-1.8048633355647299E-3</v>
      </c>
      <c r="H45">
        <f t="shared" si="0"/>
        <v>-1.8048633355647299E-3</v>
      </c>
      <c r="I45">
        <f t="shared" si="1"/>
        <v>-6.1465077102184303E-2</v>
      </c>
      <c r="J45">
        <f t="shared" si="2"/>
        <v>5.5631331633776405E-4</v>
      </c>
      <c r="K45">
        <f t="shared" si="3"/>
        <v>-0.28483009338378901</v>
      </c>
      <c r="L45">
        <f t="shared" si="4"/>
        <v>1.1657871305942501E-2</v>
      </c>
      <c r="M45">
        <f t="shared" si="5"/>
        <v>1.5695527195930498E-2</v>
      </c>
    </row>
    <row r="46" spans="1:13" x14ac:dyDescent="0.25">
      <c r="A46">
        <v>1.6724463552236599E-2</v>
      </c>
      <c r="B46">
        <v>-2.0269826054573098E-3</v>
      </c>
      <c r="C46">
        <v>-0.31687593460083002</v>
      </c>
      <c r="D46">
        <v>-1.24910078011453E-3</v>
      </c>
      <c r="E46">
        <v>6.7602455615997301E-2</v>
      </c>
      <c r="F46">
        <v>1.2752873590216E-4</v>
      </c>
      <c r="H46">
        <f t="shared" si="0"/>
        <v>1.2752873590216E-4</v>
      </c>
      <c r="I46">
        <f t="shared" si="1"/>
        <v>-6.7602455615997301E-2</v>
      </c>
      <c r="J46">
        <f t="shared" si="2"/>
        <v>-1.24910078011453E-3</v>
      </c>
      <c r="K46">
        <f t="shared" si="3"/>
        <v>-0.31687593460083002</v>
      </c>
      <c r="L46">
        <f t="shared" si="4"/>
        <v>2.0269826054573098E-3</v>
      </c>
      <c r="M46">
        <f t="shared" si="5"/>
        <v>1.6724463552236599E-2</v>
      </c>
    </row>
    <row r="47" spans="1:13" x14ac:dyDescent="0.25">
      <c r="A47">
        <v>1.24772973358631E-2</v>
      </c>
      <c r="B47">
        <v>2.3711204528808601E-2</v>
      </c>
      <c r="C47">
        <v>-0.244855642318726</v>
      </c>
      <c r="D47">
        <v>-5.0513446331024196E-3</v>
      </c>
      <c r="E47">
        <v>5.4484635591507E-2</v>
      </c>
      <c r="F47">
        <v>4.8684934154152896E-3</v>
      </c>
      <c r="H47">
        <f t="shared" si="0"/>
        <v>4.8684934154152896E-3</v>
      </c>
      <c r="I47">
        <f t="shared" si="1"/>
        <v>-5.4484635591507E-2</v>
      </c>
      <c r="J47">
        <f t="shared" si="2"/>
        <v>-5.0513446331024196E-3</v>
      </c>
      <c r="K47">
        <f t="shared" si="3"/>
        <v>-0.244855642318726</v>
      </c>
      <c r="L47">
        <f t="shared" si="4"/>
        <v>-2.3711204528808601E-2</v>
      </c>
      <c r="M47">
        <f t="shared" si="5"/>
        <v>1.24772973358631E-2</v>
      </c>
    </row>
    <row r="48" spans="1:13" x14ac:dyDescent="0.25">
      <c r="A48">
        <v>1.2128621339798E-2</v>
      </c>
      <c r="B48">
        <v>-2.7070596814155599E-2</v>
      </c>
      <c r="C48">
        <v>-0.23107065260410301</v>
      </c>
      <c r="D48">
        <v>3.2330835238099098E-3</v>
      </c>
      <c r="E48">
        <v>5.2098792046308497E-2</v>
      </c>
      <c r="F48">
        <v>-4.6220421791076704E-3</v>
      </c>
      <c r="H48">
        <f t="shared" si="0"/>
        <v>-4.6220421791076704E-3</v>
      </c>
      <c r="I48">
        <f t="shared" si="1"/>
        <v>-5.2098792046308497E-2</v>
      </c>
      <c r="J48">
        <f t="shared" si="2"/>
        <v>3.2330835238099098E-3</v>
      </c>
      <c r="K48">
        <f t="shared" si="3"/>
        <v>-0.23107065260410301</v>
      </c>
      <c r="L48">
        <f t="shared" si="4"/>
        <v>2.7070596814155599E-2</v>
      </c>
      <c r="M48">
        <f t="shared" si="5"/>
        <v>1.2128621339798E-2</v>
      </c>
    </row>
    <row r="49" spans="1:13" x14ac:dyDescent="0.25">
      <c r="A49">
        <v>1.52091756463051E-2</v>
      </c>
      <c r="B49">
        <v>-1.96827948093414E-3</v>
      </c>
      <c r="C49">
        <v>-0.32779985666275002</v>
      </c>
      <c r="D49">
        <v>-1.28056784160435E-3</v>
      </c>
      <c r="E49">
        <v>6.9623328745365101E-2</v>
      </c>
      <c r="F49">
        <v>9.9291617516428205E-5</v>
      </c>
      <c r="H49">
        <f t="shared" si="0"/>
        <v>9.9291617516428205E-5</v>
      </c>
      <c r="I49">
        <f t="shared" si="1"/>
        <v>-6.9623328745365101E-2</v>
      </c>
      <c r="J49">
        <f t="shared" si="2"/>
        <v>-1.28056784160435E-3</v>
      </c>
      <c r="K49">
        <f t="shared" si="3"/>
        <v>-0.32779985666275002</v>
      </c>
      <c r="L49">
        <f t="shared" si="4"/>
        <v>1.96827948093414E-3</v>
      </c>
      <c r="M49">
        <f t="shared" si="5"/>
        <v>1.52091756463051E-2</v>
      </c>
    </row>
    <row r="50" spans="1:13" x14ac:dyDescent="0.25">
      <c r="A50">
        <v>8.6800679564475996E-3</v>
      </c>
      <c r="B50">
        <v>3.3734023571014397E-2</v>
      </c>
      <c r="C50">
        <v>-0.20125000178813901</v>
      </c>
      <c r="D50">
        <v>-6.2811337411403699E-3</v>
      </c>
      <c r="E50">
        <v>4.6795047819614403E-2</v>
      </c>
      <c r="F50">
        <v>6.5653454512357703E-3</v>
      </c>
      <c r="H50">
        <f t="shared" si="0"/>
        <v>6.5653454512357703E-3</v>
      </c>
      <c r="I50">
        <f t="shared" si="1"/>
        <v>-4.6795047819614403E-2</v>
      </c>
      <c r="J50">
        <f t="shared" si="2"/>
        <v>-6.2811337411403699E-3</v>
      </c>
      <c r="K50">
        <f t="shared" si="3"/>
        <v>-0.20125000178813901</v>
      </c>
      <c r="L50">
        <f t="shared" si="4"/>
        <v>-3.3734023571014397E-2</v>
      </c>
      <c r="M50">
        <f t="shared" si="5"/>
        <v>8.6800679564475996E-3</v>
      </c>
    </row>
    <row r="51" spans="1:13" x14ac:dyDescent="0.25">
      <c r="A51">
        <v>1.0234892368316701E-2</v>
      </c>
      <c r="B51">
        <v>-3.9974384009838097E-2</v>
      </c>
      <c r="C51">
        <v>-0.19703240692615501</v>
      </c>
      <c r="D51">
        <v>5.6142839603125997E-3</v>
      </c>
      <c r="E51">
        <v>4.6454571187496199E-2</v>
      </c>
      <c r="F51">
        <v>-7.1160625666379903E-3</v>
      </c>
      <c r="H51">
        <f t="shared" si="0"/>
        <v>-7.1160625666379903E-3</v>
      </c>
      <c r="I51">
        <f t="shared" si="1"/>
        <v>-4.6454571187496199E-2</v>
      </c>
      <c r="J51">
        <f t="shared" si="2"/>
        <v>5.6142839603125997E-3</v>
      </c>
      <c r="K51">
        <f t="shared" si="3"/>
        <v>-0.19703240692615501</v>
      </c>
      <c r="L51">
        <f t="shared" si="4"/>
        <v>3.9974384009838097E-2</v>
      </c>
      <c r="M51">
        <f t="shared" si="5"/>
        <v>1.0234892368316701E-2</v>
      </c>
    </row>
    <row r="52" spans="1:13" x14ac:dyDescent="0.25">
      <c r="A52">
        <v>1.45403146743774E-2</v>
      </c>
      <c r="B52">
        <v>-5.0625987350940696E-3</v>
      </c>
      <c r="C52">
        <v>-0.31760939955711398</v>
      </c>
      <c r="D52">
        <v>-6.6437420900911104E-4</v>
      </c>
      <c r="E52">
        <v>6.8202309310436193E-2</v>
      </c>
      <c r="F52">
        <v>-5.7212542742490801E-4</v>
      </c>
      <c r="H52">
        <f t="shared" si="0"/>
        <v>-5.7212542742490801E-4</v>
      </c>
      <c r="I52">
        <f t="shared" si="1"/>
        <v>-6.8202309310436193E-2</v>
      </c>
      <c r="J52">
        <f t="shared" si="2"/>
        <v>-6.6437420900911104E-4</v>
      </c>
      <c r="K52">
        <f t="shared" si="3"/>
        <v>-0.31760939955711398</v>
      </c>
      <c r="L52">
        <f t="shared" si="4"/>
        <v>5.0625987350940696E-3</v>
      </c>
      <c r="M52">
        <f t="shared" si="5"/>
        <v>1.45403146743774E-2</v>
      </c>
    </row>
    <row r="53" spans="1:13" x14ac:dyDescent="0.25">
      <c r="H53">
        <f t="shared" si="0"/>
        <v>0</v>
      </c>
      <c r="I53">
        <f t="shared" si="1"/>
        <v>0</v>
      </c>
      <c r="J53">
        <f t="shared" si="2"/>
        <v>0</v>
      </c>
      <c r="K53">
        <f t="shared" si="3"/>
        <v>0</v>
      </c>
      <c r="L53">
        <f t="shared" si="4"/>
        <v>0</v>
      </c>
      <c r="M53">
        <f t="shared" si="5"/>
        <v>0</v>
      </c>
    </row>
    <row r="54" spans="1:13" x14ac:dyDescent="0.25">
      <c r="H54">
        <f t="shared" si="0"/>
        <v>0</v>
      </c>
      <c r="I54">
        <f t="shared" si="1"/>
        <v>0</v>
      </c>
      <c r="J54">
        <f t="shared" si="2"/>
        <v>0</v>
      </c>
      <c r="K54">
        <f t="shared" si="3"/>
        <v>0</v>
      </c>
      <c r="L54">
        <f t="shared" si="4"/>
        <v>0</v>
      </c>
      <c r="M54">
        <f t="shared" si="5"/>
        <v>0</v>
      </c>
    </row>
    <row r="55" spans="1:13" x14ac:dyDescent="0.25">
      <c r="H55">
        <f t="shared" si="0"/>
        <v>0</v>
      </c>
      <c r="I55">
        <f t="shared" si="1"/>
        <v>0</v>
      </c>
      <c r="J55">
        <f t="shared" si="2"/>
        <v>0</v>
      </c>
      <c r="K55">
        <f t="shared" si="3"/>
        <v>0</v>
      </c>
      <c r="L55">
        <f t="shared" si="4"/>
        <v>0</v>
      </c>
      <c r="M55">
        <f t="shared" si="5"/>
        <v>0</v>
      </c>
    </row>
    <row r="56" spans="1:13" x14ac:dyDescent="0.25">
      <c r="H56">
        <f t="shared" si="0"/>
        <v>0</v>
      </c>
      <c r="I56">
        <f t="shared" si="1"/>
        <v>0</v>
      </c>
      <c r="J56">
        <f t="shared" si="2"/>
        <v>0</v>
      </c>
      <c r="K56">
        <f t="shared" si="3"/>
        <v>0</v>
      </c>
      <c r="L56">
        <f t="shared" si="4"/>
        <v>0</v>
      </c>
      <c r="M56">
        <f t="shared" si="5"/>
        <v>0</v>
      </c>
    </row>
    <row r="57" spans="1:13" x14ac:dyDescent="0.25">
      <c r="H57">
        <f t="shared" si="0"/>
        <v>0</v>
      </c>
      <c r="I57">
        <f t="shared" si="1"/>
        <v>0</v>
      </c>
      <c r="J57">
        <f t="shared" si="2"/>
        <v>0</v>
      </c>
      <c r="K57">
        <f t="shared" si="3"/>
        <v>0</v>
      </c>
      <c r="L57">
        <f t="shared" si="4"/>
        <v>0</v>
      </c>
      <c r="M57">
        <f t="shared" si="5"/>
        <v>0</v>
      </c>
    </row>
    <row r="58" spans="1:13" x14ac:dyDescent="0.25">
      <c r="H58">
        <f t="shared" si="0"/>
        <v>0</v>
      </c>
      <c r="I58">
        <f t="shared" si="1"/>
        <v>0</v>
      </c>
      <c r="J58">
        <f t="shared" si="2"/>
        <v>0</v>
      </c>
      <c r="K58">
        <f t="shared" si="3"/>
        <v>0</v>
      </c>
      <c r="L58">
        <f t="shared" si="4"/>
        <v>0</v>
      </c>
      <c r="M58">
        <f t="shared" si="5"/>
        <v>0</v>
      </c>
    </row>
    <row r="59" spans="1:13" x14ac:dyDescent="0.25">
      <c r="H59">
        <f t="shared" si="0"/>
        <v>0</v>
      </c>
      <c r="I59">
        <f t="shared" si="1"/>
        <v>0</v>
      </c>
      <c r="J59">
        <f t="shared" si="2"/>
        <v>0</v>
      </c>
      <c r="K59">
        <f t="shared" si="3"/>
        <v>0</v>
      </c>
      <c r="L59">
        <f t="shared" si="4"/>
        <v>0</v>
      </c>
      <c r="M59">
        <f t="shared" si="5"/>
        <v>0</v>
      </c>
    </row>
    <row r="60" spans="1:13" x14ac:dyDescent="0.25">
      <c r="H60">
        <f t="shared" si="0"/>
        <v>0</v>
      </c>
      <c r="I60">
        <f t="shared" si="1"/>
        <v>0</v>
      </c>
      <c r="J60">
        <f t="shared" si="2"/>
        <v>0</v>
      </c>
      <c r="K60">
        <f t="shared" si="3"/>
        <v>0</v>
      </c>
      <c r="L60">
        <f t="shared" si="4"/>
        <v>0</v>
      </c>
      <c r="M60">
        <f t="shared" si="5"/>
        <v>0</v>
      </c>
    </row>
    <row r="61" spans="1:13" x14ac:dyDescent="0.25">
      <c r="H61">
        <f t="shared" si="0"/>
        <v>0</v>
      </c>
      <c r="I61">
        <f t="shared" si="1"/>
        <v>0</v>
      </c>
      <c r="J61">
        <f t="shared" si="2"/>
        <v>0</v>
      </c>
      <c r="K61">
        <f t="shared" si="3"/>
        <v>0</v>
      </c>
      <c r="L61">
        <f t="shared" si="4"/>
        <v>0</v>
      </c>
      <c r="M61">
        <f t="shared" si="5"/>
        <v>0</v>
      </c>
    </row>
    <row r="62" spans="1:13" x14ac:dyDescent="0.25">
      <c r="H62">
        <f t="shared" si="0"/>
        <v>0</v>
      </c>
      <c r="I62">
        <f t="shared" si="1"/>
        <v>0</v>
      </c>
      <c r="J62">
        <f t="shared" si="2"/>
        <v>0</v>
      </c>
      <c r="K62">
        <f t="shared" si="3"/>
        <v>0</v>
      </c>
      <c r="L62">
        <f t="shared" si="4"/>
        <v>0</v>
      </c>
      <c r="M62">
        <f t="shared" si="5"/>
        <v>0</v>
      </c>
    </row>
  </sheetData>
  <mergeCells count="2">
    <mergeCell ref="A1:F1"/>
    <mergeCell ref="H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D273E-DEC3-4584-9987-9255339758ED}">
  <dimension ref="T73:AF112"/>
  <sheetViews>
    <sheetView topLeftCell="S55" workbookViewId="0">
      <selection activeCell="T73" sqref="T73:AF112"/>
    </sheetView>
  </sheetViews>
  <sheetFormatPr defaultRowHeight="15" x14ac:dyDescent="0.25"/>
  <sheetData>
    <row r="73" spans="20:31" x14ac:dyDescent="0.25">
      <c r="T73" t="s">
        <v>37</v>
      </c>
      <c r="U73" t="s">
        <v>29</v>
      </c>
      <c r="V73">
        <v>4.2863236740231498E-4</v>
      </c>
      <c r="W73">
        <v>-6.0315418988466298E-2</v>
      </c>
      <c r="X73">
        <v>-2.55721563007683E-4</v>
      </c>
      <c r="Y73">
        <v>-4.1011810302734403E-2</v>
      </c>
      <c r="Z73">
        <v>7.4238330125808705E-4</v>
      </c>
      <c r="AA73">
        <v>0.38065329194068898</v>
      </c>
      <c r="AB73">
        <v>0</v>
      </c>
      <c r="AC73">
        <v>0</v>
      </c>
      <c r="AD73">
        <v>0</v>
      </c>
      <c r="AE73" t="s">
        <v>28</v>
      </c>
    </row>
    <row r="74" spans="20:31" x14ac:dyDescent="0.25">
      <c r="V74">
        <v>1.6412667464464901E-3</v>
      </c>
      <c r="W74">
        <v>-3.9588782936334603E-2</v>
      </c>
      <c r="X74">
        <v>-3.4840038279071499E-4</v>
      </c>
      <c r="Y74">
        <v>-5.9798043221235301E-3</v>
      </c>
      <c r="Z74">
        <v>-3.2678022980689998E-3</v>
      </c>
      <c r="AA74">
        <v>0.25482219457626298</v>
      </c>
      <c r="AB74">
        <v>1.5</v>
      </c>
      <c r="AC74">
        <v>0</v>
      </c>
      <c r="AD74">
        <v>0</v>
      </c>
      <c r="AE74" t="s">
        <v>28</v>
      </c>
    </row>
    <row r="75" spans="20:31" x14ac:dyDescent="0.25">
      <c r="V75">
        <v>-2.15473119169474E-4</v>
      </c>
      <c r="W75">
        <v>-3.8401622325182003E-2</v>
      </c>
      <c r="X75">
        <v>-1.08311098301783E-4</v>
      </c>
      <c r="Y75">
        <v>-4.2969081550836601E-4</v>
      </c>
      <c r="Z75">
        <v>8.1410966813564301E-3</v>
      </c>
      <c r="AA75">
        <v>0.24731409549713099</v>
      </c>
      <c r="AB75">
        <v>0</v>
      </c>
      <c r="AC75">
        <v>1.5</v>
      </c>
      <c r="AD75">
        <v>0</v>
      </c>
      <c r="AE75" t="s">
        <v>28</v>
      </c>
    </row>
    <row r="76" spans="20:31" x14ac:dyDescent="0.25">
      <c r="V76">
        <v>9.6457567997276805E-4</v>
      </c>
      <c r="W76">
        <v>-8.1467948853969602E-2</v>
      </c>
      <c r="X76">
        <v>-3.9827194996178199E-4</v>
      </c>
      <c r="Y76">
        <v>-3.4821972250938402E-2</v>
      </c>
      <c r="Z76">
        <v>3.8996785879135101E-3</v>
      </c>
      <c r="AA76">
        <v>0.52454042434692405</v>
      </c>
      <c r="AB76">
        <v>0</v>
      </c>
      <c r="AC76">
        <v>0</v>
      </c>
      <c r="AD76">
        <v>1.5</v>
      </c>
      <c r="AE76" t="s">
        <v>30</v>
      </c>
    </row>
    <row r="77" spans="20:31" x14ac:dyDescent="0.25">
      <c r="U77" t="s">
        <v>29</v>
      </c>
      <c r="V77">
        <v>6.2025361694395499E-4</v>
      </c>
      <c r="W77">
        <v>-0.13314910233020799</v>
      </c>
      <c r="X77">
        <v>-2.3612950462847899E-4</v>
      </c>
      <c r="Y77">
        <v>-0.197828054428101</v>
      </c>
      <c r="Z77">
        <v>3.5987794399261501E-3</v>
      </c>
      <c r="AA77">
        <v>0.83635294437408403</v>
      </c>
      <c r="AB77">
        <v>0</v>
      </c>
      <c r="AC77">
        <v>0</v>
      </c>
      <c r="AD77">
        <v>0</v>
      </c>
      <c r="AE77" t="s">
        <v>28</v>
      </c>
    </row>
    <row r="78" spans="20:31" x14ac:dyDescent="0.25">
      <c r="V78">
        <v>3.0786544084548998E-3</v>
      </c>
      <c r="W78">
        <v>-0.11442683637142199</v>
      </c>
      <c r="X78">
        <v>-1.2956497957929999E-3</v>
      </c>
      <c r="Y78">
        <v>-0.159542337059975</v>
      </c>
      <c r="Z78">
        <v>-1.09155625104904E-2</v>
      </c>
      <c r="AA78">
        <v>0.72994768619537398</v>
      </c>
      <c r="AB78">
        <v>1.5</v>
      </c>
      <c r="AC78">
        <v>0</v>
      </c>
      <c r="AD78">
        <v>0</v>
      </c>
      <c r="AE78" t="s">
        <v>28</v>
      </c>
    </row>
    <row r="79" spans="20:31" x14ac:dyDescent="0.25">
      <c r="V79">
        <v>-1.9559690263122298E-3</v>
      </c>
      <c r="W79">
        <v>-0.112859226763248</v>
      </c>
      <c r="X79">
        <v>1.1151042999699701E-3</v>
      </c>
      <c r="Y79">
        <v>-0.146312341094017</v>
      </c>
      <c r="Z79">
        <v>1.99707970023155E-2</v>
      </c>
      <c r="AA79">
        <v>0.72010242938995395</v>
      </c>
      <c r="AB79">
        <v>0</v>
      </c>
      <c r="AC79">
        <v>1.5</v>
      </c>
      <c r="AD79">
        <v>0</v>
      </c>
      <c r="AE79" t="s">
        <v>28</v>
      </c>
    </row>
    <row r="80" spans="20:31" x14ac:dyDescent="0.25">
      <c r="V80">
        <v>8.51176679134369E-4</v>
      </c>
      <c r="W80">
        <v>-0.145732522010803</v>
      </c>
      <c r="X80">
        <v>-2.5534653104841698E-4</v>
      </c>
      <c r="Y80">
        <v>-0.19965955615043601</v>
      </c>
      <c r="Z80">
        <v>5.21017611026764E-3</v>
      </c>
      <c r="AA80">
        <v>0.92426776885986295</v>
      </c>
      <c r="AB80">
        <v>0</v>
      </c>
      <c r="AC80">
        <v>0</v>
      </c>
      <c r="AD80">
        <v>1.5</v>
      </c>
      <c r="AE80" t="s">
        <v>30</v>
      </c>
    </row>
    <row r="81" spans="21:31" x14ac:dyDescent="0.25">
      <c r="U81" t="s">
        <v>29</v>
      </c>
      <c r="V81">
        <v>1.679906854406E-4</v>
      </c>
      <c r="W81">
        <v>-4.5721895992755897E-2</v>
      </c>
      <c r="X81">
        <v>-3.8841026253067E-4</v>
      </c>
      <c r="Y81">
        <v>-3.3596165478229502E-2</v>
      </c>
      <c r="Z81">
        <v>-1.0348893702030199E-3</v>
      </c>
      <c r="AA81">
        <v>0.25438803434371898</v>
      </c>
      <c r="AB81">
        <v>0</v>
      </c>
      <c r="AC81">
        <v>0</v>
      </c>
      <c r="AD81">
        <v>0</v>
      </c>
      <c r="AE81" t="s">
        <v>28</v>
      </c>
    </row>
    <row r="82" spans="21:31" x14ac:dyDescent="0.25">
      <c r="V82">
        <v>7.5818668119609399E-4</v>
      </c>
      <c r="W82">
        <v>-1.9146863371133801E-2</v>
      </c>
      <c r="X82">
        <v>-8.1150035839527805E-5</v>
      </c>
      <c r="Y82">
        <v>-3.4306589514017101E-3</v>
      </c>
      <c r="Z82">
        <v>-4.3338462710380598E-3</v>
      </c>
      <c r="AA82">
        <v>0.107362911105156</v>
      </c>
      <c r="AB82">
        <v>1.5</v>
      </c>
      <c r="AC82">
        <v>0</v>
      </c>
      <c r="AD82">
        <v>0</v>
      </c>
      <c r="AE82" t="s">
        <v>28</v>
      </c>
    </row>
    <row r="83" spans="21:31" x14ac:dyDescent="0.25">
      <c r="V83">
        <v>-5.52012003026903E-4</v>
      </c>
      <c r="W83">
        <v>-1.9014896824955899E-2</v>
      </c>
      <c r="X83">
        <v>-2.5363833992742002E-4</v>
      </c>
      <c r="Y83">
        <v>-8.0577668268233505E-4</v>
      </c>
      <c r="Z83">
        <v>3.5313419066369499E-3</v>
      </c>
      <c r="AA83">
        <v>0.10630398988723801</v>
      </c>
      <c r="AB83">
        <v>0</v>
      </c>
      <c r="AC83">
        <v>1.5</v>
      </c>
      <c r="AD83">
        <v>0</v>
      </c>
      <c r="AE83" t="s">
        <v>28</v>
      </c>
    </row>
    <row r="84" spans="21:31" x14ac:dyDescent="0.25">
      <c r="V84">
        <v>-2.33325408771634E-5</v>
      </c>
      <c r="W84">
        <v>-7.04074427485466E-2</v>
      </c>
      <c r="X84">
        <v>-4.5982724986970398E-4</v>
      </c>
      <c r="Y84">
        <v>-4.5281000435352298E-2</v>
      </c>
      <c r="Z84">
        <v>8.8363140821456898E-4</v>
      </c>
      <c r="AA84">
        <v>0.395793557167053</v>
      </c>
      <c r="AB84">
        <v>0</v>
      </c>
      <c r="AC84">
        <v>0</v>
      </c>
      <c r="AD84">
        <v>1.5</v>
      </c>
      <c r="AE84" t="s">
        <v>30</v>
      </c>
    </row>
    <row r="85" spans="21:31" x14ac:dyDescent="0.25">
      <c r="U85" t="s">
        <v>29</v>
      </c>
      <c r="V85">
        <v>3.3436843659728798E-4</v>
      </c>
      <c r="W85">
        <v>-9.1593101620674106E-2</v>
      </c>
      <c r="X85">
        <v>-1.09562510624528E-3</v>
      </c>
      <c r="Y85">
        <v>-0.13726633787155201</v>
      </c>
      <c r="Z85">
        <v>-2.9727667570114101E-3</v>
      </c>
      <c r="AA85">
        <v>0.44673037528991699</v>
      </c>
      <c r="AB85">
        <v>0</v>
      </c>
      <c r="AC85">
        <v>0</v>
      </c>
      <c r="AD85">
        <v>0</v>
      </c>
      <c r="AE85" t="s">
        <v>28</v>
      </c>
    </row>
    <row r="86" spans="21:31" x14ac:dyDescent="0.25">
      <c r="V86">
        <v>3.0973881948739299E-3</v>
      </c>
      <c r="W86">
        <v>-6.95194602012634E-2</v>
      </c>
      <c r="X86">
        <v>-2.5332393124699601E-3</v>
      </c>
      <c r="Y86">
        <v>-9.1822899878025097E-2</v>
      </c>
      <c r="Z86">
        <v>-1.8441684544086501E-2</v>
      </c>
      <c r="AA86">
        <v>0.34359931945800798</v>
      </c>
      <c r="AB86">
        <v>1.5</v>
      </c>
      <c r="AC86">
        <v>0</v>
      </c>
      <c r="AD86">
        <v>0</v>
      </c>
      <c r="AE86" t="s">
        <v>28</v>
      </c>
    </row>
    <row r="87" spans="21:31" x14ac:dyDescent="0.25">
      <c r="V87">
        <v>-2.37156637012959E-3</v>
      </c>
      <c r="W87">
        <v>-6.8494059145450606E-2</v>
      </c>
      <c r="X87">
        <v>8.0478377640247302E-4</v>
      </c>
      <c r="Y87">
        <v>-8.7323129177093506E-2</v>
      </c>
      <c r="Z87">
        <v>1.2371422722935701E-2</v>
      </c>
      <c r="AA87">
        <v>0.33844605088233898</v>
      </c>
      <c r="AB87">
        <v>0</v>
      </c>
      <c r="AC87">
        <v>1.5</v>
      </c>
      <c r="AD87">
        <v>0</v>
      </c>
      <c r="AE87" t="s">
        <v>28</v>
      </c>
    </row>
    <row r="88" spans="21:31" x14ac:dyDescent="0.25">
      <c r="V88">
        <v>4.0871603414416302E-4</v>
      </c>
      <c r="W88">
        <v>-0.10985789448022799</v>
      </c>
      <c r="X88">
        <v>-1.26350473146886E-3</v>
      </c>
      <c r="Y88">
        <v>-0.154622092843056</v>
      </c>
      <c r="Z88">
        <v>-3.02500277757645E-3</v>
      </c>
      <c r="AA88">
        <v>0.54040026664733898</v>
      </c>
      <c r="AB88">
        <v>0</v>
      </c>
      <c r="AC88">
        <v>0</v>
      </c>
      <c r="AD88">
        <v>1.5</v>
      </c>
      <c r="AE88" t="s">
        <v>30</v>
      </c>
    </row>
    <row r="89" spans="21:31" x14ac:dyDescent="0.25">
      <c r="U89" t="s">
        <v>29</v>
      </c>
      <c r="V89">
        <v>5.2663497626781498E-5</v>
      </c>
      <c r="W89">
        <v>-0.12548637390136699</v>
      </c>
      <c r="X89">
        <v>-9.7444711718708298E-4</v>
      </c>
      <c r="Y89">
        <v>-0.25848296284675598</v>
      </c>
      <c r="Z89">
        <v>6.1889737844467196E-4</v>
      </c>
      <c r="AA89">
        <v>0.60252058506011996</v>
      </c>
      <c r="AB89">
        <v>0</v>
      </c>
      <c r="AC89">
        <v>0</v>
      </c>
      <c r="AD89">
        <v>0</v>
      </c>
      <c r="AE89" t="s">
        <v>28</v>
      </c>
    </row>
    <row r="90" spans="21:31" x14ac:dyDescent="0.25">
      <c r="V90">
        <v>3.8735552225261901E-3</v>
      </c>
      <c r="W90">
        <v>-0.10250039398670199</v>
      </c>
      <c r="X90">
        <v>-3.0874428339302501E-3</v>
      </c>
      <c r="Y90">
        <v>-0.200877666473389</v>
      </c>
      <c r="Z90">
        <v>-2.0546242594718898E-2</v>
      </c>
      <c r="AA90">
        <v>0.49526518583297702</v>
      </c>
      <c r="AB90">
        <v>1.5</v>
      </c>
      <c r="AC90">
        <v>0</v>
      </c>
      <c r="AD90">
        <v>0</v>
      </c>
      <c r="AE90" t="s">
        <v>28</v>
      </c>
    </row>
    <row r="91" spans="21:31" x14ac:dyDescent="0.25">
      <c r="V91">
        <v>-3.41223413124681E-3</v>
      </c>
      <c r="W91">
        <v>-0.101086124777794</v>
      </c>
      <c r="X91">
        <v>1.3796529965475199E-3</v>
      </c>
      <c r="Y91">
        <v>-0.19690237939357799</v>
      </c>
      <c r="Z91">
        <v>2.1174792200326899E-2</v>
      </c>
      <c r="AA91">
        <v>0.48914974927902199</v>
      </c>
      <c r="AB91">
        <v>0</v>
      </c>
      <c r="AC91">
        <v>1.5</v>
      </c>
      <c r="AD91">
        <v>0</v>
      </c>
      <c r="AE91" t="s">
        <v>28</v>
      </c>
    </row>
    <row r="92" spans="21:31" x14ac:dyDescent="0.25">
      <c r="V92">
        <v>-1.0955496691167401E-4</v>
      </c>
      <c r="W92">
        <v>-0.137609422206879</v>
      </c>
      <c r="X92">
        <v>-9.4528222689405105E-4</v>
      </c>
      <c r="Y92">
        <v>-0.27856466174125699</v>
      </c>
      <c r="Z92">
        <v>2.1467953920364402E-3</v>
      </c>
      <c r="AA92">
        <v>0.66296279430389404</v>
      </c>
      <c r="AB92">
        <v>0</v>
      </c>
      <c r="AC92">
        <v>0</v>
      </c>
      <c r="AD92">
        <v>1.5</v>
      </c>
      <c r="AE92" t="s">
        <v>30</v>
      </c>
    </row>
    <row r="93" spans="21:31" x14ac:dyDescent="0.25">
      <c r="U93" t="s">
        <v>29</v>
      </c>
      <c r="V93">
        <v>3.1168537680059699E-4</v>
      </c>
      <c r="W93">
        <v>-7.88237899541855E-2</v>
      </c>
      <c r="X93">
        <v>-1.01786095183343E-3</v>
      </c>
      <c r="Y93">
        <v>-0.13838192820549</v>
      </c>
      <c r="Z93">
        <v>-1.14574655890465E-3</v>
      </c>
      <c r="AA93">
        <v>0.27298316359519997</v>
      </c>
      <c r="AB93">
        <v>0</v>
      </c>
      <c r="AC93">
        <v>0</v>
      </c>
      <c r="AD93">
        <v>0</v>
      </c>
      <c r="AE93" t="s">
        <v>28</v>
      </c>
    </row>
    <row r="94" spans="21:31" x14ac:dyDescent="0.25">
      <c r="V94">
        <v>3.54892574250698E-3</v>
      </c>
      <c r="W94">
        <v>-5.8664917945861803E-2</v>
      </c>
      <c r="X94">
        <v>-3.6627326626330601E-3</v>
      </c>
      <c r="Y94">
        <v>-9.5448635518550901E-2</v>
      </c>
      <c r="Z94">
        <v>-1.8327087163925199E-2</v>
      </c>
      <c r="AA94">
        <v>0.204424828290939</v>
      </c>
      <c r="AB94">
        <v>1.5</v>
      </c>
      <c r="AC94">
        <v>0</v>
      </c>
      <c r="AD94">
        <v>0</v>
      </c>
      <c r="AE94" t="s">
        <v>28</v>
      </c>
    </row>
    <row r="95" spans="21:31" x14ac:dyDescent="0.25">
      <c r="V95">
        <v>-3.2538974191993501E-3</v>
      </c>
      <c r="W95">
        <v>-5.6882563978433602E-2</v>
      </c>
      <c r="X95">
        <v>2.2233272902667501E-3</v>
      </c>
      <c r="Y95">
        <v>-9.0512804687023204E-2</v>
      </c>
      <c r="Z95">
        <v>1.8111418932676301E-2</v>
      </c>
      <c r="AA95">
        <v>0.199122428894043</v>
      </c>
      <c r="AB95">
        <v>0</v>
      </c>
      <c r="AC95">
        <v>1.5</v>
      </c>
      <c r="AD95">
        <v>0</v>
      </c>
      <c r="AE95" t="s">
        <v>28</v>
      </c>
    </row>
    <row r="96" spans="21:31" x14ac:dyDescent="0.25">
      <c r="V96">
        <v>1.2265332043170899E-4</v>
      </c>
      <c r="W96">
        <v>-9.5207482576370198E-2</v>
      </c>
      <c r="X96">
        <v>-1.0439777979627299E-3</v>
      </c>
      <c r="Y96">
        <v>-0.16297052800655401</v>
      </c>
      <c r="Z96">
        <v>4.86113131046295E-4</v>
      </c>
      <c r="AA96">
        <v>0.33190307021141102</v>
      </c>
      <c r="AB96">
        <v>0</v>
      </c>
      <c r="AC96">
        <v>0</v>
      </c>
      <c r="AD96">
        <v>1.5</v>
      </c>
      <c r="AE96" t="s">
        <v>30</v>
      </c>
    </row>
    <row r="97" spans="21:32" x14ac:dyDescent="0.25">
      <c r="U97" t="s">
        <v>29</v>
      </c>
      <c r="V97">
        <v>4.6556734014302498E-4</v>
      </c>
      <c r="W97">
        <v>-0.13455995917320299</v>
      </c>
      <c r="X97">
        <v>-1.54974625911564E-3</v>
      </c>
      <c r="Y97">
        <v>-0.33463472127914401</v>
      </c>
      <c r="Z97">
        <v>-5.6979432702064503E-4</v>
      </c>
      <c r="AA97">
        <v>0.42998898029327398</v>
      </c>
      <c r="AB97">
        <v>0</v>
      </c>
      <c r="AC97">
        <v>0</v>
      </c>
      <c r="AD97">
        <v>0</v>
      </c>
      <c r="AE97" t="s">
        <v>28</v>
      </c>
    </row>
    <row r="98" spans="21:32" x14ac:dyDescent="0.25">
      <c r="V98">
        <v>6.6393953748047404E-3</v>
      </c>
      <c r="W98">
        <v>-0.102738752961159</v>
      </c>
      <c r="X98">
        <v>-6.3366619870066599E-3</v>
      </c>
      <c r="Y98">
        <v>-0.24302496016025499</v>
      </c>
      <c r="Z98">
        <v>-3.3672533929347999E-2</v>
      </c>
      <c r="AA98">
        <v>0.32821264863014199</v>
      </c>
      <c r="AB98">
        <v>1.5</v>
      </c>
      <c r="AC98">
        <v>0</v>
      </c>
      <c r="AD98">
        <v>0</v>
      </c>
      <c r="AE98" t="s">
        <v>28</v>
      </c>
    </row>
    <row r="99" spans="21:32" x14ac:dyDescent="0.25">
      <c r="V99">
        <v>-6.1084558255970504E-3</v>
      </c>
      <c r="W99">
        <v>-9.9644310772419004E-2</v>
      </c>
      <c r="X99">
        <v>4.2782211676240002E-3</v>
      </c>
      <c r="Y99">
        <v>-0.23266792297363301</v>
      </c>
      <c r="Z99">
        <v>3.45250852406025E-2</v>
      </c>
      <c r="AA99">
        <v>0.31887066364288302</v>
      </c>
      <c r="AB99">
        <v>0</v>
      </c>
      <c r="AC99">
        <v>1.5</v>
      </c>
      <c r="AD99">
        <v>0</v>
      </c>
      <c r="AE99" t="s">
        <v>28</v>
      </c>
    </row>
    <row r="100" spans="21:32" x14ac:dyDescent="0.25">
      <c r="V100">
        <v>-1.8417136743664701E-5</v>
      </c>
      <c r="W100">
        <v>-0.13477577269077301</v>
      </c>
      <c r="X100">
        <v>-1.1057034134864801E-3</v>
      </c>
      <c r="Y100">
        <v>-0.32878553867340099</v>
      </c>
      <c r="Z100">
        <v>2.4412311613559701E-3</v>
      </c>
      <c r="AA100">
        <v>0.42967307567596402</v>
      </c>
      <c r="AB100">
        <v>0</v>
      </c>
      <c r="AC100">
        <v>0</v>
      </c>
      <c r="AD100">
        <v>1.5</v>
      </c>
      <c r="AE100" t="s">
        <v>30</v>
      </c>
    </row>
    <row r="101" spans="21:32" x14ac:dyDescent="0.25">
      <c r="U101" t="s">
        <v>29</v>
      </c>
      <c r="V101">
        <v>1.2284044642001399E-3</v>
      </c>
      <c r="W101">
        <v>-0.113915167748928</v>
      </c>
      <c r="X101">
        <v>-2.0511765033006698E-3</v>
      </c>
      <c r="Y101">
        <v>-0.53618127107620195</v>
      </c>
      <c r="Z101">
        <v>-3.6365408450365101E-3</v>
      </c>
      <c r="AA101">
        <v>0.105719238519669</v>
      </c>
      <c r="AB101">
        <v>0</v>
      </c>
      <c r="AC101">
        <v>0</v>
      </c>
      <c r="AD101">
        <v>0</v>
      </c>
      <c r="AE101" t="s">
        <v>28</v>
      </c>
    </row>
    <row r="102" spans="21:32" x14ac:dyDescent="0.25">
      <c r="V102">
        <v>7.1500753983855204E-3</v>
      </c>
      <c r="W102">
        <v>-6.5072715282440199E-2</v>
      </c>
      <c r="X102">
        <v>-5.52379293367267E-3</v>
      </c>
      <c r="Y102">
        <v>-0.28514552116393999</v>
      </c>
      <c r="Z102">
        <v>-3.8700658828020103E-2</v>
      </c>
      <c r="AA102">
        <v>4.2753197252750397E-2</v>
      </c>
      <c r="AB102">
        <v>1.5</v>
      </c>
      <c r="AC102">
        <v>0</v>
      </c>
      <c r="AD102">
        <v>0</v>
      </c>
      <c r="AE102" t="s">
        <v>28</v>
      </c>
    </row>
    <row r="103" spans="21:32" x14ac:dyDescent="0.25">
      <c r="V103">
        <v>-6.2153153121471396E-3</v>
      </c>
      <c r="W103">
        <v>-6.2135655432939502E-2</v>
      </c>
      <c r="X103">
        <v>3.6217607557773599E-3</v>
      </c>
      <c r="Y103">
        <v>-0.26937389373779302</v>
      </c>
      <c r="Z103">
        <v>3.6031112074851997E-2</v>
      </c>
      <c r="AA103">
        <v>3.9808422327041598E-2</v>
      </c>
      <c r="AB103">
        <v>0</v>
      </c>
      <c r="AC103">
        <v>1.5</v>
      </c>
      <c r="AD103">
        <v>0</v>
      </c>
      <c r="AE103" t="s">
        <v>28</v>
      </c>
    </row>
    <row r="104" spans="21:32" x14ac:dyDescent="0.25">
      <c r="V104">
        <v>3.31332674250007E-4</v>
      </c>
      <c r="W104">
        <v>-8.8129743933677701E-2</v>
      </c>
      <c r="X104">
        <v>-1.14210275933146E-3</v>
      </c>
      <c r="Y104">
        <v>-0.408759385347366</v>
      </c>
      <c r="Z104">
        <v>2.3646838963031801E-4</v>
      </c>
      <c r="AA104">
        <v>5.8439146727323497E-2</v>
      </c>
      <c r="AB104">
        <v>0</v>
      </c>
      <c r="AC104">
        <v>0</v>
      </c>
      <c r="AD104">
        <v>1.5</v>
      </c>
      <c r="AE104" t="s">
        <v>30</v>
      </c>
    </row>
    <row r="105" spans="21:32" x14ac:dyDescent="0.25">
      <c r="U105" t="s">
        <v>29</v>
      </c>
      <c r="V105">
        <v>-9.6103904070332606E-5</v>
      </c>
      <c r="W105">
        <v>-5.9686940163373899E-2</v>
      </c>
      <c r="X105">
        <v>-6.3943007262423602E-4</v>
      </c>
      <c r="Y105">
        <v>-7.6781243085861206E-2</v>
      </c>
      <c r="Z105">
        <v>-1.8407814204692799E-3</v>
      </c>
      <c r="AA105">
        <v>0.17655885219574</v>
      </c>
      <c r="AB105">
        <v>0</v>
      </c>
      <c r="AC105">
        <v>0</v>
      </c>
      <c r="AD105">
        <v>0</v>
      </c>
      <c r="AE105" t="s">
        <v>28</v>
      </c>
    </row>
    <row r="106" spans="21:32" x14ac:dyDescent="0.25">
      <c r="V106">
        <v>3.0519608408212701E-3</v>
      </c>
      <c r="W106">
        <v>-3.6098230630159399E-2</v>
      </c>
      <c r="X106">
        <v>-4.5362347736954698E-3</v>
      </c>
      <c r="Y106">
        <v>-3.5666882991790799E-2</v>
      </c>
      <c r="Z106">
        <v>-2.0685818046331399E-2</v>
      </c>
      <c r="AA106">
        <v>0.106608189642429</v>
      </c>
      <c r="AB106">
        <v>1.5</v>
      </c>
      <c r="AC106">
        <v>0</v>
      </c>
      <c r="AD106">
        <v>0</v>
      </c>
      <c r="AE106" t="s">
        <v>28</v>
      </c>
    </row>
    <row r="107" spans="21:32" x14ac:dyDescent="0.25">
      <c r="V107">
        <v>-3.3382773399353001E-3</v>
      </c>
      <c r="W107">
        <v>-3.4567233175039298E-2</v>
      </c>
      <c r="X107">
        <v>3.5208382178097998E-3</v>
      </c>
      <c r="Y107">
        <v>-3.35270911455154E-2</v>
      </c>
      <c r="Z107">
        <v>1.5442168340086901E-2</v>
      </c>
      <c r="AA107">
        <v>0.101495251059532</v>
      </c>
      <c r="AB107">
        <v>0</v>
      </c>
      <c r="AC107">
        <v>1.5</v>
      </c>
      <c r="AD107">
        <v>0</v>
      </c>
      <c r="AE107" t="s">
        <v>28</v>
      </c>
    </row>
    <row r="108" spans="21:32" x14ac:dyDescent="0.25">
      <c r="V108">
        <v>-3.1255272915586802E-4</v>
      </c>
      <c r="W108">
        <v>-7.1918331086635603E-2</v>
      </c>
      <c r="X108">
        <v>-5.9856439474970102E-4</v>
      </c>
      <c r="Y108">
        <v>-9.2133581638336196E-2</v>
      </c>
      <c r="Z108">
        <v>-1.1441409587860101E-3</v>
      </c>
      <c r="AA108">
        <v>0.21290627121925401</v>
      </c>
      <c r="AB108">
        <v>0</v>
      </c>
      <c r="AC108">
        <v>0</v>
      </c>
      <c r="AD108">
        <v>1.5</v>
      </c>
      <c r="AE108" t="s">
        <v>30</v>
      </c>
    </row>
    <row r="109" spans="21:32" x14ac:dyDescent="0.25">
      <c r="U109" t="s">
        <v>29</v>
      </c>
      <c r="V109">
        <v>6.8014755379408598E-4</v>
      </c>
      <c r="W109">
        <v>-8.2236602902412401E-2</v>
      </c>
      <c r="X109">
        <v>-2.0893728360533701E-3</v>
      </c>
      <c r="Y109">
        <v>-0.387284815311432</v>
      </c>
      <c r="Z109">
        <v>-7.8587606549263E-4</v>
      </c>
      <c r="AA109">
        <v>3.3172652125358602E-2</v>
      </c>
      <c r="AB109">
        <v>0</v>
      </c>
      <c r="AC109">
        <v>0</v>
      </c>
      <c r="AD109">
        <v>0</v>
      </c>
      <c r="AE109" t="s">
        <v>28</v>
      </c>
    </row>
    <row r="110" spans="21:32" x14ac:dyDescent="0.25">
      <c r="V110">
        <v>6.5653454512357703E-3</v>
      </c>
      <c r="W110">
        <v>-4.6795047819614403E-2</v>
      </c>
      <c r="X110">
        <v>-6.2811337411403699E-3</v>
      </c>
      <c r="Y110">
        <v>-0.20125000178813901</v>
      </c>
      <c r="Z110">
        <v>-3.3734023571014397E-2</v>
      </c>
      <c r="AA110">
        <v>8.6800679564475996E-3</v>
      </c>
      <c r="AB110">
        <v>1.5</v>
      </c>
      <c r="AC110">
        <v>0</v>
      </c>
      <c r="AD110">
        <v>0</v>
      </c>
      <c r="AE110" t="s">
        <v>28</v>
      </c>
    </row>
    <row r="111" spans="21:32" x14ac:dyDescent="0.25">
      <c r="V111">
        <v>-7.1160625666379903E-3</v>
      </c>
      <c r="W111">
        <v>-4.6454571187496199E-2</v>
      </c>
      <c r="X111">
        <v>5.6142839603125997E-3</v>
      </c>
      <c r="Y111">
        <v>-0.19703240692615501</v>
      </c>
      <c r="Z111">
        <v>3.9974384009838097E-2</v>
      </c>
      <c r="AA111">
        <v>1.0234892368316701E-2</v>
      </c>
      <c r="AB111">
        <v>0</v>
      </c>
      <c r="AC111">
        <v>1.5</v>
      </c>
      <c r="AD111">
        <v>0</v>
      </c>
      <c r="AE111" t="s">
        <v>28</v>
      </c>
    </row>
    <row r="112" spans="21:32" x14ac:dyDescent="0.25">
      <c r="V112">
        <v>-5.7212542742490801E-4</v>
      </c>
      <c r="W112">
        <v>-6.8202309310436193E-2</v>
      </c>
      <c r="X112">
        <v>-6.6437420900911104E-4</v>
      </c>
      <c r="Y112">
        <v>-0.31760939955711398</v>
      </c>
      <c r="Z112">
        <v>5.0625987350940696E-3</v>
      </c>
      <c r="AA112">
        <v>1.45403146743774E-2</v>
      </c>
      <c r="AB112">
        <v>0</v>
      </c>
      <c r="AC112">
        <v>0</v>
      </c>
      <c r="AD112">
        <v>1.5</v>
      </c>
      <c r="AE112" t="s">
        <v>30</v>
      </c>
      <c r="AF112" t="s">
        <v>38</v>
      </c>
    </row>
  </sheetData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580AD17ADB64691A1BA4C2E042DA4" ma:contentTypeVersion="18" ma:contentTypeDescription="Create a new document." ma:contentTypeScope="" ma:versionID="6532fc6a52f3455fe895a4f720bca71c">
  <xsd:schema xmlns:xsd="http://www.w3.org/2001/XMLSchema" xmlns:xs="http://www.w3.org/2001/XMLSchema" xmlns:p="http://schemas.microsoft.com/office/2006/metadata/properties" xmlns:ns3="c2b20bf0-79f3-4559-a8ab-bcb74dcd8cd8" xmlns:ns4="08a9f8ec-165a-4165-a8e9-ed45c2de7bcb" targetNamespace="http://schemas.microsoft.com/office/2006/metadata/properties" ma:root="true" ma:fieldsID="d9a2f75daf18a7097de825f86ff3fec6" ns3:_="" ns4:_="">
    <xsd:import namespace="c2b20bf0-79f3-4559-a8ab-bcb74dcd8cd8"/>
    <xsd:import namespace="08a9f8ec-165a-4165-a8e9-ed45c2de7b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20bf0-79f3-4559-a8ab-bcb74dcd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9f8ec-165a-4165-a8e9-ed45c2de7b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b20bf0-79f3-4559-a8ab-bcb74dcd8cd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923CC5-95C4-4597-AADE-A0DCE3878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b20bf0-79f3-4559-a8ab-bcb74dcd8cd8"/>
    <ds:schemaRef ds:uri="08a9f8ec-165a-4165-a8e9-ed45c2de7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208467-E14A-4CB9-9FC8-72DFB8E94FF2}">
  <ds:schemaRefs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  <ds:schemaRef ds:uri="08a9f8ec-165a-4165-a8e9-ed45c2de7bcb"/>
    <ds:schemaRef ds:uri="c2b20bf0-79f3-4559-a8ab-bcb74dcd8cd8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D595912-0053-4104-933F-CDA3B3DBC5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Proximal Validation</vt:lpstr>
      <vt:lpstr>Distal Vali (0N perturb)</vt:lpstr>
      <vt:lpstr>Distal Vali (0.5N perturb)</vt:lpstr>
      <vt:lpstr>Distal Vali (1N perturb)</vt:lpstr>
      <vt:lpstr>Distal Vali (1.5N perturb)</vt:lpstr>
      <vt:lpstr>Conversion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cp:lastPrinted>2025-11-10T03:57:38Z</cp:lastPrinted>
  <dcterms:created xsi:type="dcterms:W3CDTF">2025-08-20T18:12:27Z</dcterms:created>
  <dcterms:modified xsi:type="dcterms:W3CDTF">2025-11-19T06:58:40Z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0x010100E12580AD17ADB64691A1BA4C2E042DA4</vt:lpwstr>
  </property>
</Properties>
</file>