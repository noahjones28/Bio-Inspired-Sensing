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two forces (15 trials)(tapered and cylindrical)/"/>
    </mc:Choice>
  </mc:AlternateContent>
  <xr:revisionPtr revIDLastSave="2961" documentId="8_{DFFD6B0C-681F-42C8-B2E4-5D4B90AAE966}" xr6:coauthVersionLast="47" xr6:coauthVersionMax="47" xr10:uidLastSave="{24EAA8B6-3B26-4D23-8107-E8D14DE318E8}"/>
  <bookViews>
    <workbookView xWindow="-80" yWindow="-80" windowWidth="19360" windowHeight="10240" firstSheet="1" activeTab="2" xr2:uid="{3D16C37F-3C74-4527-A308-796C339DFE9F}"/>
  </bookViews>
  <sheets>
    <sheet name="Proximal Validation (double)" sheetId="12" r:id="rId1"/>
    <sheet name="Sheet2" sheetId="32" r:id="rId2"/>
    <sheet name="Distal Validati (double)" sheetId="19" r:id="rId3"/>
    <sheet name="Sheet1" sheetId="26" r:id="rId4"/>
    <sheet name="Conversi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19" l="1" a="1"/>
  <c r="AG4" i="19" s="1"/>
  <c r="AH4" i="19" a="1"/>
  <c r="AH4" i="19"/>
  <c r="AI4" i="19" a="1"/>
  <c r="AI4" i="19"/>
  <c r="AJ4" i="19" a="1"/>
  <c r="AJ4" i="19" s="1"/>
  <c r="AF4" i="19" a="1"/>
  <c r="AF4" i="19" s="1"/>
  <c r="V3" i="12" l="1"/>
  <c r="V4" i="12"/>
  <c r="V5" i="12"/>
  <c r="V6" i="12"/>
  <c r="V7" i="12"/>
  <c r="V8" i="12"/>
  <c r="V9" i="12"/>
  <c r="V10" i="12"/>
  <c r="N4" i="19"/>
  <c r="L4" i="19"/>
  <c r="K4" i="19"/>
  <c r="J4" i="19"/>
  <c r="A3" i="19"/>
  <c r="B3" i="19"/>
  <c r="C3" i="19"/>
  <c r="D3" i="19"/>
  <c r="E3" i="19"/>
  <c r="F3" i="19"/>
  <c r="G3" i="19"/>
  <c r="H3" i="19"/>
  <c r="I3" i="19"/>
  <c r="J3" i="19"/>
  <c r="K3" i="19"/>
  <c r="L3" i="19"/>
  <c r="M3" i="19"/>
  <c r="N3" i="19"/>
  <c r="O3" i="19"/>
  <c r="A4" i="19"/>
  <c r="B4" i="19"/>
  <c r="C4" i="19"/>
  <c r="D4" i="19"/>
  <c r="E4" i="19"/>
  <c r="F4" i="19"/>
  <c r="G4" i="19"/>
  <c r="H4" i="19"/>
  <c r="I4" i="19"/>
  <c r="M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D6" i="19"/>
  <c r="E6" i="19"/>
  <c r="F6" i="19"/>
  <c r="G6" i="19"/>
  <c r="H6" i="19"/>
  <c r="I6" i="19"/>
  <c r="J6" i="19"/>
  <c r="K6" i="19"/>
  <c r="L6" i="19"/>
  <c r="M6" i="19"/>
  <c r="N6" i="19"/>
  <c r="O6" i="19"/>
  <c r="A7" i="19"/>
  <c r="B7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A8" i="19"/>
  <c r="B8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A9" i="19"/>
  <c r="B9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A10" i="19"/>
  <c r="B10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I15" i="26" l="1"/>
  <c r="H15" i="26"/>
  <c r="E15" i="26"/>
  <c r="I14" i="26"/>
  <c r="H14" i="26"/>
  <c r="E14" i="26"/>
  <c r="I13" i="26"/>
  <c r="H13" i="26"/>
  <c r="E13" i="26"/>
  <c r="I12" i="26"/>
  <c r="H12" i="26"/>
  <c r="E12" i="26"/>
  <c r="I11" i="26"/>
  <c r="H11" i="26"/>
  <c r="E11" i="26"/>
  <c r="I10" i="26"/>
  <c r="H10" i="26"/>
  <c r="E10" i="26"/>
  <c r="I9" i="26"/>
  <c r="H9" i="26"/>
  <c r="E9" i="26"/>
  <c r="I8" i="26"/>
  <c r="H8" i="26"/>
  <c r="E8" i="26"/>
  <c r="I7" i="26"/>
  <c r="H7" i="26"/>
  <c r="E7" i="26"/>
  <c r="I6" i="26"/>
  <c r="H6" i="26"/>
  <c r="E6" i="26"/>
  <c r="I5" i="26"/>
  <c r="H5" i="26"/>
  <c r="E5" i="26"/>
  <c r="I4" i="26"/>
  <c r="H4" i="26"/>
  <c r="E4" i="26"/>
  <c r="I3" i="26"/>
  <c r="H3" i="26"/>
  <c r="E3" i="26"/>
  <c r="I2" i="26"/>
  <c r="H2" i="26"/>
  <c r="E2" i="26"/>
  <c r="I1" i="26"/>
  <c r="H1" i="26"/>
  <c r="E1" i="26"/>
  <c r="AA10" i="12" l="1"/>
  <c r="Z10" i="12"/>
  <c r="Y10" i="12"/>
  <c r="X10" i="12"/>
  <c r="W10" i="12"/>
  <c r="AA9" i="12"/>
  <c r="Z9" i="12"/>
  <c r="Y9" i="12"/>
  <c r="X9" i="12"/>
  <c r="W9" i="12"/>
  <c r="AA8" i="12"/>
  <c r="Z8" i="12"/>
  <c r="Y8" i="12"/>
  <c r="X8" i="12"/>
  <c r="W8" i="12"/>
  <c r="AA7" i="12"/>
  <c r="Z7" i="12"/>
  <c r="Y7" i="12"/>
  <c r="X7" i="12"/>
  <c r="W7" i="12"/>
  <c r="AA6" i="12"/>
  <c r="Z6" i="12"/>
  <c r="Y6" i="12"/>
  <c r="X6" i="12"/>
  <c r="W6" i="12"/>
  <c r="AA5" i="12"/>
  <c r="Z5" i="12"/>
  <c r="Y5" i="12"/>
  <c r="X5" i="12"/>
  <c r="W5" i="12"/>
  <c r="AA4" i="12"/>
  <c r="Z4" i="12"/>
  <c r="Y4" i="12"/>
  <c r="X4" i="12"/>
  <c r="W4" i="12"/>
  <c r="AA3" i="12"/>
  <c r="Z3" i="12"/>
  <c r="Y3" i="12"/>
  <c r="X3" i="12"/>
  <c r="W3" i="12"/>
  <c r="AA11" i="12" l="1"/>
  <c r="Z11" i="12"/>
  <c r="V11" i="12"/>
  <c r="Y11" i="12"/>
  <c r="W11" i="12"/>
  <c r="X11" i="12"/>
  <c r="H18" i="4"/>
  <c r="I18" i="4"/>
  <c r="J18" i="4"/>
  <c r="K18" i="4"/>
  <c r="L18" i="4"/>
  <c r="M18" i="4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AB10" i="19" l="1"/>
  <c r="AA10" i="19"/>
  <c r="Z10" i="19"/>
  <c r="Y10" i="19"/>
  <c r="X10" i="19"/>
  <c r="AB9" i="19"/>
  <c r="AA9" i="19"/>
  <c r="Z9" i="19"/>
  <c r="Y9" i="19"/>
  <c r="X9" i="19"/>
  <c r="AB8" i="19"/>
  <c r="AA8" i="19"/>
  <c r="Z8" i="19"/>
  <c r="Y8" i="19"/>
  <c r="X8" i="19"/>
  <c r="AB7" i="19"/>
  <c r="AA7" i="19"/>
  <c r="Z7" i="19"/>
  <c r="Y7" i="19"/>
  <c r="X7" i="19"/>
  <c r="AB6" i="19"/>
  <c r="AA6" i="19"/>
  <c r="Z6" i="19"/>
  <c r="Y6" i="19"/>
  <c r="X6" i="19"/>
  <c r="AB5" i="19"/>
  <c r="AA5" i="19"/>
  <c r="Z5" i="19"/>
  <c r="Y5" i="19"/>
  <c r="X5" i="19"/>
  <c r="AB4" i="19"/>
  <c r="AA4" i="19"/>
  <c r="Z4" i="19"/>
  <c r="Y4" i="19"/>
  <c r="X4" i="19"/>
  <c r="AB3" i="19"/>
  <c r="AA3" i="19"/>
  <c r="Z3" i="19"/>
  <c r="Y3" i="19"/>
  <c r="X3" i="19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AK4" i="19" l="1" a="1"/>
  <c r="AK4" i="19" s="1"/>
  <c r="W8" i="19"/>
  <c r="AC8" i="19" s="1"/>
  <c r="W6" i="19"/>
  <c r="AC6" i="19" s="1"/>
  <c r="W9" i="19"/>
  <c r="AC9" i="19" s="1"/>
  <c r="W3" i="19"/>
  <c r="W4" i="19"/>
  <c r="AC4" i="19" s="1"/>
  <c r="W7" i="19"/>
  <c r="AC7" i="19" s="1"/>
  <c r="W5" i="19"/>
  <c r="AC5" i="19" s="1"/>
  <c r="W10" i="19"/>
  <c r="AC10" i="19" s="1"/>
  <c r="AD7" i="19"/>
  <c r="AE7" i="19"/>
  <c r="AE9" i="19"/>
  <c r="AD4" i="19"/>
  <c r="AE4" i="19"/>
  <c r="AE6" i="19"/>
  <c r="AE10" i="19"/>
  <c r="AE3" i="19"/>
  <c r="AD8" i="19"/>
  <c r="AE5" i="19"/>
  <c r="AE8" i="19"/>
  <c r="AD10" i="19"/>
  <c r="AD6" i="19"/>
  <c r="AD3" i="19"/>
  <c r="AD5" i="19"/>
  <c r="AD9" i="19"/>
  <c r="AC3" i="19" l="1"/>
  <c r="AF7" i="19"/>
  <c r="AG7" i="19"/>
  <c r="AH7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<sst xmlns="http://schemas.openxmlformats.org/spreadsheetml/2006/main" count="154" uniqueCount="41">
  <si>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</si>
  <si>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</si>
  <si>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</si>
  <si>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</si>
  <si>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</si>
  <si>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</si>
  <si>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</si>
  <si>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</si>
  <si>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</si>
  <si>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</si>
  <si>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</si>
  <si>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</si>
  <si>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</si>
  <si>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</si>
  <si>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</si>
  <si>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</si>
  <si>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</si>
  <si>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</si>
  <si>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</si>
  <si>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</si>
  <si>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</si>
  <si>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</si>
  <si>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</si>
  <si>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</si>
  <si>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</si>
  <si>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</si>
  <si>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</si>
  <si>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</si>
  <si>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</si>
  <si>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</si>
  <si>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</si>
  <si>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</si>
  <si>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</si>
  <si>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</si>
  <si>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</si>
  <si>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</si>
  <si>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;</t>
  </si>
  <si>
    <t>[</t>
  </si>
  <si>
    <t>]</t>
  </si>
  <si>
    <t>{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</si>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</sst>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9" borderId="0" applyNumberFormat="0" applyBorder="0" applyAlignment="0" applyProtection="0"/>
  </cellStyleXfs>
  <cellXfs count="34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4" fillId="8" borderId="1" xfId="0" applyNumberFormat="1" applyFont="1" applyFill="1" applyBorder="1"/>
    <xf numFmtId="164" fontId="2" fillId="9" borderId="1" xfId="1" applyNumberFormat="1" applyBorder="1"/>
    <xf numFmtId="0" fontId="3" fillId="6" borderId="1" xfId="0" applyFont="1" applyFill="1" applyBorder="1"/>
    <xf numFmtId="0" fontId="0" fillId="0" borderId="1" xfId="0" applyBorder="1"/>
    <xf numFmtId="166" fontId="4" fillId="8" borderId="1" xfId="0" applyNumberFormat="1" applyFont="1" applyFill="1" applyBorder="1"/>
    <xf numFmtId="166" fontId="4" fillId="8" borderId="12" xfId="0" applyNumberFormat="1" applyFont="1" applyFill="1" applyBorder="1"/>
    <xf numFmtId="166" fontId="0" fillId="0" borderId="1" xfId="0" applyNumberFormat="1" applyBorder="1"/>
    <xf numFmtId="165" fontId="4" fillId="8" borderId="1" xfId="0" applyNumberFormat="1" applyFont="1" applyFill="1" applyBorder="1"/>
    <xf numFmtId="166" fontId="0" fillId="0" borderId="0" xfId="0" applyNumberFormat="1"/>
    <xf numFmtId="164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A11"/>
  <sheetViews>
    <sheetView workbookViewId="0">
      <selection activeCell="J10" sqref="J10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6.5703125" bestFit="1" customWidth="1"/>
    <col min="5" max="5" width="6.85546875" bestFit="1" customWidth="1"/>
    <col min="6" max="6" width="8.7109375" bestFit="1" customWidth="1"/>
    <col min="7" max="9" width="8.42578125" bestFit="1" customWidth="1"/>
    <col min="10" max="11" width="8.28515625" bestFit="1" customWidth="1"/>
    <col min="12" max="12" width="7.85546875" bestFit="1" customWidth="1"/>
    <col min="13" max="15" width="7" bestFit="1" customWidth="1"/>
    <col min="16" max="17" width="8.140625" bestFit="1" customWidth="1"/>
    <col min="18" max="18" width="7.7109375" bestFit="1" customWidth="1"/>
    <col min="19" max="21" width="6.42578125" bestFit="1" customWidth="1"/>
    <col min="22" max="23" width="8.140625" bestFit="1" customWidth="1"/>
    <col min="24" max="24" width="7.7109375" bestFit="1" customWidth="1"/>
    <col min="25" max="27" width="7.28515625" bestFit="1" customWidth="1"/>
  </cols>
  <sheetData>
    <row r="1" spans="1:27" ht="15.75" x14ac:dyDescent="0.25">
      <c r="A1" s="15" t="s">
        <v>11</v>
      </c>
      <c r="B1" s="15"/>
      <c r="C1" s="15"/>
      <c r="D1" s="15"/>
      <c r="E1" s="15"/>
      <c r="F1" s="15"/>
      <c r="G1" s="15"/>
      <c r="H1" s="15"/>
      <c r="I1" s="16"/>
      <c r="J1" s="17" t="s">
        <v>6</v>
      </c>
      <c r="K1" s="18"/>
      <c r="L1" s="18"/>
      <c r="M1" s="18"/>
      <c r="N1" s="18"/>
      <c r="O1" s="18"/>
      <c r="P1" s="19" t="s">
        <v>12</v>
      </c>
      <c r="Q1" s="20"/>
      <c r="R1" s="20"/>
      <c r="S1" s="20"/>
      <c r="T1" s="20"/>
      <c r="U1" s="20"/>
      <c r="V1" s="21" t="s">
        <v>14</v>
      </c>
      <c r="W1" s="22"/>
      <c r="X1" s="22"/>
      <c r="Y1" s="22"/>
      <c r="Z1" s="22"/>
      <c r="AA1" s="23"/>
    </row>
    <row r="2" spans="1:27" ht="15.75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3</v>
      </c>
      <c r="Q2" s="1" t="s">
        <v>4</v>
      </c>
      <c r="R2" s="1" t="s">
        <v>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0</v>
      </c>
      <c r="Z2" s="1" t="s">
        <v>1</v>
      </c>
      <c r="AA2" s="1" t="s">
        <v>2</v>
      </c>
    </row>
    <row r="3" spans="1:27" s="5" customFormat="1" x14ac:dyDescent="0.25">
      <c r="A3" s="6">
        <v>0.7</v>
      </c>
      <c r="B3" s="6">
        <v>0.18</v>
      </c>
      <c r="C3" s="6">
        <v>2.3559999999999999</v>
      </c>
      <c r="D3" s="6">
        <v>0.8</v>
      </c>
      <c r="E3" s="6">
        <v>0.06</v>
      </c>
      <c r="F3" s="6">
        <v>3.1419999999999999</v>
      </c>
      <c r="G3" s="6">
        <v>0.8</v>
      </c>
      <c r="H3" s="6">
        <v>0</v>
      </c>
      <c r="I3" s="6">
        <v>0</v>
      </c>
      <c r="J3" s="12">
        <v>3.2339975237846402E-2</v>
      </c>
      <c r="K3" s="12">
        <v>-5.5166170001030003E-2</v>
      </c>
      <c r="L3" s="12">
        <v>-0.189541935920715</v>
      </c>
      <c r="M3" s="12">
        <v>-0.67983841896057096</v>
      </c>
      <c r="N3" s="12">
        <v>-0.92226362228393599</v>
      </c>
      <c r="O3" s="12">
        <v>-0.112011969089508</v>
      </c>
      <c r="V3" s="5">
        <f t="shared" ref="V3:V10" si="0">J3-P3</f>
        <v>3.2339975237846402E-2</v>
      </c>
      <c r="W3" s="5">
        <f t="shared" ref="W3:W10" si="1">K3-Q3</f>
        <v>-5.5166170001030003E-2</v>
      </c>
      <c r="X3" s="5">
        <f t="shared" ref="X3:X10" si="2">L3-R3</f>
        <v>-0.189541935920715</v>
      </c>
      <c r="Y3" s="5">
        <f t="shared" ref="Y3:Y10" si="3">M3-S3</f>
        <v>-0.67983841896057096</v>
      </c>
      <c r="Z3" s="5">
        <f t="shared" ref="Z3:Z10" si="4">N3-T3</f>
        <v>-0.92226362228393599</v>
      </c>
      <c r="AA3" s="5">
        <f t="shared" ref="AA3:AA10" si="5">O3-U3</f>
        <v>-0.112011969089508</v>
      </c>
    </row>
    <row r="4" spans="1:27" s="5" customFormat="1" x14ac:dyDescent="0.25">
      <c r="A4" s="6">
        <v>0.6</v>
      </c>
      <c r="B4" s="6">
        <v>0.12</v>
      </c>
      <c r="C4" s="6">
        <v>2.3559999999999999</v>
      </c>
      <c r="D4" s="6">
        <v>0.3</v>
      </c>
      <c r="E4" s="6">
        <v>0.04</v>
      </c>
      <c r="F4" s="6">
        <v>3.927</v>
      </c>
      <c r="G4" s="6">
        <v>0.4</v>
      </c>
      <c r="H4" s="6">
        <v>0</v>
      </c>
      <c r="I4" s="6">
        <v>0</v>
      </c>
      <c r="J4" s="12">
        <v>1.15160960704088E-2</v>
      </c>
      <c r="K4" s="12">
        <v>-4.9660507589578601E-2</v>
      </c>
      <c r="L4" s="12">
        <v>-0.12653815746307401</v>
      </c>
      <c r="M4" s="12">
        <v>-0.35200154781341603</v>
      </c>
      <c r="N4" s="12">
        <v>-0.66937559843063399</v>
      </c>
      <c r="O4" s="12">
        <v>7.3106274008750902E-2</v>
      </c>
      <c r="V4" s="5">
        <f t="shared" si="0"/>
        <v>1.15160960704088E-2</v>
      </c>
      <c r="W4" s="5">
        <f t="shared" si="1"/>
        <v>-4.9660507589578601E-2</v>
      </c>
      <c r="X4" s="5">
        <f t="shared" si="2"/>
        <v>-0.12653815746307401</v>
      </c>
      <c r="Y4" s="5">
        <f t="shared" si="3"/>
        <v>-0.35200154781341603</v>
      </c>
      <c r="Z4" s="5">
        <f t="shared" si="4"/>
        <v>-0.66937559843063399</v>
      </c>
      <c r="AA4" s="5">
        <f t="shared" si="5"/>
        <v>7.3106274008750902E-2</v>
      </c>
    </row>
    <row r="5" spans="1:27" s="5" customFormat="1" x14ac:dyDescent="0.25">
      <c r="A5" s="6">
        <v>0.8</v>
      </c>
      <c r="B5" s="6">
        <v>0.12</v>
      </c>
      <c r="C5" s="6">
        <v>2.3559999999999999</v>
      </c>
      <c r="D5" s="6">
        <v>0.5</v>
      </c>
      <c r="E5" s="6">
        <v>0.06</v>
      </c>
      <c r="F5" s="6">
        <v>3.927</v>
      </c>
      <c r="G5" s="6">
        <v>0.4</v>
      </c>
      <c r="H5" s="6">
        <v>0</v>
      </c>
      <c r="I5" s="6">
        <v>0</v>
      </c>
      <c r="J5" s="12">
        <v>1.2158022262155999E-2</v>
      </c>
      <c r="K5" s="12">
        <v>-5.5947426706552499E-2</v>
      </c>
      <c r="L5" s="12">
        <v>-0.13955169916153001</v>
      </c>
      <c r="M5" s="12">
        <v>-0.49113488197326699</v>
      </c>
      <c r="N5" s="12">
        <v>-0.66529178619384799</v>
      </c>
      <c r="O5" s="12">
        <v>4.9178555607795701E-2</v>
      </c>
      <c r="V5" s="5">
        <f t="shared" si="0"/>
        <v>1.2158022262155999E-2</v>
      </c>
      <c r="W5" s="5">
        <f t="shared" si="1"/>
        <v>-5.5947426706552499E-2</v>
      </c>
      <c r="X5" s="5">
        <f t="shared" si="2"/>
        <v>-0.13955169916153001</v>
      </c>
      <c r="Y5" s="5">
        <f t="shared" si="3"/>
        <v>-0.49113488197326699</v>
      </c>
      <c r="Z5" s="5">
        <f t="shared" si="4"/>
        <v>-0.66529178619384799</v>
      </c>
      <c r="AA5" s="5">
        <f t="shared" si="5"/>
        <v>4.9178555607795701E-2</v>
      </c>
    </row>
    <row r="6" spans="1:27" s="5" customFormat="1" x14ac:dyDescent="0.25">
      <c r="A6" s="6">
        <v>0.3</v>
      </c>
      <c r="B6" s="6">
        <v>0.18</v>
      </c>
      <c r="C6" s="6">
        <v>3.1419999999999999</v>
      </c>
      <c r="D6" s="6">
        <v>0.4</v>
      </c>
      <c r="E6" s="6">
        <v>0.04</v>
      </c>
      <c r="F6" s="6">
        <v>3.927</v>
      </c>
      <c r="G6" s="6">
        <v>1.2</v>
      </c>
      <c r="H6" s="6">
        <v>0</v>
      </c>
      <c r="I6" s="6">
        <v>0</v>
      </c>
      <c r="J6" s="12">
        <v>4.8007960431277804E-3</v>
      </c>
      <c r="K6" s="12">
        <v>4.3829150497913402E-2</v>
      </c>
      <c r="L6" s="12">
        <v>-0.10502015799283999</v>
      </c>
      <c r="M6" s="12">
        <v>-4.0011849254369701E-2</v>
      </c>
      <c r="N6" s="12">
        <v>-0.49215787649154702</v>
      </c>
      <c r="O6" s="12">
        <v>-0.30727568268775901</v>
      </c>
      <c r="V6" s="5">
        <f t="shared" ref="V6:AA7" si="6">J6-P6</f>
        <v>4.8007960431277804E-3</v>
      </c>
      <c r="W6" s="5">
        <f t="shared" si="6"/>
        <v>4.3829150497913402E-2</v>
      </c>
      <c r="X6" s="5">
        <f t="shared" si="6"/>
        <v>-0.10502015799283999</v>
      </c>
      <c r="Y6" s="5">
        <f t="shared" si="6"/>
        <v>-4.0011849254369701E-2</v>
      </c>
      <c r="Z6" s="5">
        <f t="shared" si="6"/>
        <v>-0.49215787649154702</v>
      </c>
      <c r="AA6" s="5">
        <f t="shared" si="6"/>
        <v>-0.30727568268775901</v>
      </c>
    </row>
    <row r="7" spans="1:27" s="5" customFormat="1" x14ac:dyDescent="0.25">
      <c r="A7" s="6">
        <v>0.5</v>
      </c>
      <c r="B7" s="6">
        <v>0.2</v>
      </c>
      <c r="C7" s="6">
        <v>3.1419999999999999</v>
      </c>
      <c r="D7" s="6">
        <v>0.7</v>
      </c>
      <c r="E7" s="6">
        <v>0.04</v>
      </c>
      <c r="F7" s="6">
        <v>3.927</v>
      </c>
      <c r="G7" s="6">
        <v>0.4</v>
      </c>
      <c r="H7" s="6">
        <v>0</v>
      </c>
      <c r="I7" s="6">
        <v>0</v>
      </c>
      <c r="J7" s="12">
        <v>3.3965623006224602E-3</v>
      </c>
      <c r="K7" s="12">
        <v>6.3226528465747805E-2</v>
      </c>
      <c r="L7" s="12">
        <v>-0.19356806576252</v>
      </c>
      <c r="M7" s="12">
        <v>-0.305575311183929</v>
      </c>
      <c r="N7" s="12">
        <v>-0.88097357749938998</v>
      </c>
      <c r="O7" s="12">
        <v>-0.48669517040252702</v>
      </c>
      <c r="V7" s="5">
        <f t="shared" si="6"/>
        <v>3.3965623006224602E-3</v>
      </c>
      <c r="W7" s="5">
        <f t="shared" si="6"/>
        <v>6.3226528465747805E-2</v>
      </c>
      <c r="X7" s="5">
        <f t="shared" si="6"/>
        <v>-0.19356806576252</v>
      </c>
      <c r="Y7" s="5">
        <f t="shared" si="6"/>
        <v>-0.305575311183929</v>
      </c>
      <c r="Z7" s="5">
        <f t="shared" si="6"/>
        <v>-0.88097357749938998</v>
      </c>
      <c r="AA7" s="5">
        <f t="shared" si="6"/>
        <v>-0.48669517040252702</v>
      </c>
    </row>
    <row r="8" spans="1:27" s="5" customFormat="1" x14ac:dyDescent="0.25">
      <c r="A8" s="6">
        <v>0.4</v>
      </c>
      <c r="B8" s="6">
        <v>0.14000000000000001</v>
      </c>
      <c r="C8" s="6">
        <v>3.927</v>
      </c>
      <c r="D8" s="6">
        <v>0.5</v>
      </c>
      <c r="E8" s="6">
        <v>0.02</v>
      </c>
      <c r="F8" s="6">
        <v>3.1419999999999999</v>
      </c>
      <c r="G8" s="6">
        <v>0.8</v>
      </c>
      <c r="H8" s="6">
        <v>0</v>
      </c>
      <c r="I8" s="6">
        <v>0</v>
      </c>
      <c r="J8" s="12">
        <v>-5.9819798916578302E-3</v>
      </c>
      <c r="K8" s="12">
        <v>6.2610559165477794E-2</v>
      </c>
      <c r="L8" s="12">
        <v>-0.128498494625092</v>
      </c>
      <c r="M8" s="12">
        <v>-9.5138475298881503E-2</v>
      </c>
      <c r="N8" s="12">
        <v>-0.785713970661163</v>
      </c>
      <c r="O8" s="12">
        <v>-0.23483300209045399</v>
      </c>
      <c r="V8" s="5">
        <f t="shared" si="0"/>
        <v>-5.9819798916578302E-3</v>
      </c>
      <c r="W8" s="5">
        <f t="shared" si="1"/>
        <v>6.2610559165477794E-2</v>
      </c>
      <c r="X8" s="5">
        <f t="shared" si="2"/>
        <v>-0.128498494625092</v>
      </c>
      <c r="Y8" s="5">
        <f t="shared" si="3"/>
        <v>-9.5138475298881503E-2</v>
      </c>
      <c r="Z8" s="5">
        <f t="shared" si="4"/>
        <v>-0.785713970661163</v>
      </c>
      <c r="AA8" s="5">
        <f t="shared" si="5"/>
        <v>-0.23483300209045399</v>
      </c>
    </row>
    <row r="9" spans="1:27" s="5" customFormat="1" x14ac:dyDescent="0.25">
      <c r="A9" s="6">
        <v>0.7</v>
      </c>
      <c r="B9" s="6">
        <v>0.12</v>
      </c>
      <c r="C9" s="6">
        <v>3.927</v>
      </c>
      <c r="D9" s="6">
        <v>0.7</v>
      </c>
      <c r="E9" s="6">
        <v>0.08</v>
      </c>
      <c r="F9" s="6">
        <v>3.927</v>
      </c>
      <c r="G9" s="6">
        <v>1.2</v>
      </c>
      <c r="H9" s="6">
        <v>0</v>
      </c>
      <c r="I9" s="6">
        <v>0</v>
      </c>
      <c r="J9" s="12">
        <v>-0.66562104225158703</v>
      </c>
      <c r="K9" s="12">
        <v>1.03766369819641</v>
      </c>
      <c r="L9" s="12">
        <v>-0.42349040508270303</v>
      </c>
      <c r="M9" s="12">
        <v>-0.203769326210022</v>
      </c>
      <c r="N9" s="12">
        <v>-0.14496208727359799</v>
      </c>
      <c r="O9" s="12">
        <v>-2.1244270727038401E-2</v>
      </c>
      <c r="V9" s="5">
        <f t="shared" si="0"/>
        <v>-0.66562104225158703</v>
      </c>
      <c r="W9" s="5">
        <f t="shared" si="1"/>
        <v>1.03766369819641</v>
      </c>
      <c r="X9" s="5">
        <f t="shared" si="2"/>
        <v>-0.42349040508270303</v>
      </c>
      <c r="Y9" s="5">
        <f t="shared" si="3"/>
        <v>-0.203769326210022</v>
      </c>
      <c r="Z9" s="5">
        <f t="shared" si="4"/>
        <v>-0.14496208727359799</v>
      </c>
      <c r="AA9" s="5">
        <f t="shared" si="5"/>
        <v>-2.1244270727038401E-2</v>
      </c>
    </row>
    <row r="10" spans="1:27" s="5" customFormat="1" x14ac:dyDescent="0.25">
      <c r="A10" s="6">
        <v>0.3</v>
      </c>
      <c r="B10" s="6">
        <v>0.1</v>
      </c>
      <c r="C10" s="6">
        <v>3.927</v>
      </c>
      <c r="D10" s="6">
        <v>0.8</v>
      </c>
      <c r="E10" s="6">
        <v>0.04</v>
      </c>
      <c r="F10" s="6">
        <v>4.7119999999999997</v>
      </c>
      <c r="G10" s="6">
        <v>0</v>
      </c>
      <c r="H10" s="6">
        <v>0</v>
      </c>
      <c r="I10" s="6">
        <v>0</v>
      </c>
      <c r="J10" s="12">
        <v>-0.94778239727020297</v>
      </c>
      <c r="K10" s="12">
        <v>0.24910345673561099</v>
      </c>
      <c r="L10" s="12">
        <v>-0.13659769296646099</v>
      </c>
      <c r="M10" s="12">
        <v>-4.59414087235928E-2</v>
      </c>
      <c r="N10" s="12">
        <v>-0.13913904130458801</v>
      </c>
      <c r="O10" s="12">
        <v>-2.8178235515952102E-3</v>
      </c>
      <c r="V10" s="5">
        <f t="shared" si="0"/>
        <v>-0.94778239727020297</v>
      </c>
      <c r="W10" s="5">
        <f t="shared" si="1"/>
        <v>0.24910345673561099</v>
      </c>
      <c r="X10" s="5">
        <f t="shared" si="2"/>
        <v>-0.13659769296646099</v>
      </c>
      <c r="Y10" s="5">
        <f t="shared" si="3"/>
        <v>-4.59414087235928E-2</v>
      </c>
      <c r="Z10" s="5">
        <f t="shared" si="4"/>
        <v>-0.13913904130458801</v>
      </c>
      <c r="AA10" s="5">
        <f t="shared" si="5"/>
        <v>-2.8178235515952102E-3</v>
      </c>
    </row>
    <row r="11" spans="1:27" x14ac:dyDescent="0.25">
      <c r="V11" s="14">
        <f>AVERAGE(V3:V10)</f>
        <v>-0.1943967459374108</v>
      </c>
      <c r="W11" s="14">
        <f>AVERAGE(W3:W10)</f>
        <v>0.16195741109549985</v>
      </c>
      <c r="X11" s="14">
        <f>AVERAGE(X3:X10)</f>
        <v>-0.1803508261218669</v>
      </c>
      <c r="Y11" s="14">
        <f>AVERAGE(Y3:Y10)</f>
        <v>-0.27667640242725616</v>
      </c>
      <c r="Z11" s="14">
        <f>AVERAGE(Z3:Z10)</f>
        <v>-0.58748469501733802</v>
      </c>
      <c r="AA11" s="14">
        <f>AVERAGE(AA3:AA10)</f>
        <v>-0.13032413611654187</v>
      </c>
    </row>
  </sheetData>
  <mergeCells count="4">
    <mergeCell ref="A1:I1"/>
    <mergeCell ref="J1:O1"/>
    <mergeCell ref="P1:U1"/>
    <mergeCell ref="V1:AA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4F32-032A-4B0A-9A4D-5BDCBF42870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K12"/>
  <sheetViews>
    <sheetView tabSelected="1" topLeftCell="S1" workbookViewId="0">
      <pane ySplit="2" topLeftCell="A3" activePane="bottomLeft" state="frozen"/>
      <selection activeCell="K1" sqref="K1"/>
      <selection pane="bottomLeft" activeCell="AG11" sqref="AG11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6.5703125" bestFit="1" customWidth="1"/>
    <col min="5" max="5" width="6.85546875" bestFit="1" customWidth="1"/>
    <col min="6" max="6" width="8.71093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8.7109375" bestFit="1" customWidth="1"/>
    <col min="19" max="19" width="6.5703125" bestFit="1" customWidth="1"/>
    <col min="20" max="20" width="6.85546875" bestFit="1" customWidth="1"/>
    <col min="21" max="21" width="8.7109375" bestFit="1" customWidth="1"/>
    <col min="22" max="22" width="6.7109375" customWidth="1"/>
    <col min="23" max="23" width="6.5703125" bestFit="1" customWidth="1"/>
    <col min="24" max="24" width="6.85546875" bestFit="1" customWidth="1"/>
    <col min="25" max="25" width="8.7109375" bestFit="1" customWidth="1"/>
    <col min="26" max="26" width="6.5703125" bestFit="1" customWidth="1"/>
    <col min="27" max="27" width="6.85546875" bestFit="1" customWidth="1"/>
    <col min="28" max="28" width="8.71093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2" bestFit="1" customWidth="1"/>
    <col min="33" max="33" width="13.85546875" bestFit="1" customWidth="1"/>
    <col min="34" max="34" width="11.140625" bestFit="1" customWidth="1"/>
  </cols>
  <sheetData>
    <row r="1" spans="1:37" ht="15.75" x14ac:dyDescent="0.25">
      <c r="A1" s="15" t="s">
        <v>11</v>
      </c>
      <c r="B1" s="15"/>
      <c r="C1" s="15"/>
      <c r="D1" s="15"/>
      <c r="E1" s="15"/>
      <c r="F1" s="15"/>
      <c r="G1" s="15"/>
      <c r="H1" s="15"/>
      <c r="I1" s="16"/>
      <c r="J1" s="17" t="s">
        <v>6</v>
      </c>
      <c r="K1" s="18"/>
      <c r="L1" s="18"/>
      <c r="M1" s="18"/>
      <c r="N1" s="18"/>
      <c r="O1" s="18"/>
      <c r="P1" s="29" t="s">
        <v>7</v>
      </c>
      <c r="Q1" s="30"/>
      <c r="R1" s="30"/>
      <c r="S1" s="30"/>
      <c r="T1" s="30"/>
      <c r="U1" s="30"/>
      <c r="V1" s="30"/>
      <c r="W1" s="26" t="s">
        <v>13</v>
      </c>
      <c r="X1" s="26"/>
      <c r="Y1" s="26"/>
      <c r="Z1" s="26"/>
      <c r="AA1" s="26"/>
      <c r="AB1" s="26"/>
      <c r="AC1" s="27" t="s">
        <v>34</v>
      </c>
      <c r="AD1" s="27"/>
      <c r="AE1" s="27"/>
      <c r="AF1" s="27"/>
      <c r="AG1" s="27"/>
      <c r="AH1" s="27"/>
      <c r="AI1" s="27"/>
      <c r="AJ1" s="27"/>
      <c r="AK1" s="27"/>
    </row>
    <row r="2" spans="1:37" ht="15.75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2" t="s">
        <v>35</v>
      </c>
      <c r="W2" s="3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7" t="s">
        <v>31</v>
      </c>
      <c r="AD2" s="7" t="s">
        <v>32</v>
      </c>
      <c r="AE2" s="7" t="s">
        <v>33</v>
      </c>
      <c r="AF2" s="28" t="s">
        <v>29</v>
      </c>
      <c r="AG2" s="28"/>
      <c r="AH2" s="28"/>
      <c r="AI2" s="28"/>
      <c r="AJ2" s="28"/>
      <c r="AK2" s="28"/>
    </row>
    <row r="3" spans="1:37" ht="15.75" x14ac:dyDescent="0.25">
      <c r="A3" s="5">
        <f>'Proximal Validation (double)'!A3</f>
        <v>0.7</v>
      </c>
      <c r="B3" s="5">
        <f>'Proximal Validation (double)'!B3</f>
        <v>0.18</v>
      </c>
      <c r="C3" s="5">
        <f>'Proximal Validation (double)'!C3</f>
        <v>2.3559999999999999</v>
      </c>
      <c r="D3" s="5">
        <f>'Proximal Validation (double)'!D3</f>
        <v>0.8</v>
      </c>
      <c r="E3" s="5">
        <f>'Proximal Validation (double)'!E3</f>
        <v>0.06</v>
      </c>
      <c r="F3" s="5">
        <f>'Proximal Validation (double)'!F3</f>
        <v>3.1419999999999999</v>
      </c>
      <c r="G3" s="5">
        <f>'Proximal Validation (double)'!G3</f>
        <v>0.8</v>
      </c>
      <c r="H3" s="5">
        <f>'Proximal Validation (double)'!H3</f>
        <v>0</v>
      </c>
      <c r="I3" s="5">
        <f>'Proximal Validation (double)'!I3</f>
        <v>0</v>
      </c>
      <c r="J3" s="5">
        <f>'Proximal Validation (double)'!J3</f>
        <v>3.2339975237846402E-2</v>
      </c>
      <c r="K3" s="5">
        <f>'Proximal Validation (double)'!K3</f>
        <v>-5.5166170001030003E-2</v>
      </c>
      <c r="L3" s="5">
        <f>'Proximal Validation (double)'!L3</f>
        <v>-0.189541935920715</v>
      </c>
      <c r="M3" s="5">
        <f>'Proximal Validation (double)'!M3</f>
        <v>-0.67983841896057096</v>
      </c>
      <c r="N3" s="5">
        <f>'Proximal Validation (double)'!N3</f>
        <v>-0.92226362228393599</v>
      </c>
      <c r="O3" s="5">
        <f>'Proximal Validation (double)'!O3</f>
        <v>-0.112011969089508</v>
      </c>
      <c r="P3" s="5">
        <v>0.99999999999997768</v>
      </c>
      <c r="Q3" s="5">
        <v>0.14311583172578318</v>
      </c>
      <c r="R3" s="5">
        <v>2.55346315054845</v>
      </c>
      <c r="S3" s="5">
        <v>0.46658200825580193</v>
      </c>
      <c r="T3" s="5">
        <v>2.0000000000023898E-2</v>
      </c>
      <c r="U3" s="5">
        <v>4.2172044931036767</v>
      </c>
      <c r="V3" s="12">
        <v>1.1683698134950406E-2</v>
      </c>
      <c r="W3" s="5">
        <f>P3-A3</f>
        <v>0.29999999999997773</v>
      </c>
      <c r="X3" s="5">
        <f>Q3-B3</f>
        <v>-3.6884168274216811E-2</v>
      </c>
      <c r="Y3" s="5">
        <f>R3-C3</f>
        <v>0.19746315054845009</v>
      </c>
      <c r="Z3" s="5">
        <f>S3-D3</f>
        <v>-0.33341799174419812</v>
      </c>
      <c r="AA3" s="5">
        <f>T3-E3</f>
        <v>-3.9999999999976096E-2</v>
      </c>
      <c r="AB3" s="5">
        <f>U3-F3</f>
        <v>1.0752044931036768</v>
      </c>
      <c r="AC3" s="9">
        <f t="shared" ref="AC3:AC10" si="0">AVERAGE(ABS(W3),ABS(Z3))</f>
        <v>0.3167089958720879</v>
      </c>
      <c r="AD3" s="9">
        <f t="shared" ref="AD3:AD10" si="1">AVERAGE(ABS(X3),ABS(AA3))</f>
        <v>3.8442084137096454E-2</v>
      </c>
      <c r="AE3" s="9">
        <f t="shared" ref="AE3:AE10" si="2">AVERAGE(ABS(Y3),ABS(AB3))</f>
        <v>0.63633382182606346</v>
      </c>
      <c r="AF3" s="1" t="s">
        <v>23</v>
      </c>
      <c r="AG3" s="1" t="s">
        <v>24</v>
      </c>
      <c r="AH3" s="1" t="s">
        <v>25</v>
      </c>
      <c r="AI3" s="1" t="s">
        <v>26</v>
      </c>
      <c r="AJ3" s="1" t="s">
        <v>27</v>
      </c>
      <c r="AK3" s="1" t="s">
        <v>28</v>
      </c>
    </row>
    <row r="4" spans="1:37" x14ac:dyDescent="0.25">
      <c r="A4" s="5">
        <f>'Proximal Validation (double)'!A4</f>
        <v>0.6</v>
      </c>
      <c r="B4" s="5">
        <f>'Proximal Validation (double)'!B4</f>
        <v>0.12</v>
      </c>
      <c r="C4" s="5">
        <f>'Proximal Validation (double)'!C4</f>
        <v>2.3559999999999999</v>
      </c>
      <c r="D4" s="5">
        <f>'Proximal Validation (double)'!D4</f>
        <v>0.3</v>
      </c>
      <c r="E4" s="5">
        <f>'Proximal Validation (double)'!E4</f>
        <v>0.04</v>
      </c>
      <c r="F4" s="5">
        <f>'Proximal Validation (double)'!F4</f>
        <v>3.927</v>
      </c>
      <c r="G4" s="5">
        <f>'Proximal Validation (double)'!G4</f>
        <v>0.4</v>
      </c>
      <c r="H4" s="5">
        <f>'Proximal Validation (double)'!H4</f>
        <v>0</v>
      </c>
      <c r="I4" s="5">
        <f>'Proximal Validation (double)'!I4</f>
        <v>0</v>
      </c>
      <c r="J4" s="5">
        <f>'Proximal Validation (double)'!J4</f>
        <v>1.15160960704088E-2</v>
      </c>
      <c r="K4" s="5">
        <f>'Proximal Validation (double)'!K4</f>
        <v>-4.9660507589578601E-2</v>
      </c>
      <c r="L4" s="5">
        <f>'Proximal Validation (double)'!L4</f>
        <v>-0.12653815746307401</v>
      </c>
      <c r="M4" s="5">
        <f>'Proximal Validation (double)'!M4</f>
        <v>-0.35200154781341603</v>
      </c>
      <c r="N4" s="5">
        <f>'Proximal Validation (double)'!N4</f>
        <v>-0.66937559843063399</v>
      </c>
      <c r="O4" s="5">
        <f>'Proximal Validation (double)'!O4</f>
        <v>7.3106274008750902E-2</v>
      </c>
      <c r="P4" s="5">
        <v>0.56702430832646111</v>
      </c>
      <c r="Q4" s="5">
        <v>0.18135171334663899</v>
      </c>
      <c r="R4" s="5">
        <v>1.1318375242858576</v>
      </c>
      <c r="S4" s="5">
        <v>0.99999999954503005</v>
      </c>
      <c r="T4" s="5">
        <v>0.12230488043600211</v>
      </c>
      <c r="U4" s="5">
        <v>3.4858686520661877</v>
      </c>
      <c r="V4" s="12">
        <v>1.036710516471954E-2</v>
      </c>
      <c r="W4" s="5">
        <f>P4-A4</f>
        <v>-3.2975691673538865E-2</v>
      </c>
      <c r="X4" s="5">
        <f>Q4-B4</f>
        <v>6.1351713346638997E-2</v>
      </c>
      <c r="Y4" s="5">
        <f>R4-C4</f>
        <v>-1.2241624757141423</v>
      </c>
      <c r="Z4" s="5">
        <f>S4-D4</f>
        <v>0.69999999954503012</v>
      </c>
      <c r="AA4" s="5">
        <f>T4-E4</f>
        <v>8.230488043600212E-2</v>
      </c>
      <c r="AB4" s="5">
        <f>U4-F4</f>
        <v>-0.44113134793381237</v>
      </c>
      <c r="AC4" s="9">
        <f t="shared" si="0"/>
        <v>0.36648784560928449</v>
      </c>
      <c r="AD4" s="9">
        <f t="shared" si="1"/>
        <v>7.1828296891320559E-2</v>
      </c>
      <c r="AE4" s="9">
        <f t="shared" si="2"/>
        <v>0.83264691182397732</v>
      </c>
      <c r="AF4" s="8" cm="1">
        <f t="array" ref="AF4">AVERAGE(ABS(W3:W8))</f>
        <v>0.228609753629306</v>
      </c>
      <c r="AG4" s="8" cm="1">
        <f t="array" ref="AG4">AVERAGE(ABS(X3:X8))</f>
        <v>3.1745664729070533E-2</v>
      </c>
      <c r="AH4" s="8" cm="1">
        <f t="array" ref="AH4">AVERAGE(ABS(Y3:Y8))</f>
        <v>0.47276771460898059</v>
      </c>
      <c r="AI4" s="8" cm="1">
        <f t="array" ref="AI4">AVERAGE(ABS(Z3:Z8))</f>
        <v>0.25192399895290035</v>
      </c>
      <c r="AJ4" s="8" cm="1">
        <f t="array" ref="AJ4">AVERAGE(ABS(AA3:AA8))</f>
        <v>4.4777671104040191E-2</v>
      </c>
      <c r="AK4" s="8" cm="1">
        <f t="array" ref="AK4">AVERAGE(ABS(AB3:AB10))</f>
        <v>0.68075773257744299</v>
      </c>
    </row>
    <row r="5" spans="1:37" x14ac:dyDescent="0.25">
      <c r="A5" s="5">
        <f>'Proximal Validation (double)'!A5</f>
        <v>0.8</v>
      </c>
      <c r="B5" s="5">
        <f>'Proximal Validation (double)'!B5</f>
        <v>0.12</v>
      </c>
      <c r="C5" s="5">
        <f>'Proximal Validation (double)'!C5</f>
        <v>2.3559999999999999</v>
      </c>
      <c r="D5" s="5">
        <f>'Proximal Validation (double)'!D5</f>
        <v>0.5</v>
      </c>
      <c r="E5" s="5">
        <f>'Proximal Validation (double)'!E5</f>
        <v>0.06</v>
      </c>
      <c r="F5" s="5">
        <f>'Proximal Validation (double)'!F5</f>
        <v>3.927</v>
      </c>
      <c r="G5" s="5">
        <f>'Proximal Validation (double)'!G5</f>
        <v>0.4</v>
      </c>
      <c r="H5" s="5">
        <f>'Proximal Validation (double)'!H5</f>
        <v>0</v>
      </c>
      <c r="I5" s="5">
        <f>'Proximal Validation (double)'!I5</f>
        <v>0</v>
      </c>
      <c r="J5" s="5">
        <f>'Proximal Validation (double)'!J5</f>
        <v>1.2158022262155999E-2</v>
      </c>
      <c r="K5" s="5">
        <f>'Proximal Validation (double)'!K5</f>
        <v>-5.5947426706552499E-2</v>
      </c>
      <c r="L5" s="5">
        <f>'Proximal Validation (double)'!L5</f>
        <v>-0.13955169916153001</v>
      </c>
      <c r="M5" s="5">
        <f>'Proximal Validation (double)'!M5</f>
        <v>-0.49113488197326699</v>
      </c>
      <c r="N5" s="5">
        <f>'Proximal Validation (double)'!N5</f>
        <v>-0.66529178619384799</v>
      </c>
      <c r="O5" s="5">
        <f>'Proximal Validation (double)'!O5</f>
        <v>4.9178555607795701E-2</v>
      </c>
      <c r="P5" s="5">
        <v>0.9999999999999778</v>
      </c>
      <c r="Q5" s="5">
        <v>0.11135301802516993</v>
      </c>
      <c r="R5" s="5">
        <v>2.4898076531850148</v>
      </c>
      <c r="S5" s="5">
        <v>0.45533114592371948</v>
      </c>
      <c r="T5" s="5">
        <v>2.0000000000028637E-2</v>
      </c>
      <c r="U5" s="5">
        <v>4.8812818080686222</v>
      </c>
      <c r="V5" s="12">
        <v>1.9737605556386574E-2</v>
      </c>
      <c r="W5" s="5">
        <f>P5-A5</f>
        <v>0.19999999999997775</v>
      </c>
      <c r="X5" s="5">
        <f>Q5-B5</f>
        <v>-8.6469819748300619E-3</v>
      </c>
      <c r="Y5" s="5">
        <f>R5-C5</f>
        <v>0.13380765318501497</v>
      </c>
      <c r="Z5" s="5">
        <f>S5-D5</f>
        <v>-4.4668854076280518E-2</v>
      </c>
      <c r="AA5" s="5">
        <f>T5-E5</f>
        <v>-3.9999999999971364E-2</v>
      </c>
      <c r="AB5" s="5">
        <f>U5-F5</f>
        <v>0.95428180806862217</v>
      </c>
      <c r="AC5" s="10">
        <f t="shared" si="0"/>
        <v>0.12233442703812913</v>
      </c>
      <c r="AD5" s="10">
        <f t="shared" si="1"/>
        <v>2.4323490987400713E-2</v>
      </c>
      <c r="AE5" s="10">
        <f t="shared" si="2"/>
        <v>0.54404473062681857</v>
      </c>
      <c r="AF5" s="24" t="s">
        <v>30</v>
      </c>
      <c r="AG5" s="25"/>
      <c r="AH5" s="25"/>
      <c r="AI5" s="25"/>
      <c r="AJ5" s="25"/>
      <c r="AK5" s="25"/>
    </row>
    <row r="6" spans="1:37" x14ac:dyDescent="0.25">
      <c r="A6" s="5">
        <f>'Proximal Validation (double)'!A6</f>
        <v>0.3</v>
      </c>
      <c r="B6" s="5">
        <f>'Proximal Validation (double)'!B6</f>
        <v>0.18</v>
      </c>
      <c r="C6" s="5">
        <f>'Proximal Validation (double)'!C6</f>
        <v>3.1419999999999999</v>
      </c>
      <c r="D6" s="5">
        <f>'Proximal Validation (double)'!D6</f>
        <v>0.4</v>
      </c>
      <c r="E6" s="5">
        <f>'Proximal Validation (double)'!E6</f>
        <v>0.04</v>
      </c>
      <c r="F6" s="5">
        <f>'Proximal Validation (double)'!F6</f>
        <v>3.927</v>
      </c>
      <c r="G6" s="5">
        <f>'Proximal Validation (double)'!G6</f>
        <v>1.2</v>
      </c>
      <c r="H6" s="5">
        <f>'Proximal Validation (double)'!H6</f>
        <v>0</v>
      </c>
      <c r="I6" s="5">
        <f>'Proximal Validation (double)'!I6</f>
        <v>0</v>
      </c>
      <c r="J6" s="5">
        <f>'Proximal Validation (double)'!J6</f>
        <v>4.8007960431277804E-3</v>
      </c>
      <c r="K6" s="5">
        <f>'Proximal Validation (double)'!K6</f>
        <v>4.3829150497913402E-2</v>
      </c>
      <c r="L6" s="5">
        <f>'Proximal Validation (double)'!L6</f>
        <v>-0.10502015799283999</v>
      </c>
      <c r="M6" s="5">
        <f>'Proximal Validation (double)'!M6</f>
        <v>-4.0011849254369701E-2</v>
      </c>
      <c r="N6" s="5">
        <f>'Proximal Validation (double)'!N6</f>
        <v>-0.49215787649154702</v>
      </c>
      <c r="O6" s="5">
        <f>'Proximal Validation (double)'!O6</f>
        <v>-0.30727568268775901</v>
      </c>
      <c r="P6" s="5">
        <v>0.19030564033185321</v>
      </c>
      <c r="Q6" s="5">
        <v>0.19987920042442461</v>
      </c>
      <c r="R6" s="5">
        <v>2.4500696700579727</v>
      </c>
      <c r="S6" s="5">
        <v>0.55450803254305081</v>
      </c>
      <c r="T6" s="5">
        <v>9.0565680530742418E-2</v>
      </c>
      <c r="U6" s="5">
        <v>4.0339352820472207</v>
      </c>
      <c r="V6" s="12">
        <v>1.619745021370154E-3</v>
      </c>
      <c r="W6" s="5">
        <f>P6-A6</f>
        <v>-0.10969435966814678</v>
      </c>
      <c r="X6" s="5">
        <f>Q6-B6</f>
        <v>1.987920042442462E-2</v>
      </c>
      <c r="Y6" s="5">
        <f>R6-C6</f>
        <v>-0.69193032994202719</v>
      </c>
      <c r="Z6" s="5">
        <f>S6-D6</f>
        <v>0.15450803254305079</v>
      </c>
      <c r="AA6" s="5">
        <f>T6-E6</f>
        <v>5.0565680530742417E-2</v>
      </c>
      <c r="AB6" s="5">
        <f>U6-F6</f>
        <v>0.10693528204722069</v>
      </c>
      <c r="AC6" s="9">
        <f t="shared" si="0"/>
        <v>0.13210119610559878</v>
      </c>
      <c r="AD6" s="9">
        <f t="shared" si="1"/>
        <v>3.5222440477583522E-2</v>
      </c>
      <c r="AE6" s="9">
        <f t="shared" si="2"/>
        <v>0.39943280599462394</v>
      </c>
      <c r="AF6" s="7" t="s">
        <v>31</v>
      </c>
      <c r="AG6" s="7" t="s">
        <v>32</v>
      </c>
      <c r="AH6" s="7" t="s">
        <v>33</v>
      </c>
      <c r="AI6" s="8"/>
      <c r="AJ6" s="8"/>
      <c r="AK6" s="8"/>
    </row>
    <row r="7" spans="1:37" x14ac:dyDescent="0.25">
      <c r="A7" s="5">
        <f>'Proximal Validation (double)'!A7</f>
        <v>0.5</v>
      </c>
      <c r="B7" s="5">
        <f>'Proximal Validation (double)'!B7</f>
        <v>0.2</v>
      </c>
      <c r="C7" s="5">
        <f>'Proximal Validation (double)'!C7</f>
        <v>3.1419999999999999</v>
      </c>
      <c r="D7" s="5">
        <f>'Proximal Validation (double)'!D7</f>
        <v>0.7</v>
      </c>
      <c r="E7" s="5">
        <f>'Proximal Validation (double)'!E7</f>
        <v>0.04</v>
      </c>
      <c r="F7" s="5">
        <f>'Proximal Validation (double)'!F7</f>
        <v>3.927</v>
      </c>
      <c r="G7" s="5">
        <f>'Proximal Validation (double)'!G7</f>
        <v>0.4</v>
      </c>
      <c r="H7" s="5">
        <f>'Proximal Validation (double)'!H7</f>
        <v>0</v>
      </c>
      <c r="I7" s="5">
        <f>'Proximal Validation (double)'!I7</f>
        <v>0</v>
      </c>
      <c r="J7" s="5">
        <f>'Proximal Validation (double)'!J7</f>
        <v>3.3965623006224602E-3</v>
      </c>
      <c r="K7" s="5">
        <f>'Proximal Validation (double)'!K7</f>
        <v>6.3226528465747805E-2</v>
      </c>
      <c r="L7" s="5">
        <f>'Proximal Validation (double)'!L7</f>
        <v>-0.19356806576252</v>
      </c>
      <c r="M7" s="5">
        <f>'Proximal Validation (double)'!M7</f>
        <v>-0.305575311183929</v>
      </c>
      <c r="N7" s="5">
        <f>'Proximal Validation (double)'!N7</f>
        <v>-0.88097357749938998</v>
      </c>
      <c r="O7" s="5">
        <f>'Proximal Validation (double)'!O7</f>
        <v>-0.48669517040252702</v>
      </c>
      <c r="P7" s="5">
        <v>0.37100883081175262</v>
      </c>
      <c r="Q7" s="5">
        <v>0.19999999999995952</v>
      </c>
      <c r="R7" s="5">
        <v>2.5754335153756758</v>
      </c>
      <c r="S7" s="5">
        <v>0.92618934429340338</v>
      </c>
      <c r="T7" s="5">
        <v>8.5998425103691836E-2</v>
      </c>
      <c r="U7" s="5">
        <v>3.975547258275864</v>
      </c>
      <c r="V7" s="12">
        <v>2.7827099281207626E-4</v>
      </c>
      <c r="W7" s="5">
        <f>P7-A7</f>
        <v>-0.12899116918824738</v>
      </c>
      <c r="X7" s="5">
        <f>Q7-B7</f>
        <v>-4.0495384823202585E-14</v>
      </c>
      <c r="Y7" s="5">
        <f>R7-C7</f>
        <v>-0.56656648462432413</v>
      </c>
      <c r="Z7" s="5">
        <f>S7-D7</f>
        <v>0.22618934429340343</v>
      </c>
      <c r="AA7" s="5">
        <f>T7-E7</f>
        <v>4.5998425103691835E-2</v>
      </c>
      <c r="AB7" s="5">
        <f>U7-F7</f>
        <v>4.8547258275863925E-2</v>
      </c>
      <c r="AC7" s="9">
        <f t="shared" si="0"/>
        <v>0.1775902567408254</v>
      </c>
      <c r="AD7" s="9">
        <f t="shared" si="1"/>
        <v>2.2999212551866165E-2</v>
      </c>
      <c r="AE7" s="9">
        <f t="shared" si="2"/>
        <v>0.30755687145009403</v>
      </c>
      <c r="AF7" s="11">
        <f>AVERAGE(AF4,AI4)</f>
        <v>0.24026687629110316</v>
      </c>
      <c r="AG7" s="11">
        <f>AVERAGE(AG4,AJ4)</f>
        <v>3.8261667916555359E-2</v>
      </c>
      <c r="AH7" s="11">
        <f>AVERAGE(AH4,AK4)</f>
        <v>0.57676272359321179</v>
      </c>
      <c r="AI7" s="8"/>
      <c r="AJ7" s="8"/>
      <c r="AK7" s="8"/>
    </row>
    <row r="8" spans="1:37" x14ac:dyDescent="0.25">
      <c r="A8" s="5">
        <f>'Proximal Validation (double)'!A8</f>
        <v>0.4</v>
      </c>
      <c r="B8" s="5">
        <f>'Proximal Validation (double)'!B8</f>
        <v>0.14000000000000001</v>
      </c>
      <c r="C8" s="5">
        <f>'Proximal Validation (double)'!C8</f>
        <v>3.927</v>
      </c>
      <c r="D8" s="5">
        <f>'Proximal Validation (double)'!D8</f>
        <v>0.5</v>
      </c>
      <c r="E8" s="5">
        <f>'Proximal Validation (double)'!E8</f>
        <v>0.02</v>
      </c>
      <c r="F8" s="5">
        <f>'Proximal Validation (double)'!F8</f>
        <v>3.1419999999999999</v>
      </c>
      <c r="G8" s="5">
        <f>'Proximal Validation (double)'!G8</f>
        <v>0.8</v>
      </c>
      <c r="H8" s="5">
        <f>'Proximal Validation (double)'!H8</f>
        <v>0</v>
      </c>
      <c r="I8" s="5">
        <f>'Proximal Validation (double)'!I8</f>
        <v>0</v>
      </c>
      <c r="J8" s="5">
        <f>'Proximal Validation (double)'!J8</f>
        <v>-5.9819798916578302E-3</v>
      </c>
      <c r="K8" s="5">
        <f>'Proximal Validation (double)'!K8</f>
        <v>6.2610559165477794E-2</v>
      </c>
      <c r="L8" s="5">
        <f>'Proximal Validation (double)'!L8</f>
        <v>-0.128498494625092</v>
      </c>
      <c r="M8" s="5">
        <f>'Proximal Validation (double)'!M8</f>
        <v>-9.5138475298881503E-2</v>
      </c>
      <c r="N8" s="5">
        <f>'Proximal Validation (double)'!N8</f>
        <v>-0.785713970661163</v>
      </c>
      <c r="O8" s="5">
        <f>'Proximal Validation (double)'!O8</f>
        <v>-0.23483300209045399</v>
      </c>
      <c r="P8" s="5">
        <v>0.99999730124594732</v>
      </c>
      <c r="Q8" s="5">
        <v>7.6288075645727774E-2</v>
      </c>
      <c r="R8" s="5">
        <v>3.9043238063600754</v>
      </c>
      <c r="S8" s="5">
        <v>0.44724022848456108</v>
      </c>
      <c r="T8" s="5">
        <v>2.9797040553857346E-2</v>
      </c>
      <c r="U8" s="5">
        <v>1.7268607966678369</v>
      </c>
      <c r="V8" s="12">
        <v>2.9143270943843805E-3</v>
      </c>
      <c r="W8" s="5">
        <f>P8-A8</f>
        <v>0.5999973012459473</v>
      </c>
      <c r="X8" s="5">
        <f>Q8-B8</f>
        <v>-6.371192435427224E-2</v>
      </c>
      <c r="Y8" s="5">
        <f>R8-C8</f>
        <v>-2.267619363992468E-2</v>
      </c>
      <c r="Z8" s="5">
        <f>S8-D8</f>
        <v>-5.2759771515438925E-2</v>
      </c>
      <c r="AA8" s="5">
        <f>T8-E8</f>
        <v>9.7970405538573453E-3</v>
      </c>
      <c r="AB8" s="5">
        <f>U8-F8</f>
        <v>-1.415139203332163</v>
      </c>
      <c r="AC8" s="9">
        <f t="shared" si="0"/>
        <v>0.32637853638069314</v>
      </c>
      <c r="AD8" s="9">
        <f t="shared" si="1"/>
        <v>3.6754482454064791E-2</v>
      </c>
      <c r="AE8" s="9">
        <f t="shared" si="2"/>
        <v>0.71890769848604386</v>
      </c>
    </row>
    <row r="9" spans="1:37" x14ac:dyDescent="0.25">
      <c r="A9" s="5">
        <f>'Proximal Validation (double)'!A9</f>
        <v>0.7</v>
      </c>
      <c r="B9" s="5">
        <f>'Proximal Validation (double)'!B9</f>
        <v>0.12</v>
      </c>
      <c r="C9" s="5">
        <f>'Proximal Validation (double)'!C9</f>
        <v>3.927</v>
      </c>
      <c r="D9" s="5">
        <f>'Proximal Validation (double)'!D9</f>
        <v>0.7</v>
      </c>
      <c r="E9" s="5">
        <f>'Proximal Validation (double)'!E9</f>
        <v>0.08</v>
      </c>
      <c r="F9" s="5">
        <f>'Proximal Validation (double)'!F9</f>
        <v>3.927</v>
      </c>
      <c r="G9" s="5">
        <f>'Proximal Validation (double)'!G9</f>
        <v>1.2</v>
      </c>
      <c r="H9" s="5">
        <f>'Proximal Validation (double)'!H9</f>
        <v>0</v>
      </c>
      <c r="I9" s="5">
        <f>'Proximal Validation (double)'!I9</f>
        <v>0</v>
      </c>
      <c r="J9" s="5">
        <f>'Proximal Validation (double)'!J9</f>
        <v>-0.66562104225158703</v>
      </c>
      <c r="K9" s="5">
        <f>'Proximal Validation (double)'!K9</f>
        <v>1.03766369819641</v>
      </c>
      <c r="L9" s="5">
        <f>'Proximal Validation (double)'!L9</f>
        <v>-0.42349040508270303</v>
      </c>
      <c r="M9" s="5">
        <f>'Proximal Validation (double)'!M9</f>
        <v>-0.203769326210022</v>
      </c>
      <c r="N9" s="5">
        <f>'Proximal Validation (double)'!N9</f>
        <v>-0.14496208727359799</v>
      </c>
      <c r="O9" s="5">
        <f>'Proximal Validation (double)'!O9</f>
        <v>-2.1244270727038401E-2</v>
      </c>
      <c r="P9" s="5">
        <v>0.98865521952038438</v>
      </c>
      <c r="Q9" s="5">
        <v>0.19994749621208607</v>
      </c>
      <c r="R9" s="5">
        <v>3.5071063879653921</v>
      </c>
      <c r="S9" s="5">
        <v>0.98154329504869542</v>
      </c>
      <c r="T9" s="5">
        <v>0.1670549972682682</v>
      </c>
      <c r="U9" s="5">
        <v>3.6796606766268511</v>
      </c>
      <c r="V9" s="12">
        <v>117.30863766147816</v>
      </c>
      <c r="W9" s="5">
        <f>P9-A9</f>
        <v>0.28865521952038442</v>
      </c>
      <c r="X9" s="5">
        <f>Q9-B9</f>
        <v>7.9947496212086078E-2</v>
      </c>
      <c r="Y9" s="5">
        <f>R9-C9</f>
        <v>-0.41989361203460795</v>
      </c>
      <c r="Z9" s="5">
        <f>S9-D9</f>
        <v>0.28154329504869546</v>
      </c>
      <c r="AA9" s="5">
        <f>T9-E9</f>
        <v>8.7054997268268194E-2</v>
      </c>
      <c r="AB9" s="5">
        <f>U9-F9</f>
        <v>-0.2473393233731489</v>
      </c>
      <c r="AC9" s="9">
        <f t="shared" si="0"/>
        <v>0.28509925728453994</v>
      </c>
      <c r="AD9" s="9">
        <f t="shared" si="1"/>
        <v>8.3501246740177143E-2</v>
      </c>
      <c r="AE9" s="9">
        <f t="shared" si="2"/>
        <v>0.33361646770387843</v>
      </c>
      <c r="AF9" s="13"/>
      <c r="AG9" s="13"/>
      <c r="AH9" s="13"/>
    </row>
    <row r="10" spans="1:37" x14ac:dyDescent="0.25">
      <c r="A10" s="5">
        <f>'Proximal Validation (double)'!A10</f>
        <v>0.3</v>
      </c>
      <c r="B10" s="5">
        <f>'Proximal Validation (double)'!B10</f>
        <v>0.1</v>
      </c>
      <c r="C10" s="5">
        <f>'Proximal Validation (double)'!C10</f>
        <v>3.927</v>
      </c>
      <c r="D10" s="5">
        <f>'Proximal Validation (double)'!D10</f>
        <v>0.8</v>
      </c>
      <c r="E10" s="5">
        <f>'Proximal Validation (double)'!E10</f>
        <v>0.04</v>
      </c>
      <c r="F10" s="5">
        <f>'Proximal Validation (double)'!F10</f>
        <v>4.7119999999999997</v>
      </c>
      <c r="G10" s="5">
        <f>'Proximal Validation (double)'!G10</f>
        <v>0</v>
      </c>
      <c r="H10" s="5">
        <f>'Proximal Validation (double)'!H10</f>
        <v>0</v>
      </c>
      <c r="I10" s="5">
        <f>'Proximal Validation (double)'!I10</f>
        <v>0</v>
      </c>
      <c r="J10" s="5">
        <f>'Proximal Validation (double)'!J10</f>
        <v>-0.94778239727020297</v>
      </c>
      <c r="K10" s="5">
        <f>'Proximal Validation (double)'!K10</f>
        <v>0.24910345673561099</v>
      </c>
      <c r="L10" s="5">
        <f>'Proximal Validation (double)'!L10</f>
        <v>-0.13659769296646099</v>
      </c>
      <c r="M10" s="5">
        <f>'Proximal Validation (double)'!M10</f>
        <v>-4.59414087235928E-2</v>
      </c>
      <c r="N10" s="5">
        <f>'Proximal Validation (double)'!N10</f>
        <v>-0.13913904130458801</v>
      </c>
      <c r="O10" s="5">
        <f>'Proximal Validation (double)'!O10</f>
        <v>-2.8178235515952102E-3</v>
      </c>
      <c r="P10" s="5">
        <v>0.99881193034726823</v>
      </c>
      <c r="Q10" s="5">
        <v>0.19999784874519838</v>
      </c>
      <c r="R10" s="5">
        <v>3.5528287332481669</v>
      </c>
      <c r="S10" s="5">
        <v>0.99813104811372055</v>
      </c>
      <c r="T10" s="5">
        <v>0.19999740952861822</v>
      </c>
      <c r="U10" s="5">
        <v>3.5545168555149629</v>
      </c>
      <c r="V10" s="12">
        <v>64.880143661048137</v>
      </c>
      <c r="W10" s="5">
        <f>P10-A10</f>
        <v>0.69881193034726818</v>
      </c>
      <c r="X10" s="5">
        <f>Q10-B10</f>
        <v>9.9997848745198376E-2</v>
      </c>
      <c r="Y10" s="5">
        <f>R10-C10</f>
        <v>-0.3741712667518331</v>
      </c>
      <c r="Z10" s="5">
        <f>S10-D10</f>
        <v>0.19813104811372051</v>
      </c>
      <c r="AA10" s="5">
        <f>T10-E10</f>
        <v>0.15999740952861821</v>
      </c>
      <c r="AB10" s="5">
        <f>U10-F10</f>
        <v>-1.1574831444850369</v>
      </c>
      <c r="AC10" s="9">
        <f t="shared" si="0"/>
        <v>0.44847148923049435</v>
      </c>
      <c r="AD10" s="9">
        <f t="shared" si="1"/>
        <v>0.12999762913690829</v>
      </c>
      <c r="AE10" s="9">
        <f t="shared" si="2"/>
        <v>0.76582720561843498</v>
      </c>
    </row>
    <row r="12" spans="1:37" x14ac:dyDescent="0.25">
      <c r="AF12" s="13"/>
      <c r="AG12" s="13"/>
      <c r="AH12" s="13"/>
    </row>
  </sheetData>
  <mergeCells count="7">
    <mergeCell ref="AF5:AK5"/>
    <mergeCell ref="A1:I1"/>
    <mergeCell ref="J1:O1"/>
    <mergeCell ref="W1:AB1"/>
    <mergeCell ref="AC1:AK1"/>
    <mergeCell ref="AF2:AK2"/>
    <mergeCell ref="P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D7D9-740E-4BB1-A5C5-EC42A3C8479B}">
  <dimension ref="A1:X55"/>
  <sheetViews>
    <sheetView topLeftCell="A28" workbookViewId="0">
      <selection activeCell="H48" sqref="H48:M48"/>
    </sheetView>
  </sheetViews>
  <sheetFormatPr defaultRowHeight="15" x14ac:dyDescent="0.25"/>
  <sheetData>
    <row r="1" spans="1:13" x14ac:dyDescent="0.25">
      <c r="A1" t="s">
        <v>37</v>
      </c>
      <c r="B1" s="5">
        <v>0.7</v>
      </c>
      <c r="C1" s="5">
        <v>0.1</v>
      </c>
      <c r="D1" s="5">
        <v>1.57</v>
      </c>
      <c r="E1" s="5">
        <f>PI()/2</f>
        <v>1.5707963267948966</v>
      </c>
      <c r="F1" s="5">
        <v>0.4</v>
      </c>
      <c r="G1" s="5">
        <v>0.04</v>
      </c>
      <c r="H1" s="5">
        <f>3*PI()/2</f>
        <v>4.7123889803846897</v>
      </c>
      <c r="I1" s="5">
        <f>PI()/2</f>
        <v>1.5707963267948966</v>
      </c>
      <c r="J1" s="5">
        <v>0</v>
      </c>
      <c r="K1" s="5">
        <v>0</v>
      </c>
      <c r="L1" s="5">
        <v>1.4</v>
      </c>
      <c r="M1" t="s">
        <v>36</v>
      </c>
    </row>
    <row r="2" spans="1:13" x14ac:dyDescent="0.25">
      <c r="B2" s="5">
        <v>0.7</v>
      </c>
      <c r="C2" s="5">
        <v>0.12</v>
      </c>
      <c r="D2" s="5">
        <v>1.57</v>
      </c>
      <c r="E2" s="5">
        <f t="shared" ref="E2:E15" si="0">PI()/2</f>
        <v>1.5707963267948966</v>
      </c>
      <c r="F2" s="5">
        <v>0.3</v>
      </c>
      <c r="G2" s="5">
        <v>0.06</v>
      </c>
      <c r="H2" s="5">
        <f t="shared" ref="H2:H8" si="1">3*PI()/2</f>
        <v>4.7123889803846897</v>
      </c>
      <c r="I2" s="5">
        <f t="shared" ref="I2:I15" si="2">PI()/2</f>
        <v>1.5707963267948966</v>
      </c>
      <c r="J2" s="5">
        <v>0</v>
      </c>
      <c r="K2" s="5">
        <v>0</v>
      </c>
      <c r="L2" s="5">
        <v>0</v>
      </c>
      <c r="M2" t="s">
        <v>36</v>
      </c>
    </row>
    <row r="3" spans="1:13" x14ac:dyDescent="0.25">
      <c r="B3" s="5">
        <v>0.5</v>
      </c>
      <c r="C3" s="5">
        <v>0.12</v>
      </c>
      <c r="D3" s="5">
        <v>1.57</v>
      </c>
      <c r="E3" s="5">
        <f t="shared" si="0"/>
        <v>1.5707963267948966</v>
      </c>
      <c r="F3" s="5">
        <v>0.6</v>
      </c>
      <c r="G3" s="5">
        <v>0.08</v>
      </c>
      <c r="H3" s="5">
        <f t="shared" si="1"/>
        <v>4.7123889803846897</v>
      </c>
      <c r="I3" s="5">
        <f t="shared" si="2"/>
        <v>1.5707963267948966</v>
      </c>
      <c r="J3" s="5">
        <v>0</v>
      </c>
      <c r="K3" s="5">
        <v>0</v>
      </c>
      <c r="L3" s="5">
        <v>1.4</v>
      </c>
      <c r="M3" t="s">
        <v>36</v>
      </c>
    </row>
    <row r="4" spans="1:13" x14ac:dyDescent="0.25">
      <c r="B4" s="5">
        <v>0.4</v>
      </c>
      <c r="C4" s="5">
        <v>0.14000000000000001</v>
      </c>
      <c r="D4" s="5">
        <v>1.57</v>
      </c>
      <c r="E4" s="5">
        <f t="shared" si="0"/>
        <v>1.5707963267948966</v>
      </c>
      <c r="F4" s="5">
        <v>0.8</v>
      </c>
      <c r="G4" s="5">
        <v>0.04</v>
      </c>
      <c r="H4" s="5">
        <f t="shared" si="1"/>
        <v>4.7123889803846897</v>
      </c>
      <c r="I4" s="5">
        <f t="shared" si="2"/>
        <v>1.5707963267948966</v>
      </c>
      <c r="J4" s="5">
        <v>0</v>
      </c>
      <c r="K4" s="5">
        <v>0</v>
      </c>
      <c r="L4" s="5">
        <v>0</v>
      </c>
      <c r="M4" t="s">
        <v>36</v>
      </c>
    </row>
    <row r="5" spans="1:13" x14ac:dyDescent="0.25">
      <c r="B5" s="5">
        <v>0.6</v>
      </c>
      <c r="C5" s="5">
        <v>0.16</v>
      </c>
      <c r="D5" s="5">
        <v>1.57</v>
      </c>
      <c r="E5" s="5">
        <f t="shared" si="0"/>
        <v>1.5707963267948966</v>
      </c>
      <c r="F5" s="5">
        <v>0.7</v>
      </c>
      <c r="G5" s="5">
        <v>0.02</v>
      </c>
      <c r="H5" s="5">
        <f t="shared" si="1"/>
        <v>4.7123889803846897</v>
      </c>
      <c r="I5" s="5">
        <f t="shared" si="2"/>
        <v>1.5707963267948966</v>
      </c>
      <c r="J5" s="5">
        <v>0</v>
      </c>
      <c r="K5" s="5">
        <v>0</v>
      </c>
      <c r="L5" s="5">
        <v>0</v>
      </c>
      <c r="M5" t="s">
        <v>36</v>
      </c>
    </row>
    <row r="6" spans="1:13" x14ac:dyDescent="0.25">
      <c r="B6" s="5">
        <v>0.8</v>
      </c>
      <c r="C6" s="5">
        <v>0.18</v>
      </c>
      <c r="D6" s="5">
        <v>1.57</v>
      </c>
      <c r="E6" s="5">
        <f t="shared" si="0"/>
        <v>1.5707963267948966</v>
      </c>
      <c r="F6" s="5">
        <v>0.7</v>
      </c>
      <c r="G6" s="5">
        <v>0.06</v>
      </c>
      <c r="H6" s="5">
        <f t="shared" si="1"/>
        <v>4.7123889803846897</v>
      </c>
      <c r="I6" s="5">
        <f t="shared" si="2"/>
        <v>1.5707963267948966</v>
      </c>
      <c r="J6" s="5">
        <v>0</v>
      </c>
      <c r="K6" s="5">
        <v>0</v>
      </c>
      <c r="L6" s="5">
        <v>1.4</v>
      </c>
      <c r="M6" t="s">
        <v>36</v>
      </c>
    </row>
    <row r="7" spans="1:13" x14ac:dyDescent="0.25">
      <c r="B7" s="5">
        <v>0.3</v>
      </c>
      <c r="C7" s="5">
        <v>0.18</v>
      </c>
      <c r="D7" s="5">
        <v>1.57</v>
      </c>
      <c r="E7" s="5">
        <f t="shared" si="0"/>
        <v>1.5707963267948966</v>
      </c>
      <c r="F7" s="5">
        <v>0.4</v>
      </c>
      <c r="G7" s="5">
        <v>0.08</v>
      </c>
      <c r="H7" s="5">
        <f t="shared" si="1"/>
        <v>4.7123889803846897</v>
      </c>
      <c r="I7" s="5">
        <f t="shared" si="2"/>
        <v>1.5707963267948966</v>
      </c>
      <c r="J7" s="5">
        <v>0</v>
      </c>
      <c r="K7" s="5">
        <v>0</v>
      </c>
      <c r="L7" s="5">
        <v>0</v>
      </c>
      <c r="M7" t="s">
        <v>36</v>
      </c>
    </row>
    <row r="8" spans="1:13" x14ac:dyDescent="0.25">
      <c r="B8" s="5">
        <v>0.4</v>
      </c>
      <c r="C8" s="5">
        <v>0.2</v>
      </c>
      <c r="D8" s="5">
        <v>1.57</v>
      </c>
      <c r="E8" s="5">
        <f t="shared" si="0"/>
        <v>1.5707963267948966</v>
      </c>
      <c r="F8" s="5">
        <v>0.5</v>
      </c>
      <c r="G8" s="5">
        <v>0.04</v>
      </c>
      <c r="H8" s="5">
        <f t="shared" si="1"/>
        <v>4.7123889803846897</v>
      </c>
      <c r="I8" s="5">
        <f t="shared" si="2"/>
        <v>1.5707963267948966</v>
      </c>
      <c r="J8" s="5">
        <v>0</v>
      </c>
      <c r="K8" s="5">
        <v>0</v>
      </c>
      <c r="L8" s="5">
        <v>0</v>
      </c>
      <c r="M8" t="s">
        <v>36</v>
      </c>
    </row>
    <row r="9" spans="1:13" x14ac:dyDescent="0.25">
      <c r="B9" s="5">
        <v>0.4</v>
      </c>
      <c r="C9" s="5">
        <v>0.1</v>
      </c>
      <c r="D9" s="5">
        <v>4.7119999999999997</v>
      </c>
      <c r="E9" s="5">
        <f t="shared" si="0"/>
        <v>1.5707963267948966</v>
      </c>
      <c r="F9" s="5">
        <v>0.7</v>
      </c>
      <c r="G9" s="5">
        <v>0.06</v>
      </c>
      <c r="H9" s="5">
        <f>PI()/2</f>
        <v>1.5707963267948966</v>
      </c>
      <c r="I9" s="5">
        <f t="shared" si="2"/>
        <v>1.5707963267948966</v>
      </c>
      <c r="J9" s="5">
        <v>0</v>
      </c>
      <c r="K9" s="5">
        <v>0</v>
      </c>
      <c r="L9" s="5">
        <v>0</v>
      </c>
      <c r="M9" t="s">
        <v>36</v>
      </c>
    </row>
    <row r="10" spans="1:13" x14ac:dyDescent="0.25">
      <c r="B10" s="5">
        <v>0.8</v>
      </c>
      <c r="C10" s="5">
        <v>0.12</v>
      </c>
      <c r="D10" s="5">
        <v>4.7119999999999997</v>
      </c>
      <c r="E10" s="5">
        <f t="shared" si="0"/>
        <v>1.5707963267948966</v>
      </c>
      <c r="F10" s="5">
        <v>0.4</v>
      </c>
      <c r="G10" s="5">
        <v>0.02</v>
      </c>
      <c r="H10" s="5">
        <f t="shared" ref="H10:H15" si="3">PI()/2</f>
        <v>1.5707963267948966</v>
      </c>
      <c r="I10" s="5">
        <f t="shared" si="2"/>
        <v>1.5707963267948966</v>
      </c>
      <c r="J10" s="5">
        <v>0</v>
      </c>
      <c r="K10" s="5">
        <v>0</v>
      </c>
      <c r="L10" s="5">
        <v>0</v>
      </c>
      <c r="M10" t="s">
        <v>36</v>
      </c>
    </row>
    <row r="11" spans="1:13" x14ac:dyDescent="0.25">
      <c r="B11" s="5">
        <v>0.3</v>
      </c>
      <c r="C11" s="5">
        <v>0.12</v>
      </c>
      <c r="D11" s="5">
        <v>4.7119999999999997</v>
      </c>
      <c r="E11" s="5">
        <f t="shared" si="0"/>
        <v>1.5707963267948966</v>
      </c>
      <c r="F11" s="5">
        <v>0.7</v>
      </c>
      <c r="G11" s="5">
        <v>0.04</v>
      </c>
      <c r="H11" s="5">
        <f t="shared" si="3"/>
        <v>1.5707963267948966</v>
      </c>
      <c r="I11" s="5">
        <f t="shared" si="2"/>
        <v>1.5707963267948966</v>
      </c>
      <c r="J11" s="5">
        <v>0</v>
      </c>
      <c r="K11" s="5">
        <v>0</v>
      </c>
      <c r="L11" s="5">
        <v>1.4</v>
      </c>
      <c r="M11" t="s">
        <v>36</v>
      </c>
    </row>
    <row r="12" spans="1:13" x14ac:dyDescent="0.25">
      <c r="B12" s="5">
        <v>0.5</v>
      </c>
      <c r="C12" s="5">
        <v>0.16</v>
      </c>
      <c r="D12" s="5">
        <v>4.7119999999999997</v>
      </c>
      <c r="E12" s="5">
        <f t="shared" si="0"/>
        <v>1.5707963267948966</v>
      </c>
      <c r="F12" s="5">
        <v>0.4</v>
      </c>
      <c r="G12" s="5">
        <v>0.06</v>
      </c>
      <c r="H12" s="5">
        <f t="shared" si="3"/>
        <v>1.5707963267948966</v>
      </c>
      <c r="I12" s="5">
        <f t="shared" si="2"/>
        <v>1.5707963267948966</v>
      </c>
      <c r="J12" s="5">
        <v>0</v>
      </c>
      <c r="K12" s="5">
        <v>0</v>
      </c>
      <c r="L12" s="5">
        <v>1.4</v>
      </c>
      <c r="M12" t="s">
        <v>36</v>
      </c>
    </row>
    <row r="13" spans="1:13" x14ac:dyDescent="0.25">
      <c r="B13" s="5">
        <v>0.4</v>
      </c>
      <c r="C13" s="5">
        <v>0.18</v>
      </c>
      <c r="D13" s="5">
        <v>4.7119999999999997</v>
      </c>
      <c r="E13" s="5">
        <f t="shared" si="0"/>
        <v>1.5707963267948966</v>
      </c>
      <c r="F13" s="5">
        <v>0.3</v>
      </c>
      <c r="G13" s="5">
        <v>0.02</v>
      </c>
      <c r="H13" s="5">
        <f t="shared" si="3"/>
        <v>1.5707963267948966</v>
      </c>
      <c r="I13" s="5">
        <f t="shared" si="2"/>
        <v>1.5707963267948966</v>
      </c>
      <c r="J13" s="5">
        <v>0</v>
      </c>
      <c r="K13" s="5">
        <v>0</v>
      </c>
      <c r="L13" s="5">
        <v>1.4</v>
      </c>
      <c r="M13" t="s">
        <v>36</v>
      </c>
    </row>
    <row r="14" spans="1:13" x14ac:dyDescent="0.25">
      <c r="B14" s="5">
        <v>0.7</v>
      </c>
      <c r="C14" s="5">
        <v>0.18</v>
      </c>
      <c r="D14" s="5">
        <v>4.7119999999999997</v>
      </c>
      <c r="E14" s="5">
        <f t="shared" si="0"/>
        <v>1.5707963267948966</v>
      </c>
      <c r="F14" s="5">
        <v>0.6</v>
      </c>
      <c r="G14" s="5">
        <v>0.04</v>
      </c>
      <c r="H14" s="5">
        <f t="shared" si="3"/>
        <v>1.5707963267948966</v>
      </c>
      <c r="I14" s="5">
        <f t="shared" si="2"/>
        <v>1.5707963267948966</v>
      </c>
      <c r="J14" s="5">
        <v>0</v>
      </c>
      <c r="K14" s="5">
        <v>0</v>
      </c>
      <c r="L14" s="5">
        <v>0</v>
      </c>
      <c r="M14" t="s">
        <v>36</v>
      </c>
    </row>
    <row r="15" spans="1:13" x14ac:dyDescent="0.25">
      <c r="B15" s="5">
        <v>0.7</v>
      </c>
      <c r="C15" s="5">
        <v>0.2</v>
      </c>
      <c r="D15" s="5">
        <v>4.7119999999999997</v>
      </c>
      <c r="E15" s="5">
        <f t="shared" si="0"/>
        <v>1.5707963267948966</v>
      </c>
      <c r="F15" s="5">
        <v>0.8</v>
      </c>
      <c r="G15" s="5">
        <v>0.08</v>
      </c>
      <c r="H15" s="5">
        <f t="shared" si="3"/>
        <v>1.5707963267948966</v>
      </c>
      <c r="I15" s="5">
        <f t="shared" si="2"/>
        <v>1.5707963267948966</v>
      </c>
      <c r="J15" s="5">
        <v>0</v>
      </c>
      <c r="K15" s="5">
        <v>0</v>
      </c>
      <c r="L15" s="5">
        <v>1.4</v>
      </c>
      <c r="M15" t="s">
        <v>38</v>
      </c>
    </row>
    <row r="18" spans="1:24" x14ac:dyDescent="0.25">
      <c r="A18" t="s">
        <v>37</v>
      </c>
      <c r="B18">
        <v>1.2354018898166417E-6</v>
      </c>
      <c r="C18">
        <v>-8.0901492457526494E-2</v>
      </c>
      <c r="D18">
        <v>8.556152108200715E-5</v>
      </c>
      <c r="E18">
        <v>-3.5094358439391918E-2</v>
      </c>
      <c r="F18">
        <v>3.9991822267928156E-4</v>
      </c>
      <c r="G18">
        <v>0.29830922052112485</v>
      </c>
      <c r="H18">
        <v>0</v>
      </c>
      <c r="I18">
        <v>0</v>
      </c>
      <c r="J18">
        <v>1.4</v>
      </c>
      <c r="K18" t="s">
        <v>36</v>
      </c>
      <c r="P18" s="5">
        <v>1.15160960704088E-2</v>
      </c>
      <c r="Q18" s="5">
        <v>-4.9660507589578601E-2</v>
      </c>
      <c r="R18" s="5">
        <v>-0.12653815746307401</v>
      </c>
      <c r="S18" s="5">
        <v>-0.35200154781341603</v>
      </c>
      <c r="T18" s="5">
        <v>-0.66937559843063399</v>
      </c>
      <c r="U18" s="5">
        <v>7.3106274008750902E-2</v>
      </c>
      <c r="V18">
        <v>0.4</v>
      </c>
      <c r="W18">
        <v>0</v>
      </c>
      <c r="X18">
        <v>0</v>
      </c>
    </row>
    <row r="19" spans="1:24" x14ac:dyDescent="0.25">
      <c r="B19">
        <v>-2.7164795354451751E-14</v>
      </c>
      <c r="C19">
        <v>-0.10063140965521317</v>
      </c>
      <c r="D19">
        <v>9.8377410914456917E-5</v>
      </c>
      <c r="E19">
        <v>-0.10133876321383102</v>
      </c>
      <c r="F19">
        <v>4.3086256471342057E-4</v>
      </c>
      <c r="G19">
        <v>0.38844543863289188</v>
      </c>
      <c r="H19">
        <v>0</v>
      </c>
      <c r="I19">
        <v>0</v>
      </c>
      <c r="J19">
        <v>0</v>
      </c>
      <c r="K19" t="s">
        <v>36</v>
      </c>
    </row>
    <row r="20" spans="1:24" x14ac:dyDescent="0.25">
      <c r="B20">
        <v>1.0847210817916337E-6</v>
      </c>
      <c r="C20">
        <v>-3.0631077898397763E-3</v>
      </c>
      <c r="D20">
        <v>4.4039699018327152E-5</v>
      </c>
      <c r="E20">
        <v>5.5907519738631044E-3</v>
      </c>
      <c r="F20">
        <v>1.6521797758536644E-4</v>
      </c>
      <c r="G20">
        <v>-9.9934203929257989E-2</v>
      </c>
      <c r="H20">
        <v>0</v>
      </c>
      <c r="I20">
        <v>0</v>
      </c>
      <c r="J20">
        <v>1.4</v>
      </c>
      <c r="K20" t="s">
        <v>36</v>
      </c>
    </row>
    <row r="21" spans="1:24" x14ac:dyDescent="0.25">
      <c r="B21">
        <v>-1.238702018106301E-14</v>
      </c>
      <c r="C21">
        <v>1.2355602770889833E-2</v>
      </c>
      <c r="D21">
        <v>3.2415891888039098E-5</v>
      </c>
      <c r="E21">
        <v>-2.6613777117637745E-2</v>
      </c>
      <c r="F21">
        <v>3.6387720695851194E-6</v>
      </c>
      <c r="G21">
        <v>-0.40428595999830469</v>
      </c>
      <c r="H21">
        <v>0</v>
      </c>
      <c r="I21">
        <v>0</v>
      </c>
      <c r="J21">
        <v>0</v>
      </c>
      <c r="K21" t="s">
        <v>36</v>
      </c>
    </row>
    <row r="22" spans="1:24" x14ac:dyDescent="0.25">
      <c r="B22">
        <v>-1.7242899307191666E-14</v>
      </c>
      <c r="C22">
        <v>-6.7858636617039031E-2</v>
      </c>
      <c r="D22">
        <v>8.5193682032362657E-5</v>
      </c>
      <c r="E22">
        <v>-0.18693873836245606</v>
      </c>
      <c r="F22">
        <v>1.716303924022297E-4</v>
      </c>
      <c r="G22">
        <v>-0.14209995462583494</v>
      </c>
      <c r="H22">
        <v>0</v>
      </c>
      <c r="I22">
        <v>0</v>
      </c>
      <c r="J22">
        <v>0</v>
      </c>
      <c r="K22" t="s">
        <v>36</v>
      </c>
    </row>
    <row r="23" spans="1:24" x14ac:dyDescent="0.25">
      <c r="B23">
        <v>6.1334368644179289E-6</v>
      </c>
      <c r="C23">
        <v>-9.8740491891494933E-2</v>
      </c>
      <c r="D23">
        <v>1.2077822098524967E-4</v>
      </c>
      <c r="E23">
        <v>-0.25119988809458305</v>
      </c>
      <c r="F23">
        <v>2.7830697252287828E-4</v>
      </c>
      <c r="G23">
        <v>1.1765869279022229E-2</v>
      </c>
      <c r="H23">
        <v>0</v>
      </c>
      <c r="I23">
        <v>0</v>
      </c>
      <c r="J23">
        <v>1.4</v>
      </c>
      <c r="K23" t="s">
        <v>36</v>
      </c>
    </row>
    <row r="24" spans="1:24" x14ac:dyDescent="0.25">
      <c r="B24">
        <v>-2.1949623025118236E-14</v>
      </c>
      <c r="C24">
        <v>-1.229282618355451E-2</v>
      </c>
      <c r="D24">
        <v>3.7399966752476099E-5</v>
      </c>
      <c r="E24">
        <v>-2.894164536441458E-2</v>
      </c>
      <c r="F24">
        <v>7.8230456606138223E-5</v>
      </c>
      <c r="G24">
        <v>-0.10555199416728067</v>
      </c>
      <c r="H24">
        <v>0</v>
      </c>
      <c r="I24">
        <v>0</v>
      </c>
      <c r="J24">
        <v>0</v>
      </c>
      <c r="K24" t="s">
        <v>36</v>
      </c>
    </row>
    <row r="25" spans="1:24" x14ac:dyDescent="0.25">
      <c r="B25">
        <v>-3.0608683479936208E-14</v>
      </c>
      <c r="C25">
        <v>-4.4614772215171961E-2</v>
      </c>
      <c r="D25">
        <v>6.1880699041350884E-5</v>
      </c>
      <c r="E25">
        <v>-0.12800901972444156</v>
      </c>
      <c r="F25">
        <v>9.4362999241931524E-5</v>
      </c>
      <c r="G25">
        <v>-0.13633748418694053</v>
      </c>
      <c r="H25">
        <v>0</v>
      </c>
      <c r="I25">
        <v>0</v>
      </c>
      <c r="J25">
        <v>0</v>
      </c>
      <c r="K25" t="s">
        <v>36</v>
      </c>
    </row>
    <row r="26" spans="1:24" x14ac:dyDescent="0.25">
      <c r="B26">
        <v>-1.4075276669817153E-15</v>
      </c>
      <c r="C26">
        <v>-2.893192936032303E-2</v>
      </c>
      <c r="D26">
        <v>-5.0915077104498929E-5</v>
      </c>
      <c r="E26">
        <v>-1.4051345877451587E-3</v>
      </c>
      <c r="F26">
        <v>-2.9804580102486361E-4</v>
      </c>
      <c r="G26">
        <v>0.30013001564412939</v>
      </c>
      <c r="H26">
        <v>0</v>
      </c>
      <c r="I26">
        <v>0</v>
      </c>
      <c r="J26">
        <v>0</v>
      </c>
      <c r="K26" t="s">
        <v>36</v>
      </c>
    </row>
    <row r="27" spans="1:24" x14ac:dyDescent="0.25">
      <c r="B27">
        <v>-1.2963779744525572E-14</v>
      </c>
      <c r="C27">
        <v>0.12137596120845355</v>
      </c>
      <c r="D27">
        <v>-7.3117525210829144E-5</v>
      </c>
      <c r="E27">
        <v>-0.17556761577839466</v>
      </c>
      <c r="F27">
        <v>-3.8304533493668217E-4</v>
      </c>
      <c r="G27">
        <v>-0.37598747956388767</v>
      </c>
      <c r="H27">
        <v>0</v>
      </c>
      <c r="I27">
        <v>0</v>
      </c>
      <c r="J27">
        <v>0</v>
      </c>
      <c r="K27" t="s">
        <v>36</v>
      </c>
    </row>
    <row r="28" spans="1:24" x14ac:dyDescent="0.25">
      <c r="B28">
        <v>-4.5574354391758017E-7</v>
      </c>
      <c r="C28">
        <v>-2.8193270422023936E-2</v>
      </c>
      <c r="D28">
        <v>-4.2880169919239313E-5</v>
      </c>
      <c r="E28">
        <v>-1.5838311430807678E-2</v>
      </c>
      <c r="F28">
        <v>-2.584259471194167E-4</v>
      </c>
      <c r="G28">
        <v>0.40264856795444914</v>
      </c>
      <c r="H28">
        <v>0</v>
      </c>
      <c r="I28">
        <v>0</v>
      </c>
      <c r="J28">
        <v>1.4</v>
      </c>
      <c r="K28" t="s">
        <v>36</v>
      </c>
    </row>
    <row r="29" spans="1:24" x14ac:dyDescent="0.25">
      <c r="B29">
        <v>-1.4551864836986917E-6</v>
      </c>
      <c r="C29">
        <v>5.9586564381771005E-2</v>
      </c>
      <c r="D29">
        <v>-5.8731596713526495E-5</v>
      </c>
      <c r="E29">
        <v>-0.14074332371084219</v>
      </c>
      <c r="F29">
        <v>-2.6243051759331691E-4</v>
      </c>
      <c r="G29">
        <v>-6.2484229104217567E-2</v>
      </c>
      <c r="H29">
        <v>0</v>
      </c>
      <c r="I29">
        <v>0</v>
      </c>
      <c r="J29">
        <v>1.4</v>
      </c>
      <c r="K29" t="s">
        <v>36</v>
      </c>
    </row>
    <row r="30" spans="1:24" x14ac:dyDescent="0.25">
      <c r="B30">
        <v>-1.5336159361711936E-6</v>
      </c>
      <c r="C30">
        <v>6.7986819515907543E-2</v>
      </c>
      <c r="D30">
        <v>-4.6234120708069006E-5</v>
      </c>
      <c r="E30">
        <v>-0.1780426108236999</v>
      </c>
      <c r="F30">
        <v>-2.0161661110179954E-4</v>
      </c>
      <c r="G30">
        <v>-5.108152270116479E-2</v>
      </c>
      <c r="H30">
        <v>0</v>
      </c>
      <c r="I30">
        <v>0</v>
      </c>
      <c r="J30">
        <v>1.4</v>
      </c>
      <c r="K30" t="s">
        <v>36</v>
      </c>
    </row>
    <row r="31" spans="1:24" x14ac:dyDescent="0.25">
      <c r="B31">
        <v>-1.8829406105603694E-13</v>
      </c>
      <c r="C31">
        <v>9.4537861848765808E-2</v>
      </c>
      <c r="D31">
        <v>-8.2598474359299586E-5</v>
      </c>
      <c r="E31">
        <v>-0.31213886899669097</v>
      </c>
      <c r="F31">
        <v>-3.4634210089042766E-4</v>
      </c>
      <c r="G31">
        <v>1.5928935182370482E-2</v>
      </c>
      <c r="H31">
        <v>0</v>
      </c>
      <c r="I31">
        <v>0</v>
      </c>
      <c r="J31">
        <v>0</v>
      </c>
      <c r="K31" t="s">
        <v>36</v>
      </c>
    </row>
    <row r="32" spans="1:24" x14ac:dyDescent="0.25">
      <c r="B32">
        <v>-3.5374644164448377E-6</v>
      </c>
      <c r="C32">
        <v>2.9450058802002875E-2</v>
      </c>
      <c r="D32">
        <v>-9.0908089763551387E-5</v>
      </c>
      <c r="E32">
        <v>-0.30601686264751266</v>
      </c>
      <c r="F32">
        <v>-3.4868217462847678E-4</v>
      </c>
      <c r="G32">
        <v>0.306843137095133</v>
      </c>
      <c r="H32">
        <v>0</v>
      </c>
      <c r="I32">
        <v>0</v>
      </c>
      <c r="J32">
        <v>1.4</v>
      </c>
      <c r="K32" t="s">
        <v>38</v>
      </c>
    </row>
    <row r="36" spans="4:18" x14ac:dyDescent="0.25">
      <c r="D36" t="s">
        <v>37</v>
      </c>
      <c r="E36">
        <v>-7.01924553140998E-4</v>
      </c>
      <c r="F36">
        <v>-1.88952703028917E-2</v>
      </c>
      <c r="G36">
        <v>6.5155932679772399E-4</v>
      </c>
      <c r="H36">
        <v>-3.4051635302603201E-3</v>
      </c>
      <c r="I36">
        <v>7.4966698884963998E-3</v>
      </c>
      <c r="J36">
        <v>-3.05809658020735E-2</v>
      </c>
      <c r="K36">
        <v>0.8</v>
      </c>
      <c r="L36">
        <v>0</v>
      </c>
      <c r="M36">
        <v>0</v>
      </c>
      <c r="N36" t="s">
        <v>36</v>
      </c>
    </row>
    <row r="37" spans="4:18" x14ac:dyDescent="0.25">
      <c r="E37">
        <v>-1.1449491139501301E-3</v>
      </c>
      <c r="F37">
        <v>-8.78715589642525E-2</v>
      </c>
      <c r="G37">
        <v>1.2581461342051599E-3</v>
      </c>
      <c r="H37">
        <v>-0.259054124355316</v>
      </c>
      <c r="I37">
        <v>1.61738991737366E-2</v>
      </c>
      <c r="J37">
        <v>-0.101423710584641</v>
      </c>
      <c r="K37">
        <v>0</v>
      </c>
      <c r="L37">
        <v>0</v>
      </c>
      <c r="M37">
        <v>0</v>
      </c>
      <c r="N37" t="s">
        <v>36</v>
      </c>
    </row>
    <row r="38" spans="4:18" x14ac:dyDescent="0.25">
      <c r="E38">
        <v>-3.7175370380282402E-3</v>
      </c>
      <c r="F38">
        <v>0.17499575018882799</v>
      </c>
      <c r="G38">
        <v>-0.20276136696338701</v>
      </c>
      <c r="H38">
        <v>-0.35743337869644198</v>
      </c>
      <c r="I38">
        <v>-1.01576912403107</v>
      </c>
      <c r="J38">
        <v>-0.85049569606780995</v>
      </c>
      <c r="K38">
        <v>1.2</v>
      </c>
      <c r="L38">
        <v>0</v>
      </c>
      <c r="M38">
        <v>0</v>
      </c>
      <c r="N38" t="s">
        <v>36</v>
      </c>
    </row>
    <row r="39" spans="4:18" x14ac:dyDescent="0.25">
      <c r="E39">
        <v>-1.16670653223991E-2</v>
      </c>
      <c r="F39">
        <v>0.23207890987396201</v>
      </c>
      <c r="G39">
        <v>-1.73678714782E-2</v>
      </c>
      <c r="H39">
        <v>-0.68982279300689697</v>
      </c>
      <c r="I39">
        <v>-0.124690353870392</v>
      </c>
      <c r="J39">
        <v>-0.78086811304092396</v>
      </c>
      <c r="K39">
        <v>0.8</v>
      </c>
      <c r="L39">
        <v>0</v>
      </c>
      <c r="M39">
        <v>0</v>
      </c>
      <c r="N39" t="s">
        <v>38</v>
      </c>
    </row>
    <row r="48" spans="4:18" x14ac:dyDescent="0.25">
      <c r="F48" t="s">
        <v>39</v>
      </c>
      <c r="G48" t="s">
        <v>37</v>
      </c>
      <c r="H48">
        <v>3.2339975237846402E-2</v>
      </c>
      <c r="I48">
        <v>-5.5166170001030003E-2</v>
      </c>
      <c r="J48">
        <v>-0.189541935920715</v>
      </c>
      <c r="K48">
        <v>-0.67983841896057096</v>
      </c>
      <c r="L48">
        <v>-0.92226362228393599</v>
      </c>
      <c r="M48">
        <v>-0.112011969089508</v>
      </c>
      <c r="N48">
        <v>0.8</v>
      </c>
      <c r="O48">
        <v>0</v>
      </c>
      <c r="P48">
        <v>0</v>
      </c>
      <c r="Q48" t="s">
        <v>38</v>
      </c>
      <c r="R48" t="s">
        <v>36</v>
      </c>
    </row>
    <row r="49" spans="7:18" x14ac:dyDescent="0.25">
      <c r="G49" t="s">
        <v>37</v>
      </c>
      <c r="H49">
        <v>1.15160960704088E-2</v>
      </c>
      <c r="I49">
        <v>-4.9660507589578601E-2</v>
      </c>
      <c r="J49">
        <v>-0.12653815746307401</v>
      </c>
      <c r="K49">
        <v>-0.35200154781341603</v>
      </c>
      <c r="L49">
        <v>-0.66937559843063399</v>
      </c>
      <c r="M49">
        <v>7.3106274008750902E-2</v>
      </c>
      <c r="N49">
        <v>0.4</v>
      </c>
      <c r="O49">
        <v>0</v>
      </c>
      <c r="P49">
        <v>0</v>
      </c>
      <c r="Q49" t="s">
        <v>38</v>
      </c>
      <c r="R49" t="s">
        <v>36</v>
      </c>
    </row>
    <row r="50" spans="7:18" x14ac:dyDescent="0.25">
      <c r="G50" t="s">
        <v>37</v>
      </c>
      <c r="H50">
        <v>1.2158022262155999E-2</v>
      </c>
      <c r="I50">
        <v>-5.5947426706552499E-2</v>
      </c>
      <c r="J50">
        <v>-0.13955169916153001</v>
      </c>
      <c r="K50">
        <v>-0.49113488197326699</v>
      </c>
      <c r="L50">
        <v>-0.66529178619384799</v>
      </c>
      <c r="M50">
        <v>4.9178555607795701E-2</v>
      </c>
      <c r="N50">
        <v>0.4</v>
      </c>
      <c r="O50">
        <v>0</v>
      </c>
      <c r="P50">
        <v>0</v>
      </c>
      <c r="Q50" t="s">
        <v>38</v>
      </c>
      <c r="R50" t="s">
        <v>36</v>
      </c>
    </row>
    <row r="51" spans="7:18" x14ac:dyDescent="0.25">
      <c r="G51" t="s">
        <v>37</v>
      </c>
      <c r="H51">
        <v>4.8007960431277804E-3</v>
      </c>
      <c r="I51">
        <v>4.3829150497913402E-2</v>
      </c>
      <c r="J51">
        <v>-0.10502015799283999</v>
      </c>
      <c r="K51">
        <v>-4.0011849254369701E-2</v>
      </c>
      <c r="L51">
        <v>-0.49215787649154702</v>
      </c>
      <c r="M51">
        <v>-0.30727568268775901</v>
      </c>
      <c r="N51">
        <v>1.2</v>
      </c>
      <c r="O51">
        <v>0</v>
      </c>
      <c r="P51">
        <v>0</v>
      </c>
      <c r="Q51" t="s">
        <v>38</v>
      </c>
      <c r="R51" t="s">
        <v>36</v>
      </c>
    </row>
    <row r="52" spans="7:18" x14ac:dyDescent="0.25">
      <c r="G52" t="s">
        <v>37</v>
      </c>
      <c r="H52">
        <v>3.3965623006224602E-3</v>
      </c>
      <c r="I52">
        <v>6.3226528465747805E-2</v>
      </c>
      <c r="J52">
        <v>-0.19356806576252</v>
      </c>
      <c r="K52">
        <v>-0.305575311183929</v>
      </c>
      <c r="L52">
        <v>-0.88097357749938998</v>
      </c>
      <c r="M52">
        <v>-0.48669517040252702</v>
      </c>
      <c r="N52">
        <v>0.4</v>
      </c>
      <c r="O52">
        <v>0</v>
      </c>
      <c r="P52">
        <v>0</v>
      </c>
      <c r="Q52" t="s">
        <v>38</v>
      </c>
      <c r="R52" t="s">
        <v>36</v>
      </c>
    </row>
    <row r="53" spans="7:18" x14ac:dyDescent="0.25">
      <c r="G53" t="s">
        <v>37</v>
      </c>
      <c r="H53">
        <v>-5.9819798916578302E-3</v>
      </c>
      <c r="I53">
        <v>6.2610559165477794E-2</v>
      </c>
      <c r="J53">
        <v>-0.128498494625092</v>
      </c>
      <c r="K53">
        <v>-9.5138475298881503E-2</v>
      </c>
      <c r="L53">
        <v>-0.785713970661163</v>
      </c>
      <c r="M53">
        <v>-0.23483300209045399</v>
      </c>
      <c r="N53">
        <v>0.8</v>
      </c>
      <c r="O53">
        <v>0</v>
      </c>
      <c r="P53">
        <v>0</v>
      </c>
      <c r="Q53" t="s">
        <v>38</v>
      </c>
      <c r="R53" t="s">
        <v>36</v>
      </c>
    </row>
    <row r="54" spans="7:18" x14ac:dyDescent="0.25">
      <c r="G54" t="s">
        <v>37</v>
      </c>
      <c r="H54">
        <v>-0.66562104225158703</v>
      </c>
      <c r="I54">
        <v>1.03766369819641</v>
      </c>
      <c r="J54">
        <v>-0.42349040508270303</v>
      </c>
      <c r="K54">
        <v>-0.203769326210022</v>
      </c>
      <c r="L54">
        <v>-0.14496208727359799</v>
      </c>
      <c r="M54">
        <v>-2.1244270727038401E-2</v>
      </c>
      <c r="N54">
        <v>1.2</v>
      </c>
      <c r="O54">
        <v>0</v>
      </c>
      <c r="P54">
        <v>0</v>
      </c>
      <c r="Q54" t="s">
        <v>38</v>
      </c>
      <c r="R54" t="s">
        <v>36</v>
      </c>
    </row>
    <row r="55" spans="7:18" x14ac:dyDescent="0.25">
      <c r="G55" t="s">
        <v>37</v>
      </c>
      <c r="H55">
        <v>-0.94778239727020297</v>
      </c>
      <c r="I55">
        <v>0.24910345673561099</v>
      </c>
      <c r="J55">
        <v>-0.13659769296646099</v>
      </c>
      <c r="K55">
        <v>-4.59414087235928E-2</v>
      </c>
      <c r="L55">
        <v>-0.13913904130458801</v>
      </c>
      <c r="M55">
        <v>-2.8178235515952102E-3</v>
      </c>
      <c r="N55">
        <v>0</v>
      </c>
      <c r="O55">
        <v>0</v>
      </c>
      <c r="P55">
        <v>0</v>
      </c>
      <c r="Q55" t="s">
        <v>38</v>
      </c>
      <c r="R55" t="s">
        <v>40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18"/>
  <sheetViews>
    <sheetView workbookViewId="0">
      <selection activeCell="H10" sqref="H10:M10"/>
    </sheetView>
  </sheetViews>
  <sheetFormatPr defaultRowHeight="15" x14ac:dyDescent="0.25"/>
  <sheetData>
    <row r="1" spans="1:13" ht="15.75" x14ac:dyDescent="0.25">
      <c r="A1" s="31" t="s">
        <v>21</v>
      </c>
      <c r="B1" s="32"/>
      <c r="C1" s="32"/>
      <c r="D1" s="32"/>
      <c r="E1" s="32"/>
      <c r="F1" s="33"/>
      <c r="H1" s="31" t="s">
        <v>22</v>
      </c>
      <c r="I1" s="32"/>
      <c r="J1" s="32"/>
      <c r="K1" s="32"/>
      <c r="L1" s="32"/>
      <c r="M1" s="33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7.3106274008750902E-2</v>
      </c>
      <c r="B3">
        <v>0.66937559843063399</v>
      </c>
      <c r="C3">
        <v>-0.35200154781341603</v>
      </c>
      <c r="D3">
        <v>-0.12653815746307401</v>
      </c>
      <c r="E3">
        <v>4.9660507589578601E-2</v>
      </c>
      <c r="F3" s="4">
        <v>1.15160960704088E-2</v>
      </c>
      <c r="H3">
        <f>$F3</f>
        <v>1.15160960704088E-2</v>
      </c>
      <c r="I3">
        <f>-1*$E3</f>
        <v>-4.9660507589578601E-2</v>
      </c>
      <c r="J3">
        <f>$D3</f>
        <v>-0.12653815746307401</v>
      </c>
      <c r="K3">
        <f>$C3</f>
        <v>-0.35200154781341603</v>
      </c>
      <c r="L3">
        <f>-1*$B3</f>
        <v>-0.66937559843063399</v>
      </c>
      <c r="M3">
        <f>$A3</f>
        <v>7.3106274008750902E-2</v>
      </c>
    </row>
    <row r="4" spans="1:13" x14ac:dyDescent="0.25">
      <c r="A4">
        <v>-0.31853121519088701</v>
      </c>
      <c r="B4">
        <v>0.59025228023529097</v>
      </c>
      <c r="C4">
        <v>-8.6961805820465102E-2</v>
      </c>
      <c r="D4">
        <v>-9.3866154551506001E-2</v>
      </c>
      <c r="E4">
        <v>-3.00181210041046E-2</v>
      </c>
      <c r="F4">
        <v>6.7626000382006203E-3</v>
      </c>
      <c r="H4">
        <f t="shared" ref="H4:H18" si="0">$F4</f>
        <v>6.7626000382006203E-3</v>
      </c>
      <c r="I4">
        <f t="shared" ref="I4:I18" si="1">-1*$E4</f>
        <v>3.00181210041046E-2</v>
      </c>
      <c r="J4">
        <f t="shared" ref="J4:J18" si="2">$D4</f>
        <v>-9.3866154551506001E-2</v>
      </c>
      <c r="K4">
        <f t="shared" ref="K4:K18" si="3">$C4</f>
        <v>-8.6961805820465102E-2</v>
      </c>
      <c r="L4">
        <f t="shared" ref="L4:L18" si="4">-1*$B4</f>
        <v>-0.59025228023529097</v>
      </c>
      <c r="M4">
        <f t="shared" ref="M4:M18" si="5">$A4</f>
        <v>-0.31853121519088701</v>
      </c>
    </row>
    <row r="5" spans="1:13" x14ac:dyDescent="0.25">
      <c r="A5">
        <v>-0.30727568268775901</v>
      </c>
      <c r="B5">
        <v>0.49215787649154702</v>
      </c>
      <c r="C5">
        <v>-4.0011849254369701E-2</v>
      </c>
      <c r="D5">
        <v>-0.10502015799283999</v>
      </c>
      <c r="E5">
        <v>-4.3829150497913402E-2</v>
      </c>
      <c r="F5">
        <v>4.8007960431277804E-3</v>
      </c>
      <c r="H5">
        <f t="shared" si="0"/>
        <v>4.8007960431277804E-3</v>
      </c>
      <c r="I5">
        <f t="shared" si="1"/>
        <v>4.3829150497913402E-2</v>
      </c>
      <c r="J5">
        <f t="shared" si="2"/>
        <v>-0.10502015799283999</v>
      </c>
      <c r="K5">
        <f t="shared" si="3"/>
        <v>-4.0011849254369701E-2</v>
      </c>
      <c r="L5">
        <f t="shared" si="4"/>
        <v>-0.49215787649154702</v>
      </c>
      <c r="M5">
        <f t="shared" si="5"/>
        <v>-0.30727568268775901</v>
      </c>
    </row>
    <row r="6" spans="1:13" x14ac:dyDescent="0.25">
      <c r="A6">
        <v>-0.188200593</v>
      </c>
      <c r="B6">
        <v>0.76759618500000004</v>
      </c>
      <c r="C6">
        <v>-9.7403154000000006E-2</v>
      </c>
      <c r="D6">
        <v>-0.122360989</v>
      </c>
      <c r="E6">
        <v>-5.4155546999999998E-2</v>
      </c>
      <c r="F6">
        <v>-5.4818829999999999E-3</v>
      </c>
      <c r="H6">
        <f t="shared" si="0"/>
        <v>-5.4818829999999999E-3</v>
      </c>
      <c r="I6">
        <f t="shared" si="1"/>
        <v>5.4155546999999998E-2</v>
      </c>
      <c r="J6">
        <f t="shared" si="2"/>
        <v>-0.122360989</v>
      </c>
      <c r="K6">
        <f t="shared" si="3"/>
        <v>-9.7403154000000006E-2</v>
      </c>
      <c r="L6">
        <f t="shared" si="4"/>
        <v>-0.76759618500000004</v>
      </c>
      <c r="M6">
        <f t="shared" si="5"/>
        <v>-0.188200593</v>
      </c>
    </row>
    <row r="7" spans="1:13" x14ac:dyDescent="0.25">
      <c r="A7">
        <v>-0.23483300209045399</v>
      </c>
      <c r="B7">
        <v>0.785713970661163</v>
      </c>
      <c r="C7">
        <v>-9.5138475298881503E-2</v>
      </c>
      <c r="D7">
        <v>-0.128498494625092</v>
      </c>
      <c r="E7">
        <v>-6.2610559165477794E-2</v>
      </c>
      <c r="F7">
        <v>-5.9819798916578302E-3</v>
      </c>
      <c r="H7">
        <f t="shared" si="0"/>
        <v>-5.9819798916578302E-3</v>
      </c>
      <c r="I7">
        <f t="shared" si="1"/>
        <v>6.2610559165477794E-2</v>
      </c>
      <c r="J7">
        <f t="shared" si="2"/>
        <v>-0.128498494625092</v>
      </c>
      <c r="K7">
        <f t="shared" si="3"/>
        <v>-9.5138475298881503E-2</v>
      </c>
      <c r="L7">
        <f t="shared" si="4"/>
        <v>-0.785713970661163</v>
      </c>
      <c r="M7">
        <f t="shared" si="5"/>
        <v>-0.23483300209045399</v>
      </c>
    </row>
    <row r="8" spans="1:13" x14ac:dyDescent="0.25">
      <c r="A8">
        <v>-0.48669517040252702</v>
      </c>
      <c r="B8">
        <v>0.88097357749938998</v>
      </c>
      <c r="C8">
        <v>-0.305575311183929</v>
      </c>
      <c r="D8">
        <v>-0.19356806576252</v>
      </c>
      <c r="E8">
        <v>-6.3226528465747805E-2</v>
      </c>
      <c r="F8">
        <v>3.3965623006224602E-3</v>
      </c>
      <c r="H8">
        <f t="shared" si="0"/>
        <v>3.3965623006224602E-3</v>
      </c>
      <c r="I8">
        <f t="shared" si="1"/>
        <v>6.3226528465747805E-2</v>
      </c>
      <c r="J8">
        <f t="shared" si="2"/>
        <v>-0.19356806576252</v>
      </c>
      <c r="K8">
        <f t="shared" si="3"/>
        <v>-0.305575311183929</v>
      </c>
      <c r="L8">
        <f t="shared" si="4"/>
        <v>-0.88097357749938998</v>
      </c>
      <c r="M8">
        <f t="shared" si="5"/>
        <v>-0.48669517040252702</v>
      </c>
    </row>
    <row r="9" spans="1:13" x14ac:dyDescent="0.25">
      <c r="A9">
        <v>4.9178555607795701E-2</v>
      </c>
      <c r="B9">
        <v>0.66529178619384799</v>
      </c>
      <c r="C9">
        <v>-0.49113488197326699</v>
      </c>
      <c r="D9">
        <v>-0.13955169916153001</v>
      </c>
      <c r="E9">
        <v>5.5947426706552499E-2</v>
      </c>
      <c r="F9">
        <v>1.2158022262155999E-2</v>
      </c>
      <c r="H9">
        <f t="shared" si="0"/>
        <v>1.2158022262155999E-2</v>
      </c>
      <c r="I9">
        <f t="shared" si="1"/>
        <v>-5.5947426706552499E-2</v>
      </c>
      <c r="J9">
        <f t="shared" si="2"/>
        <v>-0.13955169916153001</v>
      </c>
      <c r="K9">
        <f t="shared" si="3"/>
        <v>-0.49113488197326699</v>
      </c>
      <c r="L9">
        <f t="shared" si="4"/>
        <v>-0.66529178619384799</v>
      </c>
      <c r="M9">
        <f t="shared" si="5"/>
        <v>4.9178555607795701E-2</v>
      </c>
    </row>
    <row r="10" spans="1:13" x14ac:dyDescent="0.25">
      <c r="A10">
        <v>-0.112011969089508</v>
      </c>
      <c r="B10">
        <v>0.92226362228393599</v>
      </c>
      <c r="C10">
        <v>-0.67983841896057096</v>
      </c>
      <c r="D10">
        <v>-0.189541935920715</v>
      </c>
      <c r="E10">
        <v>5.5166170001030003E-2</v>
      </c>
      <c r="F10">
        <v>3.2339975237846402E-2</v>
      </c>
      <c r="H10">
        <f t="shared" si="0"/>
        <v>3.2339975237846402E-2</v>
      </c>
      <c r="I10">
        <f t="shared" si="1"/>
        <v>-5.5166170001030003E-2</v>
      </c>
      <c r="J10">
        <f t="shared" si="2"/>
        <v>-0.189541935920715</v>
      </c>
      <c r="K10">
        <f t="shared" si="3"/>
        <v>-0.67983841896057096</v>
      </c>
      <c r="L10">
        <f t="shared" si="4"/>
        <v>-0.92226362228393599</v>
      </c>
      <c r="M10">
        <f t="shared" si="5"/>
        <v>-0.112011969089508</v>
      </c>
    </row>
    <row r="11" spans="1:13" x14ac:dyDescent="0.25"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0</v>
      </c>
      <c r="M11">
        <f t="shared" si="5"/>
        <v>0</v>
      </c>
    </row>
    <row r="12" spans="1:13" x14ac:dyDescent="0.25"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0</v>
      </c>
    </row>
    <row r="13" spans="1:13" x14ac:dyDescent="0.25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</row>
    <row r="14" spans="1:13" x14ac:dyDescent="0.2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</row>
    <row r="15" spans="1:13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</row>
    <row r="16" spans="1:13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8:13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8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Props1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Proximal Validation (double)</vt:lpstr>
      <vt:lpstr>Sheet2</vt:lpstr>
      <vt:lpstr>Distal Validati (double)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2025-12-04T22:47:07Z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