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two forces micro perturbed (15 tirals)(tapered and cylindrical)/"/>
    </mc:Choice>
  </mc:AlternateContent>
  <xr:revisionPtr revIDLastSave="4012" documentId="8_{DFFD6B0C-681F-42C8-B2E4-5D4B90AAE966}" xr6:coauthVersionLast="47" xr6:coauthVersionMax="47" xr10:uidLastSave="{C533A85C-50D4-44FA-8667-DAA200B55087}"/>
  <bookViews>
    <workbookView xWindow="-120" yWindow="-120" windowWidth="29040" windowHeight="15720" xr2:uid="{3D16C37F-3C74-4527-A308-796C339DFE9F}"/>
  </bookViews>
  <sheets>
    <sheet name="Proximal Validation" sheetId="12" r:id="rId1"/>
    <sheet name="Distal Validation (no perturb)" sheetId="19" r:id="rId2"/>
    <sheet name="Distal Vali (0.6N perturb)" sheetId="35" r:id="rId3"/>
    <sheet name="Conversion" sheetId="4" r:id="rId4"/>
    <sheet name="Sheet5" sheetId="3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" i="35" l="1"/>
  <c r="AN7" i="35"/>
  <c r="AL7" i="35"/>
  <c r="AM7" i="19"/>
  <c r="AN7" i="19"/>
  <c r="AL7" i="19"/>
  <c r="AL4" i="35" a="1"/>
  <c r="AL4" i="35" s="1"/>
  <c r="AP4" i="35" a="1"/>
  <c r="AP4" i="35" s="1"/>
  <c r="AL4" i="19" l="1" a="1"/>
  <c r="AL4" i="19" s="1"/>
  <c r="AM4" i="19" a="1"/>
  <c r="AM4" i="19" s="1"/>
  <c r="H51" i="4"/>
  <c r="I51" i="4"/>
  <c r="J51" i="4"/>
  <c r="K51" i="4"/>
  <c r="L51" i="4"/>
  <c r="M51" i="4"/>
  <c r="H52" i="4"/>
  <c r="I52" i="4"/>
  <c r="J52" i="4"/>
  <c r="K52" i="4"/>
  <c r="L52" i="4"/>
  <c r="M52" i="4"/>
  <c r="H53" i="4"/>
  <c r="I53" i="4"/>
  <c r="J53" i="4"/>
  <c r="K53" i="4"/>
  <c r="L53" i="4"/>
  <c r="M53" i="4"/>
  <c r="H54" i="4"/>
  <c r="I54" i="4"/>
  <c r="J54" i="4"/>
  <c r="K54" i="4"/>
  <c r="L54" i="4"/>
  <c r="M54" i="4"/>
  <c r="H47" i="4"/>
  <c r="I47" i="4"/>
  <c r="J47" i="4"/>
  <c r="K47" i="4"/>
  <c r="L47" i="4"/>
  <c r="M47" i="4"/>
  <c r="H48" i="4"/>
  <c r="I48" i="4"/>
  <c r="J48" i="4"/>
  <c r="K48" i="4"/>
  <c r="L48" i="4"/>
  <c r="M48" i="4"/>
  <c r="H49" i="4"/>
  <c r="I49" i="4"/>
  <c r="J49" i="4"/>
  <c r="K49" i="4"/>
  <c r="L49" i="4"/>
  <c r="M49" i="4"/>
  <c r="H50" i="4"/>
  <c r="I50" i="4"/>
  <c r="J50" i="4"/>
  <c r="K50" i="4"/>
  <c r="L50" i="4"/>
  <c r="M50" i="4"/>
  <c r="H43" i="4"/>
  <c r="I43" i="4"/>
  <c r="J43" i="4"/>
  <c r="K43" i="4"/>
  <c r="L43" i="4"/>
  <c r="M43" i="4"/>
  <c r="H44" i="4"/>
  <c r="I44" i="4"/>
  <c r="J44" i="4"/>
  <c r="K44" i="4"/>
  <c r="L44" i="4"/>
  <c r="M44" i="4"/>
  <c r="H45" i="4"/>
  <c r="I45" i="4"/>
  <c r="J45" i="4"/>
  <c r="K45" i="4"/>
  <c r="L45" i="4"/>
  <c r="M45" i="4"/>
  <c r="H46" i="4"/>
  <c r="I46" i="4"/>
  <c r="J46" i="4"/>
  <c r="K46" i="4"/>
  <c r="L46" i="4"/>
  <c r="M46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35" i="4"/>
  <c r="I35" i="4"/>
  <c r="J35" i="4"/>
  <c r="K35" i="4"/>
  <c r="L35" i="4"/>
  <c r="M35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J78" i="35"/>
  <c r="J28" i="35"/>
  <c r="J29" i="35" s="1"/>
  <c r="J76" i="35"/>
  <c r="J77" i="35" s="1"/>
  <c r="M76" i="35"/>
  <c r="N76" i="35"/>
  <c r="O76" i="35"/>
  <c r="Q76" i="35"/>
  <c r="I72" i="35"/>
  <c r="I73" i="35" s="1"/>
  <c r="I68" i="35"/>
  <c r="I70" i="35" s="1"/>
  <c r="M68" i="35"/>
  <c r="O68" i="35"/>
  <c r="O64" i="35"/>
  <c r="J60" i="35"/>
  <c r="J61" i="35" s="1"/>
  <c r="I56" i="35"/>
  <c r="I57" i="35" s="1"/>
  <c r="M56" i="35"/>
  <c r="N56" i="35"/>
  <c r="O56" i="35"/>
  <c r="P56" i="35"/>
  <c r="I52" i="35"/>
  <c r="I54" i="35" s="1"/>
  <c r="Q48" i="35"/>
  <c r="J44" i="35"/>
  <c r="J45" i="35" s="1"/>
  <c r="I40" i="35"/>
  <c r="I41" i="35" s="1"/>
  <c r="L40" i="35"/>
  <c r="O40" i="35"/>
  <c r="P40" i="35"/>
  <c r="P36" i="35"/>
  <c r="N24" i="35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N6" i="35"/>
  <c r="N32" i="35" s="1"/>
  <c r="M6" i="35"/>
  <c r="M32" i="35" s="1"/>
  <c r="L6" i="35"/>
  <c r="L32" i="35" s="1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Q17" i="35"/>
  <c r="P17" i="35"/>
  <c r="P76" i="35" s="1"/>
  <c r="O17" i="35"/>
  <c r="N17" i="35"/>
  <c r="M17" i="35"/>
  <c r="L17" i="35"/>
  <c r="L76" i="35" s="1"/>
  <c r="K17" i="35"/>
  <c r="K76" i="35" s="1"/>
  <c r="J17" i="35"/>
  <c r="I17" i="35"/>
  <c r="I76" i="35" s="1"/>
  <c r="H17" i="35"/>
  <c r="G17" i="35"/>
  <c r="F17" i="35"/>
  <c r="E17" i="35"/>
  <c r="D17" i="35"/>
  <c r="C17" i="35"/>
  <c r="B17" i="35"/>
  <c r="A17" i="35"/>
  <c r="Q16" i="35"/>
  <c r="Q72" i="35" s="1"/>
  <c r="P16" i="35"/>
  <c r="P72" i="35" s="1"/>
  <c r="O16" i="35"/>
  <c r="O72" i="35" s="1"/>
  <c r="N16" i="35"/>
  <c r="N72" i="35" s="1"/>
  <c r="M16" i="35"/>
  <c r="M72" i="35" s="1"/>
  <c r="L16" i="35"/>
  <c r="L72" i="35" s="1"/>
  <c r="K16" i="35"/>
  <c r="K72" i="35" s="1"/>
  <c r="J16" i="35"/>
  <c r="J72" i="35" s="1"/>
  <c r="I16" i="35"/>
  <c r="H16" i="35"/>
  <c r="AH16" i="35" s="1"/>
  <c r="G16" i="35"/>
  <c r="AG16" i="35" s="1"/>
  <c r="F16" i="35"/>
  <c r="AF16" i="35" s="1"/>
  <c r="E16" i="35"/>
  <c r="AE16" i="35" s="1"/>
  <c r="D16" i="35"/>
  <c r="AD16" i="35" s="1"/>
  <c r="C16" i="35"/>
  <c r="AC16" i="35" s="1"/>
  <c r="B16" i="35"/>
  <c r="AB16" i="35" s="1"/>
  <c r="A16" i="35"/>
  <c r="AA16" i="35" s="1"/>
  <c r="Q15" i="35"/>
  <c r="Q68" i="35" s="1"/>
  <c r="P15" i="35"/>
  <c r="P68" i="35" s="1"/>
  <c r="O15" i="35"/>
  <c r="N15" i="35"/>
  <c r="N68" i="35" s="1"/>
  <c r="M15" i="35"/>
  <c r="L15" i="35"/>
  <c r="L68" i="35" s="1"/>
  <c r="K15" i="35"/>
  <c r="K68" i="35" s="1"/>
  <c r="J15" i="35"/>
  <c r="J68" i="35" s="1"/>
  <c r="I15" i="35"/>
  <c r="H15" i="35"/>
  <c r="AH15" i="35" s="1"/>
  <c r="G15" i="35"/>
  <c r="AG15" i="35" s="1"/>
  <c r="F15" i="35"/>
  <c r="AF15" i="35" s="1"/>
  <c r="E15" i="35"/>
  <c r="AE15" i="35" s="1"/>
  <c r="D15" i="35"/>
  <c r="AD15" i="35" s="1"/>
  <c r="C15" i="35"/>
  <c r="AC15" i="35" s="1"/>
  <c r="B15" i="35"/>
  <c r="AB15" i="35" s="1"/>
  <c r="A15" i="35"/>
  <c r="AA15" i="35" s="1"/>
  <c r="Q14" i="35"/>
  <c r="Q64" i="35" s="1"/>
  <c r="P14" i="35"/>
  <c r="P64" i="35" s="1"/>
  <c r="O14" i="35"/>
  <c r="N14" i="35"/>
  <c r="N64" i="35" s="1"/>
  <c r="M14" i="35"/>
  <c r="M64" i="35" s="1"/>
  <c r="L14" i="35"/>
  <c r="L64" i="35" s="1"/>
  <c r="K14" i="35"/>
  <c r="K64" i="35" s="1"/>
  <c r="J14" i="35"/>
  <c r="J64" i="35" s="1"/>
  <c r="I14" i="35"/>
  <c r="I64" i="35" s="1"/>
  <c r="H14" i="35"/>
  <c r="AH14" i="35" s="1"/>
  <c r="G14" i="35"/>
  <c r="AG14" i="35" s="1"/>
  <c r="F14" i="35"/>
  <c r="AF14" i="35" s="1"/>
  <c r="E14" i="35"/>
  <c r="AE14" i="35" s="1"/>
  <c r="D14" i="35"/>
  <c r="AD14" i="35" s="1"/>
  <c r="C14" i="35"/>
  <c r="AC14" i="35" s="1"/>
  <c r="B14" i="35"/>
  <c r="AB14" i="35" s="1"/>
  <c r="A14" i="35"/>
  <c r="AA14" i="35" s="1"/>
  <c r="Q13" i="35"/>
  <c r="Q60" i="35" s="1"/>
  <c r="P13" i="35"/>
  <c r="P60" i="35" s="1"/>
  <c r="O13" i="35"/>
  <c r="O60" i="35" s="1"/>
  <c r="N13" i="35"/>
  <c r="N60" i="35" s="1"/>
  <c r="M13" i="35"/>
  <c r="M60" i="35" s="1"/>
  <c r="L13" i="35"/>
  <c r="L60" i="35" s="1"/>
  <c r="K13" i="35"/>
  <c r="K60" i="35" s="1"/>
  <c r="J13" i="35"/>
  <c r="I13" i="35"/>
  <c r="I60" i="35" s="1"/>
  <c r="H13" i="35"/>
  <c r="AH13" i="35" s="1"/>
  <c r="G13" i="35"/>
  <c r="AG13" i="35" s="1"/>
  <c r="F13" i="35"/>
  <c r="AF13" i="35" s="1"/>
  <c r="E13" i="35"/>
  <c r="AE13" i="35" s="1"/>
  <c r="D13" i="35"/>
  <c r="AD13" i="35" s="1"/>
  <c r="C13" i="35"/>
  <c r="AC13" i="35" s="1"/>
  <c r="B13" i="35"/>
  <c r="AB13" i="35" s="1"/>
  <c r="A13" i="35"/>
  <c r="AA13" i="35" s="1"/>
  <c r="Q12" i="35"/>
  <c r="Q56" i="35" s="1"/>
  <c r="P12" i="35"/>
  <c r="O12" i="35"/>
  <c r="N12" i="35"/>
  <c r="M12" i="35"/>
  <c r="L12" i="35"/>
  <c r="L56" i="35" s="1"/>
  <c r="K12" i="35"/>
  <c r="K56" i="35" s="1"/>
  <c r="J12" i="35"/>
  <c r="J56" i="35" s="1"/>
  <c r="I12" i="35"/>
  <c r="H12" i="35"/>
  <c r="G12" i="35"/>
  <c r="F12" i="35"/>
  <c r="E12" i="35"/>
  <c r="D12" i="35"/>
  <c r="C12" i="35"/>
  <c r="B12" i="35"/>
  <c r="A12" i="35"/>
  <c r="Q11" i="35"/>
  <c r="Q52" i="35" s="1"/>
  <c r="P11" i="35"/>
  <c r="P52" i="35" s="1"/>
  <c r="O11" i="35"/>
  <c r="O52" i="35" s="1"/>
  <c r="N11" i="35"/>
  <c r="N52" i="35" s="1"/>
  <c r="M11" i="35"/>
  <c r="M52" i="35" s="1"/>
  <c r="L11" i="35"/>
  <c r="L52" i="35" s="1"/>
  <c r="K11" i="35"/>
  <c r="K52" i="35" s="1"/>
  <c r="J11" i="35"/>
  <c r="J52" i="35" s="1"/>
  <c r="I11" i="35"/>
  <c r="H11" i="35"/>
  <c r="AH11" i="35" s="1"/>
  <c r="G11" i="35"/>
  <c r="AG11" i="35" s="1"/>
  <c r="F11" i="35"/>
  <c r="AF11" i="35" s="1"/>
  <c r="E11" i="35"/>
  <c r="AE11" i="35" s="1"/>
  <c r="D11" i="35"/>
  <c r="AD11" i="35" s="1"/>
  <c r="C11" i="35"/>
  <c r="AC11" i="35" s="1"/>
  <c r="B11" i="35"/>
  <c r="AB11" i="35" s="1"/>
  <c r="A11" i="35"/>
  <c r="AA11" i="35" s="1"/>
  <c r="Q10" i="35"/>
  <c r="P10" i="35"/>
  <c r="P48" i="35" s="1"/>
  <c r="O10" i="35"/>
  <c r="O48" i="35" s="1"/>
  <c r="N10" i="35"/>
  <c r="N48" i="35" s="1"/>
  <c r="M10" i="35"/>
  <c r="M48" i="35" s="1"/>
  <c r="L10" i="35"/>
  <c r="L48" i="35" s="1"/>
  <c r="K10" i="35"/>
  <c r="K48" i="35" s="1"/>
  <c r="J10" i="35"/>
  <c r="J48" i="35" s="1"/>
  <c r="I10" i="35"/>
  <c r="I48" i="35" s="1"/>
  <c r="H10" i="35"/>
  <c r="AH10" i="35" s="1"/>
  <c r="G10" i="35"/>
  <c r="AG10" i="35" s="1"/>
  <c r="F10" i="35"/>
  <c r="AF10" i="35" s="1"/>
  <c r="E10" i="35"/>
  <c r="AE10" i="35" s="1"/>
  <c r="D10" i="35"/>
  <c r="AD10" i="35" s="1"/>
  <c r="C10" i="35"/>
  <c r="AC10" i="35" s="1"/>
  <c r="B10" i="35"/>
  <c r="AB10" i="35" s="1"/>
  <c r="A10" i="35"/>
  <c r="AA10" i="35" s="1"/>
  <c r="Q9" i="35"/>
  <c r="Q44" i="35" s="1"/>
  <c r="P9" i="35"/>
  <c r="P44" i="35" s="1"/>
  <c r="O9" i="35"/>
  <c r="O44" i="35" s="1"/>
  <c r="N9" i="35"/>
  <c r="N44" i="35" s="1"/>
  <c r="M9" i="35"/>
  <c r="M44" i="35" s="1"/>
  <c r="L9" i="35"/>
  <c r="L44" i="35" s="1"/>
  <c r="K9" i="35"/>
  <c r="K44" i="35" s="1"/>
  <c r="J9" i="35"/>
  <c r="I9" i="35"/>
  <c r="I44" i="35" s="1"/>
  <c r="H9" i="35"/>
  <c r="AH9" i="35" s="1"/>
  <c r="G9" i="35"/>
  <c r="AG9" i="35" s="1"/>
  <c r="F9" i="35"/>
  <c r="AF9" i="35" s="1"/>
  <c r="E9" i="35"/>
  <c r="AE9" i="35" s="1"/>
  <c r="D9" i="35"/>
  <c r="AD9" i="35" s="1"/>
  <c r="C9" i="35"/>
  <c r="AC9" i="35" s="1"/>
  <c r="B9" i="35"/>
  <c r="AB9" i="35" s="1"/>
  <c r="A9" i="35"/>
  <c r="AA9" i="35" s="1"/>
  <c r="Q8" i="35"/>
  <c r="Q40" i="35" s="1"/>
  <c r="P8" i="35"/>
  <c r="O8" i="35"/>
  <c r="N8" i="35"/>
  <c r="N40" i="35" s="1"/>
  <c r="M8" i="35"/>
  <c r="M40" i="35" s="1"/>
  <c r="L8" i="35"/>
  <c r="K8" i="35"/>
  <c r="K40" i="35" s="1"/>
  <c r="J8" i="35"/>
  <c r="J40" i="35" s="1"/>
  <c r="I8" i="35"/>
  <c r="H8" i="35"/>
  <c r="AH8" i="35" s="1"/>
  <c r="G8" i="35"/>
  <c r="AG8" i="35" s="1"/>
  <c r="F8" i="35"/>
  <c r="AF8" i="35" s="1"/>
  <c r="E8" i="35"/>
  <c r="AE8" i="35" s="1"/>
  <c r="D8" i="35"/>
  <c r="AD8" i="35" s="1"/>
  <c r="C8" i="35"/>
  <c r="AC8" i="35" s="1"/>
  <c r="B8" i="35"/>
  <c r="AB8" i="35" s="1"/>
  <c r="AJ8" i="35" s="1"/>
  <c r="A8" i="35"/>
  <c r="AA8" i="35" s="1"/>
  <c r="Q7" i="35"/>
  <c r="Q36" i="35" s="1"/>
  <c r="P7" i="35"/>
  <c r="O7" i="35"/>
  <c r="O36" i="35" s="1"/>
  <c r="N7" i="35"/>
  <c r="N36" i="35" s="1"/>
  <c r="M7" i="35"/>
  <c r="M36" i="35" s="1"/>
  <c r="L7" i="35"/>
  <c r="L36" i="35" s="1"/>
  <c r="K7" i="35"/>
  <c r="K36" i="35" s="1"/>
  <c r="J7" i="35"/>
  <c r="J36" i="35" s="1"/>
  <c r="I7" i="35"/>
  <c r="I36" i="35" s="1"/>
  <c r="H7" i="35"/>
  <c r="AH7" i="35" s="1"/>
  <c r="G7" i="35"/>
  <c r="AG7" i="35" s="1"/>
  <c r="F7" i="35"/>
  <c r="AF7" i="35" s="1"/>
  <c r="E7" i="35"/>
  <c r="AE7" i="35" s="1"/>
  <c r="D7" i="35"/>
  <c r="AD7" i="35" s="1"/>
  <c r="C7" i="35"/>
  <c r="AC7" i="35" s="1"/>
  <c r="B7" i="35"/>
  <c r="AB7" i="35" s="1"/>
  <c r="A7" i="35"/>
  <c r="AA7" i="35" s="1"/>
  <c r="Q6" i="35"/>
  <c r="Q32" i="35" s="1"/>
  <c r="P6" i="35"/>
  <c r="P32" i="35" s="1"/>
  <c r="O6" i="35"/>
  <c r="O32" i="35" s="1"/>
  <c r="K6" i="35"/>
  <c r="K32" i="35" s="1"/>
  <c r="J6" i="35"/>
  <c r="J32" i="35" s="1"/>
  <c r="I6" i="35"/>
  <c r="I32" i="35" s="1"/>
  <c r="H6" i="35"/>
  <c r="AH6" i="35" s="1"/>
  <c r="G6" i="35"/>
  <c r="AG6" i="35" s="1"/>
  <c r="F6" i="35"/>
  <c r="AF6" i="35" s="1"/>
  <c r="E6" i="35"/>
  <c r="AE6" i="35" s="1"/>
  <c r="D6" i="35"/>
  <c r="AD6" i="35" s="1"/>
  <c r="C6" i="35"/>
  <c r="AC6" i="35" s="1"/>
  <c r="B6" i="35"/>
  <c r="AB6" i="35" s="1"/>
  <c r="A6" i="35"/>
  <c r="AA6" i="35" s="1"/>
  <c r="Q5" i="35"/>
  <c r="Q28" i="35" s="1"/>
  <c r="P5" i="35"/>
  <c r="P28" i="35" s="1"/>
  <c r="O5" i="35"/>
  <c r="O28" i="35" s="1"/>
  <c r="N5" i="35"/>
  <c r="N28" i="35" s="1"/>
  <c r="M5" i="35"/>
  <c r="M28" i="35" s="1"/>
  <c r="L5" i="35"/>
  <c r="L28" i="35" s="1"/>
  <c r="K5" i="35"/>
  <c r="K28" i="35" s="1"/>
  <c r="J5" i="35"/>
  <c r="I5" i="35"/>
  <c r="I28" i="35" s="1"/>
  <c r="H5" i="35"/>
  <c r="AH5" i="35" s="1"/>
  <c r="G5" i="35"/>
  <c r="AG5" i="35" s="1"/>
  <c r="F5" i="35"/>
  <c r="AF5" i="35" s="1"/>
  <c r="E5" i="35"/>
  <c r="AE5" i="35" s="1"/>
  <c r="D5" i="35"/>
  <c r="AD5" i="35" s="1"/>
  <c r="C5" i="35"/>
  <c r="AC5" i="35" s="1"/>
  <c r="B5" i="35"/>
  <c r="AB5" i="35" s="1"/>
  <c r="A5" i="35"/>
  <c r="AA5" i="35" s="1"/>
  <c r="Q4" i="35"/>
  <c r="Q24" i="35" s="1"/>
  <c r="P4" i="35"/>
  <c r="P24" i="35" s="1"/>
  <c r="O4" i="35"/>
  <c r="O24" i="35" s="1"/>
  <c r="N4" i="35"/>
  <c r="M4" i="35"/>
  <c r="M24" i="35" s="1"/>
  <c r="L4" i="35"/>
  <c r="L24" i="35" s="1"/>
  <c r="K4" i="35"/>
  <c r="K24" i="35" s="1"/>
  <c r="J4" i="35"/>
  <c r="J24" i="35" s="1"/>
  <c r="J25" i="35" s="1"/>
  <c r="I4" i="35"/>
  <c r="I24" i="35" s="1"/>
  <c r="H4" i="35"/>
  <c r="AH4" i="35" s="1"/>
  <c r="G4" i="35"/>
  <c r="AG4" i="35" s="1"/>
  <c r="F4" i="35"/>
  <c r="AF4" i="35" s="1"/>
  <c r="E4" i="35"/>
  <c r="AE4" i="35" s="1"/>
  <c r="D4" i="35"/>
  <c r="AD4" i="35" s="1"/>
  <c r="C4" i="35"/>
  <c r="AC4" i="35" s="1"/>
  <c r="B4" i="35"/>
  <c r="AB4" i="35" s="1"/>
  <c r="A4" i="35"/>
  <c r="AA4" i="35" s="1"/>
  <c r="Q3" i="35"/>
  <c r="Q20" i="35" s="1"/>
  <c r="P3" i="35"/>
  <c r="P20" i="35" s="1"/>
  <c r="O3" i="35"/>
  <c r="O20" i="35" s="1"/>
  <c r="N3" i="35"/>
  <c r="N20" i="35" s="1"/>
  <c r="M3" i="35"/>
  <c r="M20" i="35" s="1"/>
  <c r="L3" i="35"/>
  <c r="L20" i="35" s="1"/>
  <c r="K3" i="35"/>
  <c r="K20" i="35" s="1"/>
  <c r="J3" i="35"/>
  <c r="J20" i="35" s="1"/>
  <c r="I3" i="35"/>
  <c r="I20" i="35" s="1"/>
  <c r="H3" i="35"/>
  <c r="AH3" i="35" s="1"/>
  <c r="G3" i="35"/>
  <c r="AG3" i="35" s="1"/>
  <c r="F3" i="35"/>
  <c r="AF3" i="35" s="1"/>
  <c r="E3" i="35"/>
  <c r="AE3" i="35" s="1"/>
  <c r="D3" i="35"/>
  <c r="AD3" i="35" s="1"/>
  <c r="C3" i="35"/>
  <c r="AC3" i="35" s="1"/>
  <c r="B3" i="35"/>
  <c r="AB3" i="35" s="1"/>
  <c r="A3" i="35"/>
  <c r="AA3" i="35" s="1"/>
  <c r="I38" i="35" l="1"/>
  <c r="I39" i="35"/>
  <c r="I37" i="35"/>
  <c r="K47" i="35"/>
  <c r="K45" i="35"/>
  <c r="K46" i="35"/>
  <c r="J59" i="35"/>
  <c r="J58" i="35"/>
  <c r="J57" i="35"/>
  <c r="I25" i="35"/>
  <c r="I26" i="35"/>
  <c r="I27" i="35"/>
  <c r="K66" i="35"/>
  <c r="K67" i="35"/>
  <c r="K65" i="35"/>
  <c r="K25" i="35"/>
  <c r="K26" i="35"/>
  <c r="K27" i="35"/>
  <c r="K58" i="35"/>
  <c r="K59" i="35"/>
  <c r="K57" i="35"/>
  <c r="J70" i="35"/>
  <c r="J71" i="35"/>
  <c r="J69" i="35"/>
  <c r="J67" i="35"/>
  <c r="J65" i="35"/>
  <c r="J66" i="35"/>
  <c r="K38" i="35"/>
  <c r="K37" i="35"/>
  <c r="K39" i="35"/>
  <c r="I51" i="35"/>
  <c r="I49" i="35"/>
  <c r="I50" i="35"/>
  <c r="J51" i="35"/>
  <c r="J49" i="35"/>
  <c r="J50" i="35"/>
  <c r="I29" i="35"/>
  <c r="I30" i="35"/>
  <c r="I31" i="35"/>
  <c r="K50" i="35"/>
  <c r="K51" i="35"/>
  <c r="K49" i="35"/>
  <c r="J42" i="35"/>
  <c r="J43" i="35"/>
  <c r="J41" i="35"/>
  <c r="K70" i="35"/>
  <c r="K69" i="35"/>
  <c r="K71" i="35"/>
  <c r="I21" i="35"/>
  <c r="I22" i="35"/>
  <c r="I23" i="35"/>
  <c r="K42" i="35"/>
  <c r="K43" i="35"/>
  <c r="K41" i="35"/>
  <c r="J22" i="35"/>
  <c r="J23" i="35"/>
  <c r="J21" i="35"/>
  <c r="K63" i="35"/>
  <c r="K61" i="35"/>
  <c r="K62" i="35"/>
  <c r="I77" i="35"/>
  <c r="I78" i="35"/>
  <c r="I79" i="35"/>
  <c r="K79" i="35"/>
  <c r="K77" i="35"/>
  <c r="K78" i="35"/>
  <c r="I61" i="35"/>
  <c r="I62" i="35"/>
  <c r="I63" i="35"/>
  <c r="K31" i="35"/>
  <c r="K29" i="35"/>
  <c r="K30" i="35"/>
  <c r="K21" i="35"/>
  <c r="K22" i="35"/>
  <c r="K23" i="35"/>
  <c r="J54" i="35"/>
  <c r="J55" i="35"/>
  <c r="J53" i="35"/>
  <c r="K34" i="35"/>
  <c r="K35" i="35"/>
  <c r="K33" i="35"/>
  <c r="I35" i="35"/>
  <c r="I33" i="35"/>
  <c r="I34" i="35"/>
  <c r="I45" i="35"/>
  <c r="I46" i="35"/>
  <c r="I47" i="35"/>
  <c r="K54" i="35"/>
  <c r="K53" i="35"/>
  <c r="K55" i="35"/>
  <c r="J74" i="35"/>
  <c r="J75" i="35"/>
  <c r="J73" i="35"/>
  <c r="J38" i="35"/>
  <c r="J39" i="35"/>
  <c r="J37" i="35"/>
  <c r="J35" i="35"/>
  <c r="J33" i="35"/>
  <c r="J34" i="35"/>
  <c r="I67" i="35"/>
  <c r="I65" i="35"/>
  <c r="I66" i="35"/>
  <c r="K74" i="35"/>
  <c r="K75" i="35"/>
  <c r="K73" i="35"/>
  <c r="J31" i="35"/>
  <c r="J63" i="35"/>
  <c r="J79" i="35"/>
  <c r="J27" i="35"/>
  <c r="J47" i="35"/>
  <c r="I53" i="35"/>
  <c r="I69" i="35"/>
  <c r="J26" i="35"/>
  <c r="I43" i="35"/>
  <c r="I59" i="35"/>
  <c r="I75" i="35"/>
  <c r="J62" i="35"/>
  <c r="J30" i="35"/>
  <c r="J46" i="35"/>
  <c r="I42" i="35"/>
  <c r="I55" i="35"/>
  <c r="I58" i="35"/>
  <c r="I71" i="35"/>
  <c r="I74" i="35"/>
  <c r="AM4" i="35" a="1"/>
  <c r="AM4" i="35" s="1"/>
  <c r="AN4" i="35" a="1"/>
  <c r="AN4" i="35" s="1"/>
  <c r="AO4" i="35" a="1"/>
  <c r="AO4" i="35" s="1"/>
  <c r="AR4" i="35" a="1"/>
  <c r="AR4" i="35" s="1"/>
  <c r="AS4" i="35" a="1"/>
  <c r="AS4" i="35" s="1"/>
  <c r="AQ4" i="35" a="1"/>
  <c r="AQ4" i="35" s="1"/>
  <c r="AK8" i="35"/>
  <c r="AI11" i="35"/>
  <c r="AJ16" i="35"/>
  <c r="AK6" i="35"/>
  <c r="AI8" i="35"/>
  <c r="AI15" i="35"/>
  <c r="AK4" i="35"/>
  <c r="AI14" i="35"/>
  <c r="AK15" i="35"/>
  <c r="AJ15" i="35"/>
  <c r="AJ11" i="35"/>
  <c r="AK11" i="35"/>
  <c r="AI10" i="35"/>
  <c r="AJ14" i="35"/>
  <c r="AK14" i="35"/>
  <c r="AI16" i="35"/>
  <c r="AJ9" i="35"/>
  <c r="AI4" i="35"/>
  <c r="AK10" i="35"/>
  <c r="AI13" i="35"/>
  <c r="AI7" i="35"/>
  <c r="AJ7" i="35"/>
  <c r="AK7" i="35"/>
  <c r="AK5" i="35"/>
  <c r="AJ4" i="35"/>
  <c r="AJ3" i="35"/>
  <c r="AI5" i="35"/>
  <c r="AI9" i="35"/>
  <c r="AK3" i="35"/>
  <c r="AI6" i="35"/>
  <c r="AK13" i="35"/>
  <c r="AJ6" i="35"/>
  <c r="AJ10" i="35"/>
  <c r="AI3" i="35"/>
  <c r="AK9" i="35"/>
  <c r="AK16" i="35"/>
  <c r="AJ5" i="35"/>
  <c r="AJ13" i="35"/>
  <c r="AC17" i="12"/>
  <c r="AB17" i="12"/>
  <c r="AA17" i="12"/>
  <c r="Z17" i="12"/>
  <c r="Y17" i="12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B4" i="12"/>
  <c r="AA4" i="12"/>
  <c r="Z4" i="12"/>
  <c r="Y4" i="12"/>
  <c r="X4" i="12"/>
  <c r="AC3" i="12"/>
  <c r="AB3" i="12"/>
  <c r="AA3" i="12"/>
  <c r="Z3" i="12"/>
  <c r="Y3" i="12"/>
  <c r="X3" i="12"/>
  <c r="H4" i="12" l="1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AH16" i="19" l="1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AN4" i="19" l="1" a="1"/>
  <c r="AN4" i="19" s="1"/>
  <c r="AQ4" i="19" a="1"/>
  <c r="AQ4" i="19" s="1"/>
  <c r="AR4" i="19" a="1"/>
  <c r="AR4" i="19" s="1"/>
  <c r="AP4" i="19" a="1"/>
  <c r="AP4" i="19" s="1"/>
  <c r="AS4" i="19" a="1"/>
  <c r="AS4" i="19" s="1"/>
  <c r="AO4" i="19" a="1"/>
  <c r="AO4" i="19" s="1"/>
  <c r="AA4" i="19"/>
  <c r="AA11" i="19"/>
  <c r="AI11" i="19" s="1"/>
  <c r="AA9" i="19"/>
  <c r="AI9" i="19" s="1"/>
  <c r="AA16" i="19"/>
  <c r="AI16" i="19" s="1"/>
  <c r="AA5" i="19"/>
  <c r="AI5" i="19" s="1"/>
  <c r="AA6" i="19"/>
  <c r="AI6" i="19" s="1"/>
  <c r="AA7" i="19"/>
  <c r="AI7" i="19" s="1"/>
  <c r="AA14" i="19"/>
  <c r="AI14" i="19" s="1"/>
  <c r="AA3" i="19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J7" i="19"/>
  <c r="AK15" i="19"/>
  <c r="AJ5" i="19"/>
  <c r="AK7" i="19"/>
  <c r="AK5" i="19"/>
  <c r="AK9" i="19"/>
  <c r="AJ16" i="19"/>
  <c r="AK13" i="19"/>
  <c r="AK14" i="19"/>
  <c r="AK6" i="19"/>
  <c r="AJ11" i="19"/>
  <c r="AJ15" i="19"/>
  <c r="AJ4" i="19"/>
  <c r="AK8" i="19"/>
  <c r="AK4" i="19"/>
  <c r="AJ14" i="19"/>
  <c r="AK11" i="19"/>
  <c r="AJ13" i="19"/>
  <c r="AJ9" i="19"/>
  <c r="AJ6" i="19"/>
  <c r="AJ8" i="19"/>
  <c r="AK3" i="19"/>
  <c r="AI3" i="19" l="1"/>
  <c r="AI4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<sst xmlns="http://schemas.openxmlformats.org/spreadsheetml/2006/main" count="327" uniqueCount="46">
  <si>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</si>
  <si>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</si>
  <si>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</si>
  <si>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</si>
  <si>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</si>
  <si>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</si>
  <si>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</si>
  <si>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</si>
  <si>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</si>
  <si>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</si>
  <si>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</si>
  <si>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</si>
  <si>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</si>
  <si>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</si>
  <si>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</si>
  <si>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</si>
  <si>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</si>
  <si>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</si>
  <si>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</si>
  <si>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</si>
  <si>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</si>
  <si>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</si>
  <si>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</si>
  <si>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</si>
  <si>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</si>
  <si>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</si>
  <si>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</si>
  <si>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</si>
  <si>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</si>
  <si>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</si>
  <si>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</si>
  <si>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</si>
  <si>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</si>
  <si>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</si>
  <si>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</si>
  <si>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</si>
  <si>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</si>
  <si>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</si>
  <si>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</si>
  <si>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</si>
  <si>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</si>
  <si>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</si>
  <si>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</si>
  <si>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</si>
  <si>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{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</si>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</sst>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</cellStyleXfs>
  <cellXfs count="41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2" fillId="6" borderId="1" xfId="0" applyFont="1" applyFill="1" applyBorder="1"/>
    <xf numFmtId="0" fontId="0" fillId="0" borderId="1" xfId="0" applyBorder="1"/>
    <xf numFmtId="166" fontId="3" fillId="8" borderId="1" xfId="0" applyNumberFormat="1" applyFont="1" applyFill="1" applyBorder="1"/>
    <xf numFmtId="166" fontId="3" fillId="8" borderId="12" xfId="0" applyNumberFormat="1" applyFont="1" applyFill="1" applyBorder="1"/>
    <xf numFmtId="166" fontId="0" fillId="0" borderId="1" xfId="0" applyNumberFormat="1" applyBorder="1"/>
    <xf numFmtId="165" fontId="3" fillId="8" borderId="1" xfId="0" applyNumberFormat="1" applyFont="1" applyFill="1" applyBorder="1"/>
    <xf numFmtId="166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4" fontId="0" fillId="0" borderId="0" xfId="0" applyNumberFormat="1"/>
    <xf numFmtId="1" fontId="3" fillId="8" borderId="1" xfId="0" applyNumberFormat="1" applyFont="1" applyFill="1" applyBorder="1"/>
    <xf numFmtId="11" fontId="3" fillId="8" borderId="1" xfId="0" applyNumberFormat="1" applyFont="1" applyFill="1" applyBorder="1"/>
    <xf numFmtId="11" fontId="3" fillId="0" borderId="1" xfId="0" applyNumberFormat="1" applyFont="1" applyBorder="1"/>
    <xf numFmtId="167" fontId="0" fillId="0" borderId="0" xfId="0" applyNumberFormat="1" applyAlignment="1">
      <alignment horizontal="left"/>
    </xf>
    <xf numFmtId="164" fontId="4" fillId="10" borderId="1" xfId="1" applyNumberFormat="1" applyBorder="1"/>
    <xf numFmtId="164" fontId="5" fillId="11" borderId="1" xfId="2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9"/>
  <sheetViews>
    <sheetView tabSelected="1" workbookViewId="0">
      <selection activeCell="T23" sqref="T23"/>
    </sheetView>
  </sheetViews>
  <sheetFormatPr defaultRowHeight="16.5" customHeight="1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9.5703125" bestFit="1" customWidth="1"/>
    <col min="19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6.5" customHeight="1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5" t="s">
        <v>6</v>
      </c>
      <c r="M1" s="26"/>
      <c r="N1" s="26"/>
      <c r="O1" s="26"/>
      <c r="P1" s="26"/>
      <c r="Q1" s="26"/>
      <c r="R1" s="27" t="s">
        <v>12</v>
      </c>
      <c r="S1" s="28"/>
      <c r="T1" s="28"/>
      <c r="U1" s="28"/>
      <c r="V1" s="28"/>
      <c r="W1" s="28"/>
      <c r="X1" s="29" t="s">
        <v>14</v>
      </c>
      <c r="Y1" s="30"/>
      <c r="Z1" s="30"/>
      <c r="AA1" s="30"/>
      <c r="AB1" s="30"/>
      <c r="AC1" s="31"/>
    </row>
    <row r="2" spans="1:29" ht="16.5" customHeight="1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ht="16.5" customHeight="1" x14ac:dyDescent="0.25">
      <c r="A3" s="21">
        <v>0.5</v>
      </c>
      <c r="B3" s="21">
        <v>0.12</v>
      </c>
      <c r="C3" s="21">
        <v>1.57</v>
      </c>
      <c r="D3" s="21">
        <f>PI()/2</f>
        <v>1.5707963267948966</v>
      </c>
      <c r="E3" s="21">
        <v>0.3</v>
      </c>
      <c r="F3" s="21">
        <v>0.02</v>
      </c>
      <c r="G3" s="21">
        <v>3.1419999999999999</v>
      </c>
      <c r="H3" s="21">
        <f>PI()/2</f>
        <v>1.5707963267948966</v>
      </c>
      <c r="I3" s="21">
        <v>0.8</v>
      </c>
      <c r="J3" s="21">
        <v>0</v>
      </c>
      <c r="K3" s="21">
        <v>0</v>
      </c>
      <c r="L3" s="5">
        <v>3.3966472838073999E-3</v>
      </c>
      <c r="M3" s="5">
        <v>-8.4817789494991302E-2</v>
      </c>
      <c r="N3" s="5">
        <v>-3.2525759190321003E-2</v>
      </c>
      <c r="O3" s="5">
        <v>-0.186183482408524</v>
      </c>
      <c r="P3" s="5">
        <v>-0.290946185588837</v>
      </c>
      <c r="Q3" s="5">
        <v>0.34101566672325101</v>
      </c>
      <c r="R3" s="5">
        <v>1.954527313542721E-3</v>
      </c>
      <c r="S3" s="5">
        <v>-0.10069080921083702</v>
      </c>
      <c r="T3" s="5">
        <v>-3.2823108904086719E-2</v>
      </c>
      <c r="U3" s="5">
        <v>-0.18735700851897857</v>
      </c>
      <c r="V3" s="5">
        <v>-0.30311108653013896</v>
      </c>
      <c r="W3" s="5">
        <v>0.46281574836560557</v>
      </c>
      <c r="X3" s="5">
        <f>L3-R3</f>
        <v>1.4421199702646789E-3</v>
      </c>
      <c r="Y3" s="5">
        <f t="shared" ref="Y3:AC3" si="0">M3-S3</f>
        <v>1.5873019715845718E-2</v>
      </c>
      <c r="Z3" s="5">
        <f t="shared" si="0"/>
        <v>2.9734971376571551E-4</v>
      </c>
      <c r="AA3" s="5">
        <f t="shared" si="0"/>
        <v>1.1735261104545702E-3</v>
      </c>
      <c r="AB3" s="5">
        <f t="shared" si="0"/>
        <v>1.2164900941301959E-2</v>
      </c>
      <c r="AC3" s="5">
        <f t="shared" si="0"/>
        <v>-0.12180008164235456</v>
      </c>
    </row>
    <row r="4" spans="1:29" s="5" customFormat="1" ht="16.5" customHeight="1" x14ac:dyDescent="0.25">
      <c r="A4" s="21">
        <v>0.5</v>
      </c>
      <c r="B4" s="21">
        <v>0.12</v>
      </c>
      <c r="C4" s="21">
        <v>1.57</v>
      </c>
      <c r="D4" s="21">
        <f t="shared" ref="D4:D17" si="1">PI()/2</f>
        <v>1.5707963267948966</v>
      </c>
      <c r="E4" s="21">
        <v>0.7</v>
      </c>
      <c r="F4" s="21">
        <v>0.06</v>
      </c>
      <c r="G4" s="21">
        <v>4.7119999999999997</v>
      </c>
      <c r="H4" s="21">
        <f t="shared" ref="H4:H17" si="2">PI()/2</f>
        <v>1.5707963267948966</v>
      </c>
      <c r="I4" s="21">
        <v>0</v>
      </c>
      <c r="J4" s="21">
        <v>0</v>
      </c>
      <c r="K4" s="21">
        <v>0</v>
      </c>
      <c r="L4" s="5">
        <v>2.92063690721989E-4</v>
      </c>
      <c r="M4" s="5">
        <v>-1.4378885738551599E-2</v>
      </c>
      <c r="N4" s="5">
        <v>5.1419169176369895E-4</v>
      </c>
      <c r="O4" s="5">
        <v>-1.40395248308778E-2</v>
      </c>
      <c r="P4" s="5">
        <v>-3.9881169795989999E-3</v>
      </c>
      <c r="Q4" s="5">
        <v>-0.148137778043747</v>
      </c>
      <c r="R4" s="5">
        <v>-1.3559137054452981E-13</v>
      </c>
      <c r="S4" s="5">
        <v>7.6156041659095227E-4</v>
      </c>
      <c r="T4" s="5">
        <v>4.1979747841438317E-5</v>
      </c>
      <c r="U4" s="5">
        <v>-1.6841760451837544E-2</v>
      </c>
      <c r="V4" s="5">
        <v>1.1952156521297658E-4</v>
      </c>
      <c r="W4" s="5">
        <v>-0.20632187525439843</v>
      </c>
      <c r="X4" s="5">
        <f t="shared" ref="X4:X17" si="3">L4-R4</f>
        <v>2.9206369085758036E-4</v>
      </c>
      <c r="Y4" s="5">
        <f t="shared" ref="Y4:Y17" si="4">M4-S4</f>
        <v>-1.5140446155142552E-2</v>
      </c>
      <c r="Z4" s="5">
        <f t="shared" ref="Z4:Z17" si="5">N4-T4</f>
        <v>4.7221194392226061E-4</v>
      </c>
      <c r="AA4" s="5">
        <f t="shared" ref="AA4:AA17" si="6">O4-U4</f>
        <v>2.8022356209597438E-3</v>
      </c>
      <c r="AB4" s="5">
        <f t="shared" ref="AB4:AB17" si="7">P4-V4</f>
        <v>-4.1076385448119762E-3</v>
      </c>
      <c r="AC4" s="5">
        <f t="shared" ref="AC4:AC17" si="8">Q4-W4</f>
        <v>5.8184097210651431E-2</v>
      </c>
    </row>
    <row r="5" spans="1:29" s="5" customFormat="1" ht="16.5" customHeight="1" x14ac:dyDescent="0.25">
      <c r="A5" s="21">
        <v>0.8</v>
      </c>
      <c r="B5" s="21">
        <v>0.18</v>
      </c>
      <c r="C5" s="21">
        <v>1.57</v>
      </c>
      <c r="D5" s="21">
        <f t="shared" si="1"/>
        <v>1.5707963267948966</v>
      </c>
      <c r="E5" s="21">
        <v>0.4</v>
      </c>
      <c r="F5" s="21">
        <v>0.08</v>
      </c>
      <c r="G5" s="21">
        <v>4.7119999999999997</v>
      </c>
      <c r="H5" s="21">
        <f t="shared" si="2"/>
        <v>1.5707963267948966</v>
      </c>
      <c r="I5" s="21">
        <v>0.4</v>
      </c>
      <c r="J5" s="21">
        <v>0</v>
      </c>
      <c r="K5" s="21">
        <v>0</v>
      </c>
      <c r="L5" s="5">
        <v>2.6918570511043102E-3</v>
      </c>
      <c r="M5" s="5">
        <v>-9.7128830850124401E-2</v>
      </c>
      <c r="N5" s="5">
        <v>5.0861202180385598E-3</v>
      </c>
      <c r="O5" s="5">
        <v>-0.40724512934684798</v>
      </c>
      <c r="P5" s="5">
        <v>1.0805079713463801E-2</v>
      </c>
      <c r="Q5" s="5">
        <v>3.2090678811073303E-2</v>
      </c>
      <c r="R5" s="5">
        <v>3.0075771941857309E-3</v>
      </c>
      <c r="S5" s="5">
        <v>-9.9540624638272041E-2</v>
      </c>
      <c r="T5" s="5">
        <v>-1.3747882262500456E-4</v>
      </c>
      <c r="U5" s="5">
        <v>-0.45870308696295997</v>
      </c>
      <c r="V5" s="5">
        <v>-1.3254375537201348E-2</v>
      </c>
      <c r="W5" s="5">
        <v>4.6920030988827792E-2</v>
      </c>
      <c r="X5" s="5">
        <f t="shared" si="3"/>
        <v>-3.1572014308142065E-4</v>
      </c>
      <c r="Y5" s="5">
        <f t="shared" si="4"/>
        <v>2.4117937881476398E-3</v>
      </c>
      <c r="Z5" s="5">
        <f t="shared" si="5"/>
        <v>5.2235990406635643E-3</v>
      </c>
      <c r="AA5" s="5">
        <f t="shared" si="6"/>
        <v>5.1457957616111993E-2</v>
      </c>
      <c r="AB5" s="5">
        <f t="shared" si="7"/>
        <v>2.4059455250665149E-2</v>
      </c>
      <c r="AC5" s="5">
        <f t="shared" si="8"/>
        <v>-1.4829352177754489E-2</v>
      </c>
    </row>
    <row r="6" spans="1:29" s="5" customFormat="1" ht="16.5" customHeight="1" x14ac:dyDescent="0.25">
      <c r="A6" s="21">
        <v>0.3</v>
      </c>
      <c r="B6" s="21">
        <v>0.2</v>
      </c>
      <c r="C6" s="21">
        <v>1.57</v>
      </c>
      <c r="D6" s="21">
        <f t="shared" si="1"/>
        <v>1.5707963267948966</v>
      </c>
      <c r="E6" s="21">
        <v>0.7</v>
      </c>
      <c r="F6" s="21">
        <v>0.04</v>
      </c>
      <c r="G6" s="21">
        <v>3.1419999999999999</v>
      </c>
      <c r="H6" s="21">
        <f t="shared" si="2"/>
        <v>1.5707963267948966</v>
      </c>
      <c r="I6" s="21">
        <v>0.4</v>
      </c>
      <c r="J6" s="21">
        <v>0</v>
      </c>
      <c r="K6" s="21">
        <v>0</v>
      </c>
      <c r="L6" s="5">
        <v>1.2694518081843901E-3</v>
      </c>
      <c r="M6" s="5">
        <v>-5.2426334470510497E-2</v>
      </c>
      <c r="N6" s="5">
        <v>-8.8403537869453402E-2</v>
      </c>
      <c r="O6" s="5">
        <v>-0.16237765550613401</v>
      </c>
      <c r="P6" s="5">
        <v>-0.67368566989898704</v>
      </c>
      <c r="Q6" s="5">
        <v>6.8886458873748793E-2</v>
      </c>
      <c r="R6" s="5">
        <v>1.6498792475245156E-3</v>
      </c>
      <c r="S6" s="5">
        <v>-7.9321292086742476E-2</v>
      </c>
      <c r="T6" s="5">
        <v>-8.9875435485365793E-2</v>
      </c>
      <c r="U6" s="5">
        <v>-0.19783018880137687</v>
      </c>
      <c r="V6" s="5">
        <v>-0.69435989404397547</v>
      </c>
      <c r="W6" s="5">
        <v>0.2459013021284342</v>
      </c>
      <c r="X6" s="5">
        <f t="shared" si="3"/>
        <v>-3.804274393401255E-4</v>
      </c>
      <c r="Y6" s="5">
        <f t="shared" si="4"/>
        <v>2.6894957616231979E-2</v>
      </c>
      <c r="Z6" s="5">
        <f t="shared" si="5"/>
        <v>1.4718976159123903E-3</v>
      </c>
      <c r="AA6" s="5">
        <f t="shared" si="6"/>
        <v>3.5452533295242866E-2</v>
      </c>
      <c r="AB6" s="5">
        <f t="shared" si="7"/>
        <v>2.0674224144988429E-2</v>
      </c>
      <c r="AC6" s="5">
        <f t="shared" si="8"/>
        <v>-0.17701484325468542</v>
      </c>
    </row>
    <row r="7" spans="1:29" s="5" customFormat="1" ht="16.5" customHeight="1" x14ac:dyDescent="0.25">
      <c r="A7" s="21">
        <v>0.3</v>
      </c>
      <c r="B7" s="21">
        <v>0.1</v>
      </c>
      <c r="C7" s="21">
        <v>3.1419999999999999</v>
      </c>
      <c r="D7" s="21">
        <f t="shared" si="1"/>
        <v>1.5707963267948966</v>
      </c>
      <c r="E7" s="21">
        <v>0.8</v>
      </c>
      <c r="F7" s="21">
        <v>0.08</v>
      </c>
      <c r="G7" s="21">
        <v>3.927</v>
      </c>
      <c r="H7" s="21">
        <f t="shared" si="2"/>
        <v>1.5707963267948966</v>
      </c>
      <c r="I7" s="21">
        <v>0.8</v>
      </c>
      <c r="J7" s="21">
        <v>0</v>
      </c>
      <c r="K7" s="21">
        <v>0</v>
      </c>
      <c r="L7" s="5">
        <v>-2.6597268879413599E-4</v>
      </c>
      <c r="M7" s="5">
        <v>8.6320064961910206E-2</v>
      </c>
      <c r="N7" s="5">
        <v>-0.15243518352508501</v>
      </c>
      <c r="O7" s="5">
        <v>-0.22609874606132499</v>
      </c>
      <c r="P7" s="5">
        <v>-0.81293100118637096</v>
      </c>
      <c r="Q7" s="5">
        <v>-0.47338950634002702</v>
      </c>
      <c r="R7" s="5">
        <v>5.4319142670731836E-5</v>
      </c>
      <c r="S7" s="5">
        <v>9.3585113393847494E-2</v>
      </c>
      <c r="T7" s="5">
        <v>-0.14874569478085856</v>
      </c>
      <c r="U7" s="5">
        <v>-0.3123049309597315</v>
      </c>
      <c r="V7" s="5">
        <v>-0.82395787278568988</v>
      </c>
      <c r="W7" s="5">
        <v>-0.54138320698718545</v>
      </c>
      <c r="X7" s="5">
        <f t="shared" si="3"/>
        <v>-3.2029183146486782E-4</v>
      </c>
      <c r="Y7" s="5">
        <f t="shared" si="4"/>
        <v>-7.2650484319372877E-3</v>
      </c>
      <c r="Z7" s="5">
        <f t="shared" si="5"/>
        <v>-3.689488744226449E-3</v>
      </c>
      <c r="AA7" s="5">
        <f t="shared" si="6"/>
        <v>8.6206184898406507E-2</v>
      </c>
      <c r="AB7" s="5">
        <f t="shared" si="7"/>
        <v>1.1026871599318921E-2</v>
      </c>
      <c r="AC7" s="5">
        <f t="shared" si="8"/>
        <v>6.7993700647158428E-2</v>
      </c>
    </row>
    <row r="8" spans="1:29" s="5" customFormat="1" ht="16.5" customHeight="1" x14ac:dyDescent="0.25">
      <c r="A8" s="21">
        <v>0.7</v>
      </c>
      <c r="B8" s="21">
        <v>0.1</v>
      </c>
      <c r="C8" s="21">
        <v>3.1419999999999999</v>
      </c>
      <c r="D8" s="21">
        <f t="shared" si="1"/>
        <v>1.5707963267948966</v>
      </c>
      <c r="E8" s="21">
        <v>0.4</v>
      </c>
      <c r="F8" s="21">
        <v>0.04</v>
      </c>
      <c r="G8" s="21">
        <v>3.927</v>
      </c>
      <c r="H8" s="21">
        <f t="shared" si="2"/>
        <v>1.5707963267948966</v>
      </c>
      <c r="I8" s="21">
        <v>0.4</v>
      </c>
      <c r="J8" s="21">
        <v>0</v>
      </c>
      <c r="K8" s="21">
        <v>0</v>
      </c>
      <c r="L8" s="5">
        <v>-1.1004870757460601E-3</v>
      </c>
      <c r="M8" s="5">
        <v>3.6083325743675197E-2</v>
      </c>
      <c r="N8" s="5">
        <v>-0.180290177464485</v>
      </c>
      <c r="O8" s="5">
        <v>-0.18137529492378199</v>
      </c>
      <c r="P8" s="5">
        <v>-0.99236428737640403</v>
      </c>
      <c r="Q8" s="5">
        <v>-0.25453394651413003</v>
      </c>
      <c r="R8" s="5">
        <v>5.1948930280419658E-4</v>
      </c>
      <c r="S8" s="5">
        <v>3.6361942044589313E-2</v>
      </c>
      <c r="T8" s="5">
        <v>-0.16473008723091373</v>
      </c>
      <c r="U8" s="5">
        <v>-0.29797363347022265</v>
      </c>
      <c r="V8" s="5">
        <v>-0.93629908755057711</v>
      </c>
      <c r="W8" s="5">
        <v>-0.27990704971661651</v>
      </c>
      <c r="X8" s="5">
        <f t="shared" si="3"/>
        <v>-1.6199763785502566E-3</v>
      </c>
      <c r="Y8" s="5">
        <f t="shared" si="4"/>
        <v>-2.7861630091411543E-4</v>
      </c>
      <c r="Z8" s="5">
        <f t="shared" si="5"/>
        <v>-1.5560090233571272E-2</v>
      </c>
      <c r="AA8" s="5">
        <f t="shared" si="6"/>
        <v>0.11659833854644067</v>
      </c>
      <c r="AB8" s="5">
        <f t="shared" si="7"/>
        <v>-5.6065199825826917E-2</v>
      </c>
      <c r="AC8" s="5">
        <f t="shared" si="8"/>
        <v>2.537310320248648E-2</v>
      </c>
    </row>
    <row r="9" spans="1:29" s="5" customFormat="1" ht="16.5" customHeight="1" x14ac:dyDescent="0.25">
      <c r="A9" s="21">
        <v>0.5</v>
      </c>
      <c r="B9" s="21">
        <v>0.14000000000000001</v>
      </c>
      <c r="C9" s="21">
        <v>3.1419999999999999</v>
      </c>
      <c r="D9" s="21">
        <f t="shared" si="1"/>
        <v>1.5707963267948966</v>
      </c>
      <c r="E9" s="21">
        <v>0.7</v>
      </c>
      <c r="F9" s="21">
        <v>0.08</v>
      </c>
      <c r="G9" s="21">
        <v>3.927</v>
      </c>
      <c r="H9" s="21">
        <f t="shared" si="2"/>
        <v>1.5707963267948966</v>
      </c>
      <c r="I9" s="21">
        <v>0.4</v>
      </c>
      <c r="J9" s="21">
        <v>0</v>
      </c>
      <c r="K9" s="21">
        <v>0</v>
      </c>
      <c r="L9" s="5">
        <v>1.21408142149448E-4</v>
      </c>
      <c r="M9" s="5">
        <v>6.0930710285902002E-2</v>
      </c>
      <c r="N9" s="5">
        <v>-0.19216823577880901</v>
      </c>
      <c r="O9" s="5">
        <v>-0.45323920249938998</v>
      </c>
      <c r="P9" s="5">
        <v>-0.86372590065002397</v>
      </c>
      <c r="Q9" s="5">
        <v>-0.33691111207008401</v>
      </c>
      <c r="R9" s="5">
        <v>5.7942733687867207E-4</v>
      </c>
      <c r="S9" s="5">
        <v>7.8552181634502241E-2</v>
      </c>
      <c r="T9" s="5">
        <v>-0.18101381313821754</v>
      </c>
      <c r="U9" s="5">
        <v>-0.58593933322502278</v>
      </c>
      <c r="V9" s="5">
        <v>-0.83195069322732462</v>
      </c>
      <c r="W9" s="5">
        <v>-0.44511110326625025</v>
      </c>
      <c r="X9" s="5">
        <f t="shared" si="3"/>
        <v>-4.5801919472922406E-4</v>
      </c>
      <c r="Y9" s="5">
        <f t="shared" si="4"/>
        <v>-1.7621471348600239E-2</v>
      </c>
      <c r="Z9" s="5">
        <f t="shared" si="5"/>
        <v>-1.1154422640591466E-2</v>
      </c>
      <c r="AA9" s="5">
        <f t="shared" si="6"/>
        <v>0.1327001307256328</v>
      </c>
      <c r="AB9" s="5">
        <f t="shared" si="7"/>
        <v>-3.1775207422699348E-2</v>
      </c>
      <c r="AC9" s="5">
        <f t="shared" si="8"/>
        <v>0.10819999119616625</v>
      </c>
    </row>
    <row r="10" spans="1:29" s="5" customFormat="1" ht="16.5" customHeight="1" x14ac:dyDescent="0.25">
      <c r="A10" s="21">
        <v>0.7</v>
      </c>
      <c r="B10" s="21">
        <v>0.14000000000000001</v>
      </c>
      <c r="C10" s="21">
        <v>3.1419999999999999</v>
      </c>
      <c r="D10" s="21">
        <f t="shared" si="1"/>
        <v>1.5707963267948966</v>
      </c>
      <c r="E10" s="21">
        <v>0.5</v>
      </c>
      <c r="F10" s="21">
        <v>0.06</v>
      </c>
      <c r="G10" s="21">
        <v>3.927</v>
      </c>
      <c r="H10" s="21">
        <f t="shared" si="2"/>
        <v>1.5707963267948966</v>
      </c>
      <c r="I10" s="21">
        <v>0.8</v>
      </c>
      <c r="J10" s="21">
        <v>0</v>
      </c>
      <c r="K10" s="21">
        <v>0</v>
      </c>
      <c r="L10" s="5">
        <v>2.0413408055901501E-3</v>
      </c>
      <c r="M10" s="5">
        <v>5.3677611052990001E-2</v>
      </c>
      <c r="N10" s="5">
        <v>-0.22552120685577401</v>
      </c>
      <c r="O10" s="5">
        <v>-0.44799792766571001</v>
      </c>
      <c r="P10" s="5">
        <v>-1.0344259738922099</v>
      </c>
      <c r="Q10" s="5">
        <v>-0.34386280179023698</v>
      </c>
      <c r="R10" s="5">
        <v>1.9834103385447718E-3</v>
      </c>
      <c r="S10" s="5">
        <v>5.0548454289960514E-2</v>
      </c>
      <c r="T10" s="5">
        <v>-0.19343560464201523</v>
      </c>
      <c r="U10" s="5">
        <v>-0.59727202517246847</v>
      </c>
      <c r="V10" s="5">
        <v>-0.87068578180804557</v>
      </c>
      <c r="W10" s="5">
        <v>-0.33608249486532554</v>
      </c>
      <c r="X10" s="5">
        <f t="shared" si="3"/>
        <v>5.7930467045378374E-5</v>
      </c>
      <c r="Y10" s="5">
        <f t="shared" si="4"/>
        <v>3.1291567630294878E-3</v>
      </c>
      <c r="Z10" s="5">
        <f t="shared" si="5"/>
        <v>-3.2085602213758779E-2</v>
      </c>
      <c r="AA10" s="5">
        <f t="shared" si="6"/>
        <v>0.14927409750675846</v>
      </c>
      <c r="AB10" s="5">
        <f t="shared" si="7"/>
        <v>-0.16374019208416435</v>
      </c>
      <c r="AC10" s="5">
        <f t="shared" si="8"/>
        <v>-7.7803069249114398E-3</v>
      </c>
    </row>
    <row r="11" spans="1:29" s="5" customFormat="1" ht="16.5" customHeight="1" x14ac:dyDescent="0.25">
      <c r="A11" s="21">
        <v>0.4</v>
      </c>
      <c r="B11" s="21">
        <v>0.18</v>
      </c>
      <c r="C11" s="21">
        <v>3.1419999999999999</v>
      </c>
      <c r="D11" s="21">
        <f t="shared" si="1"/>
        <v>1.5707963267948966</v>
      </c>
      <c r="E11" s="21">
        <v>0.4</v>
      </c>
      <c r="F11" s="21">
        <v>0.02</v>
      </c>
      <c r="G11" s="21">
        <v>3.927</v>
      </c>
      <c r="H11" s="21">
        <f t="shared" si="2"/>
        <v>1.5707963267948966</v>
      </c>
      <c r="I11" s="21">
        <v>0</v>
      </c>
      <c r="J11" s="21">
        <v>0</v>
      </c>
      <c r="K11" s="21">
        <v>0</v>
      </c>
      <c r="L11" s="5">
        <v>-1.80347869172692E-3</v>
      </c>
      <c r="M11" s="5">
        <v>3.06784845888615E-2</v>
      </c>
      <c r="N11" s="5">
        <v>-0.130104705691338</v>
      </c>
      <c r="O11" s="5">
        <v>-0.345878034830093</v>
      </c>
      <c r="P11" s="5">
        <v>-0.53015172481536899</v>
      </c>
      <c r="Q11" s="5">
        <v>-0.25460425019264199</v>
      </c>
      <c r="R11" s="5">
        <v>6.634835228972783E-11</v>
      </c>
      <c r="S11" s="5">
        <v>3.0850404794934935E-2</v>
      </c>
      <c r="T11" s="5">
        <v>-0.12907839329887244</v>
      </c>
      <c r="U11" s="5">
        <v>-0.27459609907809823</v>
      </c>
      <c r="V11" s="5">
        <v>-0.60247642806028479</v>
      </c>
      <c r="W11" s="5">
        <v>-0.28165595091509094</v>
      </c>
      <c r="X11" s="5">
        <f t="shared" si="3"/>
        <v>-1.8034787580752723E-3</v>
      </c>
      <c r="Y11" s="5">
        <f t="shared" si="4"/>
        <v>-1.7192020607343511E-4</v>
      </c>
      <c r="Z11" s="5">
        <f t="shared" si="5"/>
        <v>-1.0263123924655615E-3</v>
      </c>
      <c r="AA11" s="5">
        <f t="shared" si="6"/>
        <v>-7.1281935751994763E-2</v>
      </c>
      <c r="AB11" s="5">
        <f t="shared" si="7"/>
        <v>7.23247032449158E-2</v>
      </c>
      <c r="AC11" s="5">
        <f t="shared" si="8"/>
        <v>2.7051700722448946E-2</v>
      </c>
    </row>
    <row r="12" spans="1:29" s="5" customFormat="1" ht="16.5" customHeight="1" x14ac:dyDescent="0.25">
      <c r="A12" s="22">
        <v>0.7</v>
      </c>
      <c r="B12" s="22">
        <v>0.18</v>
      </c>
      <c r="C12" s="22">
        <v>3.1419999999999999</v>
      </c>
      <c r="D12" s="22">
        <f t="shared" si="1"/>
        <v>1.5707963267948966</v>
      </c>
      <c r="E12" s="22">
        <v>0.8</v>
      </c>
      <c r="F12" s="22">
        <v>0.04</v>
      </c>
      <c r="G12" s="22">
        <v>3.927</v>
      </c>
      <c r="H12" s="22">
        <f t="shared" si="2"/>
        <v>1.5707963267948966</v>
      </c>
      <c r="I12" s="22">
        <v>0.4</v>
      </c>
      <c r="J12" s="22">
        <v>0</v>
      </c>
      <c r="K12" s="22">
        <v>0</v>
      </c>
      <c r="R12" s="5">
        <v>1.6736191331412206E-3</v>
      </c>
      <c r="S12" s="5">
        <v>7.0412555209885333E-2</v>
      </c>
      <c r="T12" s="5">
        <v>-0.21093571017146134</v>
      </c>
      <c r="U12" s="5">
        <v>-0.87367215842128609</v>
      </c>
      <c r="V12" s="5">
        <v>-0.84353888411849676</v>
      </c>
      <c r="W12" s="5">
        <v>-0.54323493917724786</v>
      </c>
      <c r="X12" s="5">
        <f t="shared" si="3"/>
        <v>-1.6736191331412206E-3</v>
      </c>
      <c r="Y12" s="5">
        <f t="shared" si="4"/>
        <v>-7.0412555209885333E-2</v>
      </c>
      <c r="Z12" s="5">
        <f t="shared" si="5"/>
        <v>0.21093571017146134</v>
      </c>
      <c r="AA12" s="5">
        <f t="shared" si="6"/>
        <v>0.87367215842128609</v>
      </c>
      <c r="AB12" s="5">
        <f t="shared" si="7"/>
        <v>0.84353888411849676</v>
      </c>
      <c r="AC12" s="5">
        <f t="shared" si="8"/>
        <v>0.54323493917724786</v>
      </c>
    </row>
    <row r="13" spans="1:29" s="5" customFormat="1" ht="16.5" customHeight="1" x14ac:dyDescent="0.25">
      <c r="A13" s="21">
        <v>0.3</v>
      </c>
      <c r="B13" s="21">
        <v>0.12</v>
      </c>
      <c r="C13" s="21">
        <v>4.7119999999999997</v>
      </c>
      <c r="D13" s="21">
        <f t="shared" si="1"/>
        <v>1.5707963267948966</v>
      </c>
      <c r="E13" s="21">
        <v>0.3</v>
      </c>
      <c r="F13" s="21">
        <v>0.04</v>
      </c>
      <c r="G13" s="21">
        <v>4.7119999999999997</v>
      </c>
      <c r="H13" s="21">
        <f t="shared" si="2"/>
        <v>1.5707963267948966</v>
      </c>
      <c r="I13" s="21">
        <v>0.4</v>
      </c>
      <c r="J13" s="21">
        <v>0</v>
      </c>
      <c r="K13" s="21">
        <v>0</v>
      </c>
      <c r="L13" s="5">
        <v>-9.0274820104241404E-4</v>
      </c>
      <c r="M13" s="5">
        <v>9.5996417105197906E-2</v>
      </c>
      <c r="N13" s="5">
        <v>-8.7546631693839992E-3</v>
      </c>
      <c r="O13" s="5">
        <v>-0.111510291695595</v>
      </c>
      <c r="P13" s="5">
        <v>-6.3374787569046007E-2</v>
      </c>
      <c r="Q13" s="5">
        <v>-0.53375589847564697</v>
      </c>
      <c r="R13" s="5">
        <v>-6.4930280371076237E-4</v>
      </c>
      <c r="S13" s="5">
        <v>0.10090281886412099</v>
      </c>
      <c r="T13" s="5">
        <v>-6.0118817459419067E-5</v>
      </c>
      <c r="U13" s="5">
        <v>-0.10382416136917055</v>
      </c>
      <c r="V13" s="5">
        <v>-1.0447926749942581E-3</v>
      </c>
      <c r="W13" s="5">
        <v>-0.59042129236390162</v>
      </c>
      <c r="X13" s="5">
        <f t="shared" si="3"/>
        <v>-2.5344539733165167E-4</v>
      </c>
      <c r="Y13" s="5">
        <f t="shared" si="4"/>
        <v>-4.9064017589230818E-3</v>
      </c>
      <c r="Z13" s="5">
        <f t="shared" si="5"/>
        <v>-8.69454435192458E-3</v>
      </c>
      <c r="AA13" s="5">
        <f t="shared" si="6"/>
        <v>-7.6861303264244424E-3</v>
      </c>
      <c r="AB13" s="5">
        <f t="shared" si="7"/>
        <v>-6.2329994894051749E-2</v>
      </c>
      <c r="AC13" s="5">
        <f t="shared" si="8"/>
        <v>5.6665393888254645E-2</v>
      </c>
    </row>
    <row r="14" spans="1:29" s="5" customFormat="1" ht="16.5" customHeight="1" x14ac:dyDescent="0.25">
      <c r="A14" s="21">
        <v>0.8</v>
      </c>
      <c r="B14" s="21">
        <v>0.12</v>
      </c>
      <c r="C14" s="21">
        <v>4.7119999999999997</v>
      </c>
      <c r="D14" s="21">
        <f t="shared" si="1"/>
        <v>1.5707963267948966</v>
      </c>
      <c r="E14" s="21">
        <v>0.7</v>
      </c>
      <c r="F14" s="21">
        <v>0.02</v>
      </c>
      <c r="G14" s="21">
        <v>3.1419999999999999</v>
      </c>
      <c r="H14" s="21">
        <f t="shared" si="2"/>
        <v>1.5707963267948966</v>
      </c>
      <c r="I14" s="21">
        <v>0</v>
      </c>
      <c r="J14" s="21">
        <v>0</v>
      </c>
      <c r="K14" s="21">
        <v>0</v>
      </c>
      <c r="L14" s="5">
        <v>7.30549916625023E-4</v>
      </c>
      <c r="M14" s="5">
        <v>0.18510913848877</v>
      </c>
      <c r="N14" s="5">
        <v>-7.8640699386596694E-2</v>
      </c>
      <c r="O14" s="5">
        <v>-0.26385891437530501</v>
      </c>
      <c r="P14" s="5">
        <v>-0.69346159696579002</v>
      </c>
      <c r="Q14" s="5">
        <v>-0.87223374843597401</v>
      </c>
      <c r="R14" s="5">
        <v>-8.6035865725824949E-11</v>
      </c>
      <c r="S14" s="5">
        <v>0.15407637520926074</v>
      </c>
      <c r="T14" s="5">
        <v>-7.6119944054771321E-2</v>
      </c>
      <c r="U14" s="5">
        <v>-0.43180189336782249</v>
      </c>
      <c r="V14" s="5">
        <v>-0.69496821165993783</v>
      </c>
      <c r="W14" s="5">
        <v>-0.67810472091743668</v>
      </c>
      <c r="X14" s="5">
        <f t="shared" si="3"/>
        <v>7.3055000266088871E-4</v>
      </c>
      <c r="Y14" s="5">
        <f t="shared" si="4"/>
        <v>3.1032763279509268E-2</v>
      </c>
      <c r="Z14" s="5">
        <f t="shared" si="5"/>
        <v>-2.5207553318253723E-3</v>
      </c>
      <c r="AA14" s="5">
        <f t="shared" si="6"/>
        <v>0.16794297899251748</v>
      </c>
      <c r="AB14" s="5">
        <f t="shared" si="7"/>
        <v>1.506614694147812E-3</v>
      </c>
      <c r="AC14" s="5">
        <f t="shared" si="8"/>
        <v>-0.19412902751853733</v>
      </c>
    </row>
    <row r="15" spans="1:29" s="5" customFormat="1" ht="16.5" customHeight="1" x14ac:dyDescent="0.25">
      <c r="A15" s="21">
        <v>0.4</v>
      </c>
      <c r="B15" s="21">
        <v>0.18</v>
      </c>
      <c r="C15" s="21">
        <v>4.7119999999999997</v>
      </c>
      <c r="D15" s="21">
        <f t="shared" si="1"/>
        <v>1.5707963267948966</v>
      </c>
      <c r="E15" s="21">
        <v>0.5</v>
      </c>
      <c r="F15" s="21">
        <v>0.06</v>
      </c>
      <c r="G15" s="21">
        <v>3.1419999999999999</v>
      </c>
      <c r="H15" s="21">
        <f t="shared" si="2"/>
        <v>1.5707963267948966</v>
      </c>
      <c r="I15" s="21">
        <v>0.4</v>
      </c>
      <c r="J15" s="21">
        <v>0</v>
      </c>
      <c r="K15" s="21">
        <v>0</v>
      </c>
      <c r="L15" s="5">
        <v>-2.9432689771056201E-3</v>
      </c>
      <c r="M15" s="5">
        <v>9.8053239285945906E-2</v>
      </c>
      <c r="N15" s="5">
        <v>-7.0226937532424899E-2</v>
      </c>
      <c r="O15" s="5">
        <v>-0.235873714089394</v>
      </c>
      <c r="P15" s="5">
        <v>-0.46341708302497903</v>
      </c>
      <c r="Q15" s="5">
        <v>-0.29305437207222002</v>
      </c>
      <c r="R15" s="5">
        <v>-1.6050093671521094E-3</v>
      </c>
      <c r="S15" s="5">
        <v>9.9109978905860666E-2</v>
      </c>
      <c r="T15" s="5">
        <v>-7.313697661954803E-2</v>
      </c>
      <c r="U15" s="5">
        <v>-0.26037049779857196</v>
      </c>
      <c r="V15" s="5">
        <v>-0.48686498966310143</v>
      </c>
      <c r="W15" s="5">
        <v>-0.32623057064147171</v>
      </c>
      <c r="X15" s="5">
        <f t="shared" si="3"/>
        <v>-1.3382596099535107E-3</v>
      </c>
      <c r="Y15" s="5">
        <f t="shared" si="4"/>
        <v>-1.0567396199147594E-3</v>
      </c>
      <c r="Z15" s="5">
        <f t="shared" si="5"/>
        <v>2.9100390871231313E-3</v>
      </c>
      <c r="AA15" s="5">
        <f t="shared" si="6"/>
        <v>2.4496783709177961E-2</v>
      </c>
      <c r="AB15" s="5">
        <f t="shared" si="7"/>
        <v>2.3447906638122407E-2</v>
      </c>
      <c r="AC15" s="5">
        <f t="shared" si="8"/>
        <v>3.3176198569251691E-2</v>
      </c>
    </row>
    <row r="16" spans="1:29" s="5" customFormat="1" ht="16.5" customHeight="1" x14ac:dyDescent="0.25">
      <c r="A16" s="21">
        <v>0.5</v>
      </c>
      <c r="B16" s="21">
        <v>0.2</v>
      </c>
      <c r="C16" s="21">
        <v>4.7119999999999997</v>
      </c>
      <c r="D16" s="21">
        <f t="shared" si="1"/>
        <v>1.5707963267948966</v>
      </c>
      <c r="E16" s="21">
        <v>0.7</v>
      </c>
      <c r="F16" s="21">
        <v>0.02</v>
      </c>
      <c r="G16" s="21">
        <v>4.7119999999999997</v>
      </c>
      <c r="H16" s="21">
        <f t="shared" si="2"/>
        <v>1.5707963267948966</v>
      </c>
      <c r="I16" s="21">
        <v>0.8</v>
      </c>
      <c r="J16" s="21">
        <v>0</v>
      </c>
      <c r="K16" s="21">
        <v>0</v>
      </c>
      <c r="L16" s="5">
        <v>-8.9650582522153906E-3</v>
      </c>
      <c r="M16" s="5">
        <v>0.193452998995781</v>
      </c>
      <c r="N16" s="5">
        <v>-2.2679660469293601E-2</v>
      </c>
      <c r="O16" s="5">
        <v>-0.444032043218613</v>
      </c>
      <c r="P16" s="5">
        <v>-0.175033524632454</v>
      </c>
      <c r="Q16" s="5">
        <v>-0.91890478134155296</v>
      </c>
      <c r="R16" s="5">
        <v>-5.2469320303672228E-3</v>
      </c>
      <c r="S16" s="5">
        <v>0.19565597550459798</v>
      </c>
      <c r="T16" s="5">
        <v>3.2828765289681222E-6</v>
      </c>
      <c r="U16" s="5">
        <v>-0.50486681682380263</v>
      </c>
      <c r="V16" s="5">
        <v>-1.733413585923816E-2</v>
      </c>
      <c r="W16" s="5">
        <v>-1.0071398712547539</v>
      </c>
      <c r="X16" s="5">
        <f t="shared" si="3"/>
        <v>-3.7181262218481679E-3</v>
      </c>
      <c r="Y16" s="5">
        <f t="shared" si="4"/>
        <v>-2.2029765088169839E-3</v>
      </c>
      <c r="Z16" s="5">
        <f t="shared" si="5"/>
        <v>-2.2682943345822569E-2</v>
      </c>
      <c r="AA16" s="5">
        <f t="shared" si="6"/>
        <v>6.0834773605189629E-2</v>
      </c>
      <c r="AB16" s="5">
        <f t="shared" si="7"/>
        <v>-0.15769938877321585</v>
      </c>
      <c r="AC16" s="5">
        <f t="shared" si="8"/>
        <v>8.8235089913200948E-2</v>
      </c>
    </row>
    <row r="17" spans="1:29" s="5" customFormat="1" ht="16.5" customHeight="1" x14ac:dyDescent="0.25">
      <c r="A17" s="22">
        <v>0.7</v>
      </c>
      <c r="B17" s="22">
        <v>0.2</v>
      </c>
      <c r="C17" s="22">
        <v>4.7119999999999997</v>
      </c>
      <c r="D17" s="22">
        <f t="shared" si="1"/>
        <v>1.5707963267948966</v>
      </c>
      <c r="E17" s="22">
        <v>0.3</v>
      </c>
      <c r="F17" s="22">
        <v>0.08</v>
      </c>
      <c r="G17" s="22">
        <v>3.1419999999999999</v>
      </c>
      <c r="H17" s="22">
        <f t="shared" si="2"/>
        <v>1.5707963267948966</v>
      </c>
      <c r="I17" s="22">
        <v>0</v>
      </c>
      <c r="J17" s="22">
        <v>0</v>
      </c>
      <c r="K17" s="22">
        <v>0</v>
      </c>
      <c r="R17" s="5">
        <v>-1.6818369658040403E-11</v>
      </c>
      <c r="S17" s="5">
        <v>0.135368010712376</v>
      </c>
      <c r="T17" s="5">
        <v>-4.4999656294762096E-2</v>
      </c>
      <c r="U17" s="5">
        <v>-0.69017175029150413</v>
      </c>
      <c r="V17" s="5">
        <v>-0.24716895105233377</v>
      </c>
      <c r="W17" s="5">
        <v>-0.20603559446900607</v>
      </c>
      <c r="X17" s="5">
        <f t="shared" si="3"/>
        <v>1.6818369658040403E-11</v>
      </c>
      <c r="Y17" s="5">
        <f t="shared" si="4"/>
        <v>-0.135368010712376</v>
      </c>
      <c r="Z17" s="5">
        <f t="shared" si="5"/>
        <v>4.4999656294762096E-2</v>
      </c>
      <c r="AA17" s="5">
        <f t="shared" si="6"/>
        <v>0.69017175029150413</v>
      </c>
      <c r="AB17" s="5">
        <f t="shared" si="7"/>
        <v>0.24716895105233377</v>
      </c>
      <c r="AC17" s="5">
        <f t="shared" si="8"/>
        <v>0.20603559446900607</v>
      </c>
    </row>
    <row r="18" spans="1:29" ht="16.5" customHeight="1" x14ac:dyDescent="0.25">
      <c r="X18" s="16"/>
      <c r="Y18" s="16"/>
      <c r="Z18" s="16"/>
      <c r="AA18" s="16"/>
      <c r="AB18" s="16"/>
      <c r="AC18" s="16"/>
    </row>
    <row r="19" spans="1:29" ht="16.5" customHeight="1" x14ac:dyDescent="0.25">
      <c r="L19" s="12"/>
      <c r="R19" s="20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topLeftCell="P1" workbookViewId="0">
      <pane ySplit="2" topLeftCell="A3" activePane="bottomLeft" state="frozen"/>
      <selection activeCell="K1" sqref="K1"/>
      <selection pane="bottomLeft" activeCell="AB25" sqref="AB2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8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5" t="s">
        <v>6</v>
      </c>
      <c r="M1" s="26"/>
      <c r="N1" s="26"/>
      <c r="O1" s="26"/>
      <c r="P1" s="26"/>
      <c r="Q1" s="26"/>
      <c r="R1" s="35" t="s">
        <v>7</v>
      </c>
      <c r="S1" s="36"/>
      <c r="T1" s="36"/>
      <c r="U1" s="36"/>
      <c r="V1" s="36"/>
      <c r="W1" s="36"/>
      <c r="X1" s="36"/>
      <c r="Y1" s="36"/>
      <c r="Z1" s="36"/>
      <c r="AA1" s="33" t="s">
        <v>13</v>
      </c>
      <c r="AB1" s="33"/>
      <c r="AC1" s="33"/>
      <c r="AD1" s="33"/>
      <c r="AE1" s="33"/>
      <c r="AF1" s="33"/>
      <c r="AG1" s="33"/>
      <c r="AH1" s="33"/>
      <c r="AI1" s="34" t="s">
        <v>36</v>
      </c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6" t="s">
        <v>33</v>
      </c>
      <c r="AJ2" s="6" t="s">
        <v>34</v>
      </c>
      <c r="AK2" s="6" t="s">
        <v>35</v>
      </c>
      <c r="AL2" s="32" t="s">
        <v>31</v>
      </c>
      <c r="AM2" s="32"/>
      <c r="AN2" s="32"/>
      <c r="AO2" s="32"/>
      <c r="AP2" s="32"/>
      <c r="AQ2" s="32"/>
      <c r="AR2" s="32"/>
      <c r="AS2" s="32"/>
    </row>
    <row r="3" spans="1:45" ht="15.75" x14ac:dyDescent="0.25">
      <c r="A3" s="5">
        <f>'Proximal Validation'!A3</f>
        <v>0.5</v>
      </c>
      <c r="B3" s="5">
        <f>'Proximal Validation'!B3</f>
        <v>0.12</v>
      </c>
      <c r="C3" s="5">
        <f>'Proximal Validation'!C3</f>
        <v>1.57</v>
      </c>
      <c r="D3" s="5">
        <f>'Proximal Validation'!D3</f>
        <v>1.5707963267948966</v>
      </c>
      <c r="E3" s="5">
        <f>'Proximal Validation'!E3</f>
        <v>0.3</v>
      </c>
      <c r="F3" s="5">
        <f>'Proximal Validation'!F3</f>
        <v>0.02</v>
      </c>
      <c r="G3" s="5">
        <f>'Proximal Validation'!G3</f>
        <v>3.1419999999999999</v>
      </c>
      <c r="H3" s="5">
        <f>'Proximal Validation'!H3</f>
        <v>1.5707963267948966</v>
      </c>
      <c r="I3" s="5">
        <f>'Proximal Validation'!I3</f>
        <v>0.8</v>
      </c>
      <c r="J3" s="5">
        <f>'Proximal Validation'!J3</f>
        <v>0</v>
      </c>
      <c r="K3" s="5">
        <f>'Proximal Validation'!K3</f>
        <v>0</v>
      </c>
      <c r="L3" s="5">
        <f>'Proximal Validation'!L3</f>
        <v>3.3966472838073999E-3</v>
      </c>
      <c r="M3" s="5">
        <f>'Proximal Validation'!M3</f>
        <v>-8.4817789494991302E-2</v>
      </c>
      <c r="N3" s="5">
        <f>'Proximal Validation'!N3</f>
        <v>-3.2525759190321003E-2</v>
      </c>
      <c r="O3" s="5">
        <f>'Proximal Validation'!O3</f>
        <v>-0.186183482408524</v>
      </c>
      <c r="P3" s="5">
        <f>'Proximal Validation'!P3</f>
        <v>-0.290946185588837</v>
      </c>
      <c r="Q3" s="5">
        <f>'Proximal Validation'!Q3</f>
        <v>0.34101566672325101</v>
      </c>
      <c r="R3" s="5">
        <v>0.30284643926554311</v>
      </c>
      <c r="S3" s="5">
        <v>0.18042201354613208</v>
      </c>
      <c r="T3" s="5">
        <v>1.3170035759268346</v>
      </c>
      <c r="U3" s="5">
        <v>1.5707963267948966</v>
      </c>
      <c r="V3" s="5">
        <v>0.36631748595264046</v>
      </c>
      <c r="W3" s="5">
        <v>5.7266697880348646E-2</v>
      </c>
      <c r="X3" s="5">
        <v>2.9130067337740453</v>
      </c>
      <c r="Y3" s="5">
        <v>1.5707963267948966</v>
      </c>
      <c r="Z3" s="18">
        <v>5.3817154116451009E-7</v>
      </c>
      <c r="AA3" s="5">
        <f t="shared" ref="AA3:AA16" si="0">R3-A3</f>
        <v>-0.19715356073445689</v>
      </c>
      <c r="AB3" s="5">
        <f t="shared" ref="AB3:AB16" si="1">S3-B3</f>
        <v>6.0422013546132081E-2</v>
      </c>
      <c r="AC3" s="5">
        <f t="shared" ref="AC3:AC16" si="2">T3-C3</f>
        <v>-0.25299642407316547</v>
      </c>
      <c r="AD3" s="5">
        <f t="shared" ref="AD3:AD16" si="3">U3-D3</f>
        <v>0</v>
      </c>
      <c r="AE3" s="5">
        <f t="shared" ref="AE3:AE16" si="4">V3-E3</f>
        <v>6.6317485952640476E-2</v>
      </c>
      <c r="AF3" s="5">
        <f t="shared" ref="AF3:AF16" si="5">W3-F3</f>
        <v>3.7266697880348643E-2</v>
      </c>
      <c r="AG3" s="5">
        <f t="shared" ref="AG3:AG16" si="6">X3-G3</f>
        <v>-0.22899326622595462</v>
      </c>
      <c r="AH3" s="5">
        <f t="shared" ref="AH3:AH16" si="7">Y3-H3</f>
        <v>0</v>
      </c>
      <c r="AI3" s="8">
        <f>AVERAGE(ABS(AA3),ABS(AE3))</f>
        <v>0.13173552334354868</v>
      </c>
      <c r="AJ3" s="8">
        <f t="shared" ref="AJ3:AK16" si="8">AVERAGE(ABS(AB3),ABS(AF3))</f>
        <v>4.8844355713240362E-2</v>
      </c>
      <c r="AK3" s="8">
        <f t="shared" si="8"/>
        <v>0.24099484514956004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3">
        <f>'Proximal Validation'!A4</f>
        <v>0.5</v>
      </c>
      <c r="B4" s="13">
        <f>'Proximal Validation'!B4</f>
        <v>0.12</v>
      </c>
      <c r="C4" s="13">
        <f>'Proximal Validation'!C4</f>
        <v>1.57</v>
      </c>
      <c r="D4" s="13">
        <f>'Proximal Validation'!D4</f>
        <v>1.5707963267948966</v>
      </c>
      <c r="E4" s="13">
        <f>'Proximal Validation'!E4</f>
        <v>0.7</v>
      </c>
      <c r="F4" s="13">
        <f>'Proximal Validation'!F4</f>
        <v>0.06</v>
      </c>
      <c r="G4" s="13">
        <f>'Proximal Validation'!G4</f>
        <v>4.7119999999999997</v>
      </c>
      <c r="H4" s="13">
        <f>'Proximal Validation'!H4</f>
        <v>1.5707963267948966</v>
      </c>
      <c r="I4" s="13">
        <f>'Proximal Validation'!I4</f>
        <v>0</v>
      </c>
      <c r="J4" s="13">
        <f>'Proximal Validation'!J4</f>
        <v>0</v>
      </c>
      <c r="K4" s="13">
        <f>'Proximal Validation'!K4</f>
        <v>0</v>
      </c>
      <c r="L4" s="13">
        <f>'Proximal Validation'!L4</f>
        <v>2.92063690721989E-4</v>
      </c>
      <c r="M4" s="13">
        <f>'Proximal Validation'!M4</f>
        <v>-1.4378885738551599E-2</v>
      </c>
      <c r="N4" s="13">
        <f>'Proximal Validation'!N4</f>
        <v>5.1419169176369895E-4</v>
      </c>
      <c r="O4" s="13">
        <f>'Proximal Validation'!O4</f>
        <v>-1.40395248308778E-2</v>
      </c>
      <c r="P4" s="13">
        <f>'Proximal Validation'!P4</f>
        <v>-3.9881169795989999E-3</v>
      </c>
      <c r="Q4" s="13">
        <f>'Proximal Validation'!Q4</f>
        <v>-0.148137778043747</v>
      </c>
      <c r="R4" s="13">
        <v>0.52129897361930477</v>
      </c>
      <c r="S4" s="13">
        <v>7.9133524156749013E-2</v>
      </c>
      <c r="T4" s="13">
        <v>1.5393487902005618</v>
      </c>
      <c r="U4" s="13">
        <v>1.5707963267948966</v>
      </c>
      <c r="V4" s="13">
        <v>0.66120326094043824</v>
      </c>
      <c r="W4" s="13">
        <v>2.250406338348471E-2</v>
      </c>
      <c r="X4" s="13">
        <v>4.681860255940359</v>
      </c>
      <c r="Y4" s="13">
        <v>1.5707963267948966</v>
      </c>
      <c r="Z4" s="19">
        <v>3.3718544501078629E-7</v>
      </c>
      <c r="AA4" s="13">
        <f t="shared" si="0"/>
        <v>2.1298973619304773E-2</v>
      </c>
      <c r="AB4" s="13">
        <f t="shared" si="1"/>
        <v>-4.0866475843250982E-2</v>
      </c>
      <c r="AC4" s="13">
        <f t="shared" si="2"/>
        <v>-3.065120979943825E-2</v>
      </c>
      <c r="AD4" s="13">
        <f t="shared" si="3"/>
        <v>0</v>
      </c>
      <c r="AE4" s="13">
        <f t="shared" si="4"/>
        <v>-3.8796739059561713E-2</v>
      </c>
      <c r="AF4" s="13">
        <f t="shared" si="5"/>
        <v>-3.7495936616515291E-2</v>
      </c>
      <c r="AG4" s="13">
        <f t="shared" si="6"/>
        <v>-3.0139744059640705E-2</v>
      </c>
      <c r="AH4" s="13">
        <f t="shared" si="7"/>
        <v>0</v>
      </c>
      <c r="AI4" s="15">
        <f t="shared" ref="AI4:AI16" si="9">AVERAGE(ABS(AA4),ABS(AE4))</f>
        <v>3.0047856339433243E-2</v>
      </c>
      <c r="AJ4" s="15">
        <f t="shared" si="8"/>
        <v>3.9181206229883137E-2</v>
      </c>
      <c r="AK4" s="15">
        <f t="shared" si="8"/>
        <v>3.0395476929539478E-2</v>
      </c>
      <c r="AL4" s="7" cm="1">
        <f t="array" ref="AL4">AVERAGE(ABS(AA3:AA17))</f>
        <v>0.16177430613798413</v>
      </c>
      <c r="AM4" s="7" cm="1">
        <f t="array" ref="AM4">AVERAGE(ABS(AB3:AB17))</f>
        <v>3.1944271834984786E-2</v>
      </c>
      <c r="AN4" s="7" cm="1">
        <f t="array" ref="AN4">AVERAGE(ABS(AC3:AC17))</f>
        <v>0.17613991234725301</v>
      </c>
      <c r="AO4" s="7" cm="1">
        <f t="array" ref="AO4">AVERAGE(ABS(AD3:AD17))</f>
        <v>0</v>
      </c>
      <c r="AP4" s="7" cm="1">
        <f t="array" ref="AP4">AVERAGE(ABS(AE3:AE17))</f>
        <v>0.13823527209979403</v>
      </c>
      <c r="AQ4" s="7" cm="1">
        <f t="array" ref="AQ4">AVERAGE(ABS(AF3:AF17))</f>
        <v>2.1558604653991269E-2</v>
      </c>
      <c r="AR4" s="7" cm="1">
        <f t="array" ref="AR4">AVERAGE(ABS(AG3:AG17))</f>
        <v>0.26261473107098998</v>
      </c>
      <c r="AS4" s="7" cm="1">
        <f t="array" ref="AS4">AVERAGE(ABS(AH3:AH17))</f>
        <v>0</v>
      </c>
    </row>
    <row r="5" spans="1:45" x14ac:dyDescent="0.25">
      <c r="A5" s="5">
        <f>'Proximal Validation'!A5</f>
        <v>0.8</v>
      </c>
      <c r="B5" s="5">
        <f>'Proximal Validation'!B5</f>
        <v>0.18</v>
      </c>
      <c r="C5" s="5">
        <f>'Proximal Validation'!C5</f>
        <v>1.57</v>
      </c>
      <c r="D5" s="5">
        <f>'Proximal Validation'!D5</f>
        <v>1.5707963267948966</v>
      </c>
      <c r="E5" s="5">
        <f>'Proximal Validation'!E5</f>
        <v>0.4</v>
      </c>
      <c r="F5" s="5">
        <f>'Proximal Validation'!F5</f>
        <v>0.08</v>
      </c>
      <c r="G5" s="5">
        <f>'Proximal Validation'!G5</f>
        <v>4.7119999999999997</v>
      </c>
      <c r="H5" s="5">
        <f>'Proximal Validation'!H5</f>
        <v>1.5707963267948966</v>
      </c>
      <c r="I5" s="5">
        <f>'Proximal Validation'!I5</f>
        <v>0.4</v>
      </c>
      <c r="J5" s="5">
        <f>'Proximal Validation'!J5</f>
        <v>0</v>
      </c>
      <c r="K5" s="5">
        <f>'Proximal Validation'!K5</f>
        <v>0</v>
      </c>
      <c r="L5" s="5">
        <f>'Proximal Validation'!L5</f>
        <v>2.6918570511043102E-3</v>
      </c>
      <c r="M5" s="5">
        <f>'Proximal Validation'!M5</f>
        <v>-9.7128830850124401E-2</v>
      </c>
      <c r="N5" s="5">
        <f>'Proximal Validation'!N5</f>
        <v>5.0861202180385598E-3</v>
      </c>
      <c r="O5" s="5">
        <f>'Proximal Validation'!O5</f>
        <v>-0.40724512934684798</v>
      </c>
      <c r="P5" s="5">
        <f>'Proximal Validation'!P5</f>
        <v>1.0805079713463801E-2</v>
      </c>
      <c r="Q5" s="5">
        <f>'Proximal Validation'!Q5</f>
        <v>3.2090678811073303E-2</v>
      </c>
      <c r="R5" s="5">
        <v>0.55844560609361826</v>
      </c>
      <c r="S5" s="5">
        <v>0.19992271710071371</v>
      </c>
      <c r="T5" s="5">
        <v>1.5439489710981036</v>
      </c>
      <c r="U5" s="5">
        <v>1.5707963267948966</v>
      </c>
      <c r="V5" s="5">
        <v>0.24253142947988887</v>
      </c>
      <c r="W5" s="5">
        <v>2.8014792950695443E-2</v>
      </c>
      <c r="X5" s="5">
        <v>4.7748407677720337</v>
      </c>
      <c r="Y5" s="5">
        <v>1.5707963267948966</v>
      </c>
      <c r="Z5" s="18">
        <v>6.421708136229098E-7</v>
      </c>
      <c r="AA5" s="5">
        <f t="shared" si="0"/>
        <v>-0.24155439390638178</v>
      </c>
      <c r="AB5" s="5">
        <f t="shared" si="1"/>
        <v>1.9922717100713722E-2</v>
      </c>
      <c r="AC5" s="5">
        <f t="shared" si="2"/>
        <v>-2.6051028901896478E-2</v>
      </c>
      <c r="AD5" s="5">
        <f t="shared" si="3"/>
        <v>0</v>
      </c>
      <c r="AE5" s="5">
        <f t="shared" si="4"/>
        <v>-0.15746857052011115</v>
      </c>
      <c r="AF5" s="5">
        <f t="shared" si="5"/>
        <v>-5.1985207049304559E-2</v>
      </c>
      <c r="AG5" s="5">
        <f t="shared" si="6"/>
        <v>6.2840767772033956E-2</v>
      </c>
      <c r="AH5" s="5">
        <f t="shared" si="7"/>
        <v>0</v>
      </c>
      <c r="AI5" s="8">
        <f t="shared" si="9"/>
        <v>0.19951148221324647</v>
      </c>
      <c r="AJ5" s="8">
        <f t="shared" si="8"/>
        <v>3.5953962075009144E-2</v>
      </c>
      <c r="AK5" s="8">
        <f t="shared" si="8"/>
        <v>4.4445898336965217E-2</v>
      </c>
      <c r="AL5" s="32" t="s">
        <v>32</v>
      </c>
      <c r="AM5" s="32"/>
      <c r="AN5" s="32"/>
      <c r="AO5" s="32"/>
      <c r="AP5" s="32"/>
      <c r="AQ5" s="32"/>
      <c r="AR5" s="32"/>
      <c r="AS5" s="32"/>
    </row>
    <row r="6" spans="1:45" x14ac:dyDescent="0.25">
      <c r="A6" s="5">
        <f>'Proximal Validation'!A6</f>
        <v>0.3</v>
      </c>
      <c r="B6" s="5">
        <f>'Proximal Validation'!B6</f>
        <v>0.2</v>
      </c>
      <c r="C6" s="5">
        <f>'Proximal Validation'!C6</f>
        <v>1.57</v>
      </c>
      <c r="D6" s="5">
        <f>'Proximal Validation'!D6</f>
        <v>1.5707963267948966</v>
      </c>
      <c r="E6" s="5">
        <f>'Proximal Validation'!E6</f>
        <v>0.7</v>
      </c>
      <c r="F6" s="5">
        <f>'Proximal Validation'!F6</f>
        <v>0.04</v>
      </c>
      <c r="G6" s="5">
        <f>'Proximal Validation'!G6</f>
        <v>3.1419999999999999</v>
      </c>
      <c r="H6" s="5">
        <f>'Proximal Validation'!H6</f>
        <v>1.5707963267948966</v>
      </c>
      <c r="I6" s="5">
        <f>'Proximal Validation'!I6</f>
        <v>0.4</v>
      </c>
      <c r="J6" s="5">
        <f>'Proximal Validation'!J6</f>
        <v>0</v>
      </c>
      <c r="K6" s="5">
        <f>'Proximal Validation'!K6</f>
        <v>0</v>
      </c>
      <c r="L6" s="5">
        <f>'Proximal Validation'!L6</f>
        <v>1.2694518081843901E-3</v>
      </c>
      <c r="M6" s="5">
        <f>'Proximal Validation'!M6</f>
        <v>-5.2426334470510497E-2</v>
      </c>
      <c r="N6" s="5">
        <f>'Proximal Validation'!N6</f>
        <v>-8.8403537869453402E-2</v>
      </c>
      <c r="O6" s="5">
        <f>'Proximal Validation'!O6</f>
        <v>-0.16237765550613401</v>
      </c>
      <c r="P6" s="5">
        <f>'Proximal Validation'!P6</f>
        <v>-0.67368566989898704</v>
      </c>
      <c r="Q6" s="5">
        <f>'Proximal Validation'!Q6</f>
        <v>6.8886458873748793E-2</v>
      </c>
      <c r="R6" s="5">
        <v>0.49796523366692214</v>
      </c>
      <c r="S6" s="5">
        <v>0.12990301156367673</v>
      </c>
      <c r="T6" s="5">
        <v>1.5890683923683391</v>
      </c>
      <c r="U6" s="5">
        <v>1.5707963267948966</v>
      </c>
      <c r="V6" s="5">
        <v>0.77787614875594191</v>
      </c>
      <c r="W6" s="5">
        <v>4.133105727127951E-2</v>
      </c>
      <c r="X6" s="5">
        <v>3.6828585720992462</v>
      </c>
      <c r="Y6" s="5">
        <v>1.5707963267948966</v>
      </c>
      <c r="Z6" s="18">
        <v>2.291887476317067E-7</v>
      </c>
      <c r="AA6" s="5">
        <f t="shared" si="0"/>
        <v>0.19796523366692215</v>
      </c>
      <c r="AB6" s="5">
        <f t="shared" si="1"/>
        <v>-7.0096988436323282E-2</v>
      </c>
      <c r="AC6" s="5">
        <f t="shared" si="2"/>
        <v>1.9068392368339016E-2</v>
      </c>
      <c r="AD6" s="5">
        <f t="shared" si="3"/>
        <v>0</v>
      </c>
      <c r="AE6" s="5">
        <f t="shared" si="4"/>
        <v>7.7876148755941954E-2</v>
      </c>
      <c r="AF6" s="5">
        <f t="shared" si="5"/>
        <v>1.3310572712795093E-3</v>
      </c>
      <c r="AG6" s="5">
        <f t="shared" si="6"/>
        <v>0.54085857209924626</v>
      </c>
      <c r="AH6" s="5">
        <f t="shared" si="7"/>
        <v>0</v>
      </c>
      <c r="AI6" s="8">
        <f t="shared" si="9"/>
        <v>0.13792069121143205</v>
      </c>
      <c r="AJ6" s="8">
        <f t="shared" si="8"/>
        <v>3.5714022853801396E-2</v>
      </c>
      <c r="AK6" s="8">
        <f t="shared" si="8"/>
        <v>0.27996348223379264</v>
      </c>
      <c r="AL6" s="6" t="s">
        <v>33</v>
      </c>
      <c r="AM6" s="6" t="s">
        <v>34</v>
      </c>
      <c r="AN6" s="6" t="s">
        <v>35</v>
      </c>
      <c r="AO6" s="7"/>
      <c r="AP6" s="7"/>
      <c r="AQ6" s="7"/>
      <c r="AR6" s="7"/>
      <c r="AS6" s="7"/>
    </row>
    <row r="7" spans="1:45" x14ac:dyDescent="0.25">
      <c r="A7" s="5">
        <f>'Proximal Validation'!A7</f>
        <v>0.3</v>
      </c>
      <c r="B7" s="5">
        <f>'Proximal Validation'!B7</f>
        <v>0.1</v>
      </c>
      <c r="C7" s="5">
        <f>'Proximal Validation'!C7</f>
        <v>3.1419999999999999</v>
      </c>
      <c r="D7" s="5">
        <f>'Proximal Validation'!D7</f>
        <v>1.5707963267948966</v>
      </c>
      <c r="E7" s="5">
        <f>'Proximal Validation'!E7</f>
        <v>0.8</v>
      </c>
      <c r="F7" s="5">
        <f>'Proximal Validation'!F7</f>
        <v>0.08</v>
      </c>
      <c r="G7" s="5">
        <f>'Proximal Validation'!G7</f>
        <v>3.927</v>
      </c>
      <c r="H7" s="5">
        <f>'Proximal Validation'!H7</f>
        <v>1.5707963267948966</v>
      </c>
      <c r="I7" s="5">
        <f>'Proximal Validation'!I7</f>
        <v>0.8</v>
      </c>
      <c r="J7" s="5">
        <f>'Proximal Validation'!J7</f>
        <v>0</v>
      </c>
      <c r="K7" s="5">
        <f>'Proximal Validation'!K7</f>
        <v>0</v>
      </c>
      <c r="L7" s="5">
        <f>'Proximal Validation'!L7</f>
        <v>-2.6597268879413599E-4</v>
      </c>
      <c r="M7" s="5">
        <f>'Proximal Validation'!M7</f>
        <v>8.6320064961910206E-2</v>
      </c>
      <c r="N7" s="5">
        <f>'Proximal Validation'!N7</f>
        <v>-0.15243518352508501</v>
      </c>
      <c r="O7" s="5">
        <f>'Proximal Validation'!O7</f>
        <v>-0.22609874606132499</v>
      </c>
      <c r="P7" s="5">
        <f>'Proximal Validation'!P7</f>
        <v>-0.81293100118637096</v>
      </c>
      <c r="Q7" s="5">
        <f>'Proximal Validation'!Q7</f>
        <v>-0.47338950634002702</v>
      </c>
      <c r="R7" s="5">
        <v>0.68417192958036877</v>
      </c>
      <c r="S7" s="5">
        <v>8.407597186783286E-2</v>
      </c>
      <c r="T7" s="5">
        <v>2.9216293797940613</v>
      </c>
      <c r="U7" s="5">
        <v>1.5707963267948966</v>
      </c>
      <c r="V7" s="5">
        <v>0.69261820686303666</v>
      </c>
      <c r="W7" s="5">
        <v>8.047792859291103E-2</v>
      </c>
      <c r="X7" s="5">
        <v>4.3999244181314854</v>
      </c>
      <c r="Y7" s="5">
        <v>1.5707963267948966</v>
      </c>
      <c r="Z7" s="18">
        <v>5.6476284633697616E-6</v>
      </c>
      <c r="AA7" s="5">
        <f t="shared" si="0"/>
        <v>0.38417192958036878</v>
      </c>
      <c r="AB7" s="5">
        <f t="shared" si="1"/>
        <v>-1.5924028132167145E-2</v>
      </c>
      <c r="AC7" s="5">
        <f t="shared" si="2"/>
        <v>-0.22037062020593856</v>
      </c>
      <c r="AD7" s="5">
        <f t="shared" si="3"/>
        <v>0</v>
      </c>
      <c r="AE7" s="5">
        <f t="shared" si="4"/>
        <v>-0.10738179313696339</v>
      </c>
      <c r="AF7" s="5">
        <f t="shared" si="5"/>
        <v>4.7792859291102829E-4</v>
      </c>
      <c r="AG7" s="5">
        <f t="shared" si="6"/>
        <v>0.47292441813148534</v>
      </c>
      <c r="AH7" s="5">
        <f t="shared" si="7"/>
        <v>0</v>
      </c>
      <c r="AI7" s="8">
        <f t="shared" si="9"/>
        <v>0.24577686135866608</v>
      </c>
      <c r="AJ7" s="8">
        <f t="shared" si="8"/>
        <v>8.2009783625390867E-3</v>
      </c>
      <c r="AK7" s="8">
        <f t="shared" si="8"/>
        <v>0.34664751916871195</v>
      </c>
      <c r="AL7" s="10">
        <f>AVERAGE(AI3:AI17)</f>
        <v>0.17308244898333355</v>
      </c>
      <c r="AM7" s="10">
        <f t="shared" ref="AM7:AN7" si="10">AVERAGE(AJ3:AJ17)</f>
        <v>3.0867044128255413E-2</v>
      </c>
      <c r="AN7" s="10">
        <f t="shared" si="10"/>
        <v>0.25312767889514021</v>
      </c>
      <c r="AO7" s="7"/>
      <c r="AP7" s="7"/>
      <c r="AQ7" s="7"/>
      <c r="AR7" s="7"/>
      <c r="AS7" s="7"/>
    </row>
    <row r="8" spans="1:45" x14ac:dyDescent="0.25">
      <c r="A8" s="5">
        <f>'Proximal Validation'!A8</f>
        <v>0.7</v>
      </c>
      <c r="B8" s="5">
        <f>'Proximal Validation'!B8</f>
        <v>0.1</v>
      </c>
      <c r="C8" s="5">
        <f>'Proximal Validation'!C8</f>
        <v>3.1419999999999999</v>
      </c>
      <c r="D8" s="5">
        <f>'Proximal Validation'!D8</f>
        <v>1.5707963267948966</v>
      </c>
      <c r="E8" s="5">
        <f>'Proximal Validation'!E8</f>
        <v>0.4</v>
      </c>
      <c r="F8" s="5">
        <f>'Proximal Validation'!F8</f>
        <v>0.04</v>
      </c>
      <c r="G8" s="5">
        <f>'Proximal Validation'!G8</f>
        <v>3.927</v>
      </c>
      <c r="H8" s="5">
        <f>'Proximal Validation'!H8</f>
        <v>1.5707963267948966</v>
      </c>
      <c r="I8" s="5">
        <f>'Proximal Validation'!I8</f>
        <v>0.4</v>
      </c>
      <c r="J8" s="5">
        <f>'Proximal Validation'!J8</f>
        <v>0</v>
      </c>
      <c r="K8" s="5">
        <f>'Proximal Validation'!K8</f>
        <v>0</v>
      </c>
      <c r="L8" s="5">
        <f>'Proximal Validation'!L8</f>
        <v>-1.1004870757460601E-3</v>
      </c>
      <c r="M8" s="5">
        <f>'Proximal Validation'!M8</f>
        <v>3.6083325743675197E-2</v>
      </c>
      <c r="N8" s="5">
        <f>'Proximal Validation'!N8</f>
        <v>-0.180290177464485</v>
      </c>
      <c r="O8" s="5">
        <f>'Proximal Validation'!O8</f>
        <v>-0.18137529492378199</v>
      </c>
      <c r="P8" s="5">
        <f>'Proximal Validation'!P8</f>
        <v>-0.99236428737640403</v>
      </c>
      <c r="Q8" s="5">
        <f>'Proximal Validation'!Q8</f>
        <v>-0.25453394651413003</v>
      </c>
      <c r="R8" s="5">
        <v>0.83102237291498682</v>
      </c>
      <c r="S8" s="5">
        <v>7.7190457899830422E-2</v>
      </c>
      <c r="T8" s="5">
        <v>2.9299410737956131</v>
      </c>
      <c r="U8" s="5">
        <v>1.5707963267948966</v>
      </c>
      <c r="V8" s="5">
        <v>0.52007696648735879</v>
      </c>
      <c r="W8" s="5">
        <v>5.7299648503601051E-2</v>
      </c>
      <c r="X8" s="5">
        <v>4.1467521718956268</v>
      </c>
      <c r="Y8" s="5">
        <v>1.5707963267948966</v>
      </c>
      <c r="Z8" s="18">
        <v>1.7362168016945067E-5</v>
      </c>
      <c r="AA8" s="5">
        <f t="shared" si="0"/>
        <v>0.13102237291498686</v>
      </c>
      <c r="AB8" s="5">
        <f t="shared" si="1"/>
        <v>-2.2809542100169583E-2</v>
      </c>
      <c r="AC8" s="5">
        <f t="shared" si="2"/>
        <v>-0.21205892620438682</v>
      </c>
      <c r="AD8" s="5">
        <f t="shared" si="3"/>
        <v>0</v>
      </c>
      <c r="AE8" s="5">
        <f t="shared" si="4"/>
        <v>0.12007696648735877</v>
      </c>
      <c r="AF8" s="5">
        <f t="shared" si="5"/>
        <v>1.7299648503601051E-2</v>
      </c>
      <c r="AG8" s="5">
        <f t="shared" si="6"/>
        <v>0.21975217189562679</v>
      </c>
      <c r="AH8" s="5">
        <f t="shared" si="7"/>
        <v>0</v>
      </c>
      <c r="AI8" s="9">
        <f t="shared" si="9"/>
        <v>0.12554966970117282</v>
      </c>
      <c r="AJ8" s="9">
        <f t="shared" si="8"/>
        <v>2.0054595301885317E-2</v>
      </c>
      <c r="AK8" s="9">
        <f t="shared" si="8"/>
        <v>0.21590554905000681</v>
      </c>
    </row>
    <row r="9" spans="1:45" x14ac:dyDescent="0.25">
      <c r="A9" s="5">
        <f>'Proximal Validation'!A9</f>
        <v>0.5</v>
      </c>
      <c r="B9" s="5">
        <f>'Proximal Validation'!B9</f>
        <v>0.14000000000000001</v>
      </c>
      <c r="C9" s="5">
        <f>'Proximal Validation'!C9</f>
        <v>3.1419999999999999</v>
      </c>
      <c r="D9" s="5">
        <f>'Proximal Validation'!D9</f>
        <v>1.5707963267948966</v>
      </c>
      <c r="E9" s="5">
        <f>'Proximal Validation'!E9</f>
        <v>0.7</v>
      </c>
      <c r="F9" s="5">
        <f>'Proximal Validation'!F9</f>
        <v>0.08</v>
      </c>
      <c r="G9" s="5">
        <f>'Proximal Validation'!G9</f>
        <v>3.927</v>
      </c>
      <c r="H9" s="5">
        <f>'Proximal Validation'!H9</f>
        <v>1.5707963267948966</v>
      </c>
      <c r="I9" s="5">
        <f>'Proximal Validation'!I9</f>
        <v>0.4</v>
      </c>
      <c r="J9" s="5">
        <f>'Proximal Validation'!J9</f>
        <v>0</v>
      </c>
      <c r="K9" s="5">
        <f>'Proximal Validation'!K9</f>
        <v>0</v>
      </c>
      <c r="L9" s="5">
        <f>'Proximal Validation'!L9</f>
        <v>1.21408142149448E-4</v>
      </c>
      <c r="M9" s="5">
        <f>'Proximal Validation'!M9</f>
        <v>6.0930710285902002E-2</v>
      </c>
      <c r="N9" s="5">
        <f>'Proximal Validation'!N9</f>
        <v>-0.19216823577880901</v>
      </c>
      <c r="O9" s="5">
        <f>'Proximal Validation'!O9</f>
        <v>-0.45323920249938998</v>
      </c>
      <c r="P9" s="5">
        <f>'Proximal Validation'!P9</f>
        <v>-0.86372590065002397</v>
      </c>
      <c r="Q9" s="5">
        <f>'Proximal Validation'!Q9</f>
        <v>-0.33691111207008401</v>
      </c>
      <c r="R9" s="5">
        <v>0.17255367594710208</v>
      </c>
      <c r="S9" s="5">
        <v>0.19999570800292632</v>
      </c>
      <c r="T9" s="5">
        <v>3.0069862950444426</v>
      </c>
      <c r="U9" s="5">
        <v>1.5707963267948966</v>
      </c>
      <c r="V9" s="5">
        <v>0.96495518533700908</v>
      </c>
      <c r="W9" s="5">
        <v>8.1650405619935473E-2</v>
      </c>
      <c r="X9" s="5">
        <v>3.5725249948931102</v>
      </c>
      <c r="Y9" s="5">
        <v>1.5707963267948966</v>
      </c>
      <c r="Z9" s="18">
        <v>1.109583184586746E-5</v>
      </c>
      <c r="AA9" s="5">
        <f t="shared" si="0"/>
        <v>-0.32744632405289792</v>
      </c>
      <c r="AB9" s="5">
        <f t="shared" si="1"/>
        <v>5.9995708002926307E-2</v>
      </c>
      <c r="AC9" s="5">
        <f t="shared" si="2"/>
        <v>-0.13501370495555731</v>
      </c>
      <c r="AD9" s="5">
        <f t="shared" si="3"/>
        <v>0</v>
      </c>
      <c r="AE9" s="5">
        <f t="shared" si="4"/>
        <v>0.26495518533700912</v>
      </c>
      <c r="AF9" s="5">
        <f t="shared" si="5"/>
        <v>1.6504056199354716E-3</v>
      </c>
      <c r="AG9" s="5">
        <f t="shared" si="6"/>
        <v>-0.3544750051068899</v>
      </c>
      <c r="AH9" s="5">
        <f t="shared" si="7"/>
        <v>0</v>
      </c>
      <c r="AI9" s="8">
        <f t="shared" si="9"/>
        <v>0.29620075469495355</v>
      </c>
      <c r="AJ9" s="8">
        <f t="shared" si="8"/>
        <v>3.0823056811430889E-2</v>
      </c>
      <c r="AK9" s="8">
        <f t="shared" si="8"/>
        <v>0.2447443550312236</v>
      </c>
      <c r="AL9" s="12"/>
      <c r="AM9" s="12"/>
      <c r="AN9" s="12"/>
    </row>
    <row r="10" spans="1:45" x14ac:dyDescent="0.25">
      <c r="A10" s="5">
        <f>'Proximal Validation'!A10</f>
        <v>0.7</v>
      </c>
      <c r="B10" s="5">
        <f>'Proximal Validation'!B10</f>
        <v>0.14000000000000001</v>
      </c>
      <c r="C10" s="5">
        <f>'Proximal Validation'!C10</f>
        <v>3.1419999999999999</v>
      </c>
      <c r="D10" s="5">
        <f>'Proximal Validation'!D10</f>
        <v>1.5707963267948966</v>
      </c>
      <c r="E10" s="5">
        <f>'Proximal Validation'!E10</f>
        <v>0.5</v>
      </c>
      <c r="F10" s="5">
        <f>'Proximal Validation'!F10</f>
        <v>0.06</v>
      </c>
      <c r="G10" s="5">
        <f>'Proximal Validation'!G10</f>
        <v>3.927</v>
      </c>
      <c r="H10" s="5">
        <f>'Proximal Validation'!H10</f>
        <v>1.5707963267948966</v>
      </c>
      <c r="I10" s="5">
        <f>'Proximal Validation'!I10</f>
        <v>0.8</v>
      </c>
      <c r="J10" s="5">
        <f>'Proximal Validation'!J10</f>
        <v>0</v>
      </c>
      <c r="K10" s="5">
        <f>'Proximal Validation'!K10</f>
        <v>0</v>
      </c>
      <c r="L10" s="5">
        <f>'Proximal Validation'!L10</f>
        <v>2.0413408055901501E-3</v>
      </c>
      <c r="M10" s="5">
        <f>'Proximal Validation'!M10</f>
        <v>5.3677611052990001E-2</v>
      </c>
      <c r="N10" s="5">
        <f>'Proximal Validation'!N10</f>
        <v>-0.22552120685577401</v>
      </c>
      <c r="O10" s="5">
        <f>'Proximal Validation'!O10</f>
        <v>-0.44799792766571001</v>
      </c>
      <c r="P10" s="5">
        <f>'Proximal Validation'!P10</f>
        <v>-1.0344259738922099</v>
      </c>
      <c r="Q10" s="5">
        <f>'Proximal Validation'!Q10</f>
        <v>-0.34386280179023698</v>
      </c>
      <c r="R10" s="5">
        <v>0.75967060076005288</v>
      </c>
      <c r="S10" s="5">
        <v>0.10425674668931202</v>
      </c>
      <c r="T10" s="5">
        <v>2.9249838591019626</v>
      </c>
      <c r="U10" s="5">
        <v>1.5707963267948966</v>
      </c>
      <c r="V10" s="5">
        <v>0.74669142007226119</v>
      </c>
      <c r="W10" s="5">
        <v>6.975302554699736E-2</v>
      </c>
      <c r="X10" s="5">
        <v>3.9384838954136558</v>
      </c>
      <c r="Y10" s="5">
        <v>1.5707963267948966</v>
      </c>
      <c r="Z10" s="18">
        <v>3.3438675829154678E-5</v>
      </c>
      <c r="AA10" s="5">
        <f t="shared" si="0"/>
        <v>5.9670600760052928E-2</v>
      </c>
      <c r="AB10" s="5">
        <f t="shared" si="1"/>
        <v>-3.5743253310687992E-2</v>
      </c>
      <c r="AC10" s="5">
        <f t="shared" si="2"/>
        <v>-0.21701614089803734</v>
      </c>
      <c r="AD10" s="5">
        <f t="shared" si="3"/>
        <v>0</v>
      </c>
      <c r="AE10" s="5">
        <f t="shared" si="4"/>
        <v>0.24669142007226119</v>
      </c>
      <c r="AF10" s="5">
        <f t="shared" si="5"/>
        <v>9.7530255469973626E-3</v>
      </c>
      <c r="AG10" s="5">
        <f t="shared" si="6"/>
        <v>1.1483895413655798E-2</v>
      </c>
      <c r="AH10" s="5">
        <f t="shared" si="7"/>
        <v>0</v>
      </c>
      <c r="AI10" s="8">
        <f t="shared" si="9"/>
        <v>0.15318101041615706</v>
      </c>
      <c r="AJ10" s="8">
        <f t="shared" si="8"/>
        <v>2.2748139428842677E-2</v>
      </c>
      <c r="AK10" s="8">
        <f t="shared" si="8"/>
        <v>0.11425001815584657</v>
      </c>
    </row>
    <row r="11" spans="1:45" x14ac:dyDescent="0.25">
      <c r="A11" s="5">
        <f>'Proximal Validation'!A11</f>
        <v>0.4</v>
      </c>
      <c r="B11" s="5">
        <f>'Proximal Validation'!B11</f>
        <v>0.18</v>
      </c>
      <c r="C11" s="5">
        <f>'Proximal Validation'!C11</f>
        <v>3.1419999999999999</v>
      </c>
      <c r="D11" s="5">
        <f>'Proximal Validation'!D11</f>
        <v>1.5707963267948966</v>
      </c>
      <c r="E11" s="5">
        <f>'Proximal Validation'!E11</f>
        <v>0.4</v>
      </c>
      <c r="F11" s="5">
        <f>'Proximal Validation'!F11</f>
        <v>0.02</v>
      </c>
      <c r="G11" s="5">
        <f>'Proximal Validation'!G11</f>
        <v>3.927</v>
      </c>
      <c r="H11" s="5">
        <f>'Proximal Validation'!H11</f>
        <v>1.5707963267948966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-1.80347869172692E-3</v>
      </c>
      <c r="M11" s="5">
        <f>'Proximal Validation'!M11</f>
        <v>3.06784845888615E-2</v>
      </c>
      <c r="N11" s="5">
        <f>'Proximal Validation'!N11</f>
        <v>-0.130104705691338</v>
      </c>
      <c r="O11" s="5">
        <f>'Proximal Validation'!O11</f>
        <v>-0.345878034830093</v>
      </c>
      <c r="P11" s="5">
        <f>'Proximal Validation'!P11</f>
        <v>-0.53015172481536899</v>
      </c>
      <c r="Q11" s="5">
        <f>'Proximal Validation'!Q11</f>
        <v>-0.25460425019264199</v>
      </c>
      <c r="R11" s="5">
        <v>0.53092334591468304</v>
      </c>
      <c r="S11" s="5">
        <v>0.16529300111189277</v>
      </c>
      <c r="T11" s="5">
        <v>2.0603626990344965</v>
      </c>
      <c r="U11" s="5">
        <v>1.5707963267948966</v>
      </c>
      <c r="V11" s="5">
        <v>0.81271157229576607</v>
      </c>
      <c r="W11" s="5">
        <v>0.11791139133611359</v>
      </c>
      <c r="X11" s="5">
        <v>4.2270775360855293</v>
      </c>
      <c r="Y11" s="5">
        <v>1.5707963267948966</v>
      </c>
      <c r="Z11" s="18">
        <v>3.373057107422834E-7</v>
      </c>
      <c r="AA11" s="5">
        <f t="shared" si="0"/>
        <v>0.13092334591468302</v>
      </c>
      <c r="AB11" s="5">
        <f t="shared" si="1"/>
        <v>-1.4706998888107226E-2</v>
      </c>
      <c r="AC11" s="5">
        <f t="shared" si="2"/>
        <v>-1.0816373009655034</v>
      </c>
      <c r="AD11" s="5">
        <f t="shared" si="3"/>
        <v>0</v>
      </c>
      <c r="AE11" s="5">
        <f t="shared" si="4"/>
        <v>0.41271157229576605</v>
      </c>
      <c r="AF11" s="5">
        <f t="shared" si="5"/>
        <v>9.7911391336113582E-2</v>
      </c>
      <c r="AG11" s="5">
        <f t="shared" si="6"/>
        <v>0.30007753608552923</v>
      </c>
      <c r="AH11" s="5">
        <f t="shared" si="7"/>
        <v>0</v>
      </c>
      <c r="AI11" s="8">
        <f t="shared" si="9"/>
        <v>0.27181745910522453</v>
      </c>
      <c r="AJ11" s="8">
        <f t="shared" si="8"/>
        <v>5.6309195112110404E-2</v>
      </c>
      <c r="AK11" s="8">
        <f t="shared" si="8"/>
        <v>0.6908574185255163</v>
      </c>
      <c r="AL11" s="12"/>
      <c r="AM11" s="12"/>
      <c r="AN11" s="12"/>
    </row>
    <row r="12" spans="1:45" x14ac:dyDescent="0.25">
      <c r="A12" s="5">
        <f>'Proximal Validation'!A12</f>
        <v>0.7</v>
      </c>
      <c r="B12" s="5">
        <f>'Proximal Validation'!B12</f>
        <v>0.18</v>
      </c>
      <c r="C12" s="5">
        <f>'Proximal Validation'!C12</f>
        <v>3.1419999999999999</v>
      </c>
      <c r="D12" s="5">
        <f>'Proximal Validation'!D12</f>
        <v>1.5707963267948966</v>
      </c>
      <c r="E12" s="5">
        <f>'Proximal Validation'!E12</f>
        <v>0.8</v>
      </c>
      <c r="F12" s="5">
        <f>'Proximal Validation'!F12</f>
        <v>0.04</v>
      </c>
      <c r="G12" s="5">
        <f>'Proximal Validation'!G12</f>
        <v>3.927</v>
      </c>
      <c r="H12" s="5">
        <f>'Proximal Validation'!H12</f>
        <v>1.5707963267948966</v>
      </c>
      <c r="I12" s="5">
        <f>'Proximal Validation'!I12</f>
        <v>0.4</v>
      </c>
      <c r="J12" s="5">
        <f>'Proximal Validation'!J12</f>
        <v>0</v>
      </c>
      <c r="K12" s="5">
        <f>'Proximal Validation'!K12</f>
        <v>0</v>
      </c>
      <c r="L12" s="5">
        <f>'Proximal Validation'!L12</f>
        <v>0</v>
      </c>
      <c r="M12" s="5">
        <f>'Proximal Validation'!M12</f>
        <v>0</v>
      </c>
      <c r="N12" s="5">
        <f>'Proximal Validation'!N12</f>
        <v>0</v>
      </c>
      <c r="O12" s="5">
        <f>'Proximal Validation'!O12</f>
        <v>0</v>
      </c>
      <c r="P12" s="5">
        <f>'Proximal Validation'!P12</f>
        <v>0</v>
      </c>
      <c r="Q12" s="5">
        <f>'Proximal Validation'!Q12</f>
        <v>0</v>
      </c>
      <c r="R12" s="5"/>
      <c r="S12" s="5"/>
      <c r="T12" s="5"/>
      <c r="U12" s="5"/>
      <c r="V12" s="5"/>
      <c r="W12" s="5"/>
      <c r="X12" s="5"/>
      <c r="Y12" s="5"/>
      <c r="Z12" s="18"/>
      <c r="AA12" s="5"/>
      <c r="AB12" s="5"/>
      <c r="AC12" s="5"/>
      <c r="AD12" s="5"/>
      <c r="AE12" s="5"/>
      <c r="AF12" s="5"/>
      <c r="AG12" s="5"/>
      <c r="AH12" s="5"/>
      <c r="AI12" s="8"/>
      <c r="AJ12" s="8"/>
      <c r="AK12" s="8"/>
    </row>
    <row r="13" spans="1:45" x14ac:dyDescent="0.25">
      <c r="A13" s="5">
        <f>'Proximal Validation'!A13</f>
        <v>0.3</v>
      </c>
      <c r="B13" s="5">
        <f>'Proximal Validation'!B13</f>
        <v>0.12</v>
      </c>
      <c r="C13" s="5">
        <f>'Proximal Validation'!C13</f>
        <v>4.7119999999999997</v>
      </c>
      <c r="D13" s="5">
        <f>'Proximal Validation'!D13</f>
        <v>1.5707963267948966</v>
      </c>
      <c r="E13" s="5">
        <f>'Proximal Validation'!E13</f>
        <v>0.3</v>
      </c>
      <c r="F13" s="5">
        <f>'Proximal Validation'!F13</f>
        <v>0.04</v>
      </c>
      <c r="G13" s="5">
        <f>'Proximal Validation'!G13</f>
        <v>4.7119999999999997</v>
      </c>
      <c r="H13" s="5">
        <f>'Proximal Validation'!H13</f>
        <v>1.5707963267948966</v>
      </c>
      <c r="I13" s="5">
        <f>'Proximal Validation'!I13</f>
        <v>0.4</v>
      </c>
      <c r="J13" s="5">
        <f>'Proximal Validation'!J13</f>
        <v>0</v>
      </c>
      <c r="K13" s="5">
        <f>'Proximal Validation'!K13</f>
        <v>0</v>
      </c>
      <c r="L13" s="5">
        <f>'Proximal Validation'!L13</f>
        <v>-9.0274820104241404E-4</v>
      </c>
      <c r="M13" s="5">
        <f>'Proximal Validation'!M13</f>
        <v>9.5996417105197906E-2</v>
      </c>
      <c r="N13" s="5">
        <f>'Proximal Validation'!N13</f>
        <v>-8.7546631693839992E-3</v>
      </c>
      <c r="O13" s="5">
        <f>'Proximal Validation'!O13</f>
        <v>-0.111510291695595</v>
      </c>
      <c r="P13" s="5">
        <f>'Proximal Validation'!P13</f>
        <v>-6.3374787569046007E-2</v>
      </c>
      <c r="Q13" s="5">
        <f>'Proximal Validation'!Q13</f>
        <v>-0.53375589847564697</v>
      </c>
      <c r="R13" s="5">
        <v>0.46162270387107518</v>
      </c>
      <c r="S13" s="5">
        <v>9.3433784456606661E-2</v>
      </c>
      <c r="T13" s="5">
        <v>4.8297819955992072</v>
      </c>
      <c r="U13" s="5">
        <v>1.5707963267948966</v>
      </c>
      <c r="V13" s="5">
        <v>0.1437571299099738</v>
      </c>
      <c r="W13" s="5">
        <v>6.957872165509961E-2</v>
      </c>
      <c r="X13" s="5">
        <v>3.7605299682953093</v>
      </c>
      <c r="Y13" s="5">
        <v>1.5707963267948966</v>
      </c>
      <c r="Z13" s="18">
        <v>4.9581431044892032E-8</v>
      </c>
      <c r="AA13" s="5">
        <f t="shared" si="0"/>
        <v>0.16162270387107519</v>
      </c>
      <c r="AB13" s="5">
        <f t="shared" si="1"/>
        <v>-2.6566215543393334E-2</v>
      </c>
      <c r="AC13" s="5">
        <f t="shared" si="2"/>
        <v>0.11778199559920743</v>
      </c>
      <c r="AD13" s="5">
        <f t="shared" si="3"/>
        <v>0</v>
      </c>
      <c r="AE13" s="5">
        <f t="shared" si="4"/>
        <v>-0.15624287009002619</v>
      </c>
      <c r="AF13" s="5">
        <f t="shared" si="5"/>
        <v>2.9578721655099609E-2</v>
      </c>
      <c r="AG13" s="5">
        <f t="shared" si="6"/>
        <v>-0.95147003170469047</v>
      </c>
      <c r="AH13" s="5">
        <f t="shared" si="7"/>
        <v>0</v>
      </c>
      <c r="AI13" s="8">
        <f t="shared" si="9"/>
        <v>0.15893278698055069</v>
      </c>
      <c r="AJ13" s="8">
        <f t="shared" si="8"/>
        <v>2.8072468599246472E-2</v>
      </c>
      <c r="AK13" s="8">
        <f t="shared" si="8"/>
        <v>0.53462601365194895</v>
      </c>
      <c r="AL13" s="12"/>
      <c r="AM13" s="12"/>
      <c r="AN13" s="12"/>
    </row>
    <row r="14" spans="1:45" x14ac:dyDescent="0.25">
      <c r="A14" s="5">
        <f>'Proximal Validation'!A14</f>
        <v>0.8</v>
      </c>
      <c r="B14" s="5">
        <f>'Proximal Validation'!B14</f>
        <v>0.12</v>
      </c>
      <c r="C14" s="5">
        <f>'Proximal Validation'!C14</f>
        <v>4.7119999999999997</v>
      </c>
      <c r="D14" s="5">
        <f>'Proximal Validation'!D14</f>
        <v>1.5707963267948966</v>
      </c>
      <c r="E14" s="5">
        <f>'Proximal Validation'!E14</f>
        <v>0.7</v>
      </c>
      <c r="F14" s="5">
        <f>'Proximal Validation'!F14</f>
        <v>0.02</v>
      </c>
      <c r="G14" s="5">
        <f>'Proximal Validation'!G14</f>
        <v>3.1419999999999999</v>
      </c>
      <c r="H14" s="5">
        <f>'Proximal Validation'!H14</f>
        <v>1.5707963267948966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7.30549916625023E-4</v>
      </c>
      <c r="M14" s="5">
        <f>'Proximal Validation'!M14</f>
        <v>0.18510913848877</v>
      </c>
      <c r="N14" s="5">
        <f>'Proximal Validation'!N14</f>
        <v>-7.8640699386596694E-2</v>
      </c>
      <c r="O14" s="5">
        <f>'Proximal Validation'!O14</f>
        <v>-0.26385891437530501</v>
      </c>
      <c r="P14" s="5">
        <f>'Proximal Validation'!P14</f>
        <v>-0.69346159696579002</v>
      </c>
      <c r="Q14" s="5">
        <f>'Proximal Validation'!Q14</f>
        <v>-0.87223374843597401</v>
      </c>
      <c r="R14" s="5">
        <v>0.99771768577246955</v>
      </c>
      <c r="S14" s="5">
        <v>8.8686522531385537E-2</v>
      </c>
      <c r="T14" s="5">
        <v>4.7212670637894512</v>
      </c>
      <c r="U14" s="5">
        <v>1.5707963267948966</v>
      </c>
      <c r="V14" s="5">
        <v>0.72212749062481285</v>
      </c>
      <c r="W14" s="5">
        <v>2.000016733006315E-2</v>
      </c>
      <c r="X14" s="5">
        <v>3.1950680407852636</v>
      </c>
      <c r="Y14" s="5">
        <v>1.5707963267948966</v>
      </c>
      <c r="Z14" s="18">
        <v>3.1008064938358468E-5</v>
      </c>
      <c r="AA14" s="5">
        <f t="shared" si="0"/>
        <v>0.19771768577246951</v>
      </c>
      <c r="AB14" s="5">
        <f t="shared" si="1"/>
        <v>-3.1313477468614459E-2</v>
      </c>
      <c r="AC14" s="5">
        <f t="shared" si="2"/>
        <v>9.267063789451413E-3</v>
      </c>
      <c r="AD14" s="5">
        <f t="shared" si="3"/>
        <v>0</v>
      </c>
      <c r="AE14" s="5">
        <f t="shared" si="4"/>
        <v>2.2127490624812896E-2</v>
      </c>
      <c r="AF14" s="5">
        <f t="shared" si="5"/>
        <v>1.6733006314925691E-7</v>
      </c>
      <c r="AG14" s="5">
        <f t="shared" si="6"/>
        <v>5.3068040785263726E-2</v>
      </c>
      <c r="AH14" s="5">
        <f t="shared" si="7"/>
        <v>0</v>
      </c>
      <c r="AI14" s="8">
        <f t="shared" si="9"/>
        <v>0.1099225881986412</v>
      </c>
      <c r="AJ14" s="8">
        <f t="shared" si="8"/>
        <v>1.5656822399338806E-2</v>
      </c>
      <c r="AK14" s="8">
        <f t="shared" si="8"/>
        <v>3.1167552287357569E-2</v>
      </c>
    </row>
    <row r="15" spans="1:45" x14ac:dyDescent="0.25">
      <c r="A15" s="5">
        <f>'Proximal Validation'!A15</f>
        <v>0.4</v>
      </c>
      <c r="B15" s="5">
        <f>'Proximal Validation'!B15</f>
        <v>0.18</v>
      </c>
      <c r="C15" s="5">
        <f>'Proximal Validation'!C15</f>
        <v>4.7119999999999997</v>
      </c>
      <c r="D15" s="5">
        <f>'Proximal Validation'!D15</f>
        <v>1.5707963267948966</v>
      </c>
      <c r="E15" s="5">
        <f>'Proximal Validation'!E15</f>
        <v>0.5</v>
      </c>
      <c r="F15" s="5">
        <f>'Proximal Validation'!F15</f>
        <v>0.06</v>
      </c>
      <c r="G15" s="5">
        <f>'Proximal Validation'!G15</f>
        <v>3.1419999999999999</v>
      </c>
      <c r="H15" s="5">
        <f>'Proximal Validation'!H15</f>
        <v>1.5707963267948966</v>
      </c>
      <c r="I15" s="5">
        <f>'Proximal Validation'!I15</f>
        <v>0.4</v>
      </c>
      <c r="J15" s="5">
        <f>'Proximal Validation'!J15</f>
        <v>0</v>
      </c>
      <c r="K15" s="5">
        <f>'Proximal Validation'!K15</f>
        <v>0</v>
      </c>
      <c r="L15" s="5">
        <f>'Proximal Validation'!L15</f>
        <v>-2.9432689771056201E-3</v>
      </c>
      <c r="M15" s="5">
        <f>'Proximal Validation'!M15</f>
        <v>9.8053239285945906E-2</v>
      </c>
      <c r="N15" s="5">
        <f>'Proximal Validation'!N15</f>
        <v>-7.0226937532424899E-2</v>
      </c>
      <c r="O15" s="5">
        <f>'Proximal Validation'!O15</f>
        <v>-0.235873714089394</v>
      </c>
      <c r="P15" s="5">
        <f>'Proximal Validation'!P15</f>
        <v>-0.46341708302497903</v>
      </c>
      <c r="Q15" s="5">
        <f>'Proximal Validation'!Q15</f>
        <v>-0.29305437207222002</v>
      </c>
      <c r="R15" s="5">
        <v>0.71559103832971094</v>
      </c>
      <c r="S15" s="5">
        <v>0.14254757204765442</v>
      </c>
      <c r="T15" s="5">
        <v>4.9899434586648894</v>
      </c>
      <c r="U15" s="5">
        <v>1.5707963267948966</v>
      </c>
      <c r="V15" s="5">
        <v>0.74094453820461958</v>
      </c>
      <c r="W15" s="5">
        <v>8.3532292032067981E-2</v>
      </c>
      <c r="X15" s="5">
        <v>2.7087325570937089</v>
      </c>
      <c r="Y15" s="5">
        <v>1.5707963267948966</v>
      </c>
      <c r="Z15" s="18">
        <v>6.9781135099975172E-7</v>
      </c>
      <c r="AA15" s="5">
        <f t="shared" si="0"/>
        <v>0.31559103832971092</v>
      </c>
      <c r="AB15" s="5">
        <f t="shared" si="1"/>
        <v>-3.7452427952345574E-2</v>
      </c>
      <c r="AC15" s="5">
        <f t="shared" si="2"/>
        <v>0.27794345866488968</v>
      </c>
      <c r="AD15" s="5">
        <f t="shared" si="3"/>
        <v>0</v>
      </c>
      <c r="AE15" s="5">
        <f t="shared" si="4"/>
        <v>0.24094453820461958</v>
      </c>
      <c r="AF15" s="5">
        <f t="shared" si="5"/>
        <v>2.3532292032067983E-2</v>
      </c>
      <c r="AG15" s="5">
        <f t="shared" si="6"/>
        <v>-0.43326744290629104</v>
      </c>
      <c r="AH15" s="5">
        <f t="shared" si="7"/>
        <v>0</v>
      </c>
      <c r="AI15" s="8">
        <f t="shared" si="9"/>
        <v>0.27826778826716525</v>
      </c>
      <c r="AJ15" s="8">
        <f t="shared" si="8"/>
        <v>3.0492359992206779E-2</v>
      </c>
      <c r="AK15" s="8">
        <f t="shared" si="8"/>
        <v>0.35560545078559036</v>
      </c>
    </row>
    <row r="16" spans="1:45" x14ac:dyDescent="0.25">
      <c r="A16" s="5">
        <f>'Proximal Validation'!A16</f>
        <v>0.5</v>
      </c>
      <c r="B16" s="5">
        <f>'Proximal Validation'!B16</f>
        <v>0.2</v>
      </c>
      <c r="C16" s="5">
        <f>'Proximal Validation'!C16</f>
        <v>4.7119999999999997</v>
      </c>
      <c r="D16" s="5">
        <f>'Proximal Validation'!D16</f>
        <v>1.5707963267948966</v>
      </c>
      <c r="E16" s="5">
        <f>'Proximal Validation'!E16</f>
        <v>0.7</v>
      </c>
      <c r="F16" s="5">
        <f>'Proximal Validation'!F16</f>
        <v>0.02</v>
      </c>
      <c r="G16" s="5">
        <f>'Proximal Validation'!G16</f>
        <v>4.7119999999999997</v>
      </c>
      <c r="H16" s="5">
        <f>'Proximal Validation'!H16</f>
        <v>1.5707963267948966</v>
      </c>
      <c r="I16" s="5">
        <f>'Proximal Validation'!I16</f>
        <v>0.8</v>
      </c>
      <c r="J16" s="5">
        <f>'Proximal Validation'!J16</f>
        <v>0</v>
      </c>
      <c r="K16" s="5">
        <f>'Proximal Validation'!K16</f>
        <v>0</v>
      </c>
      <c r="L16" s="5">
        <f>'Proximal Validation'!L16</f>
        <v>-8.9650582522153906E-3</v>
      </c>
      <c r="M16" s="5">
        <f>'Proximal Validation'!M16</f>
        <v>0.193452998995781</v>
      </c>
      <c r="N16" s="5">
        <f>'Proximal Validation'!N16</f>
        <v>-2.2679660469293601E-2</v>
      </c>
      <c r="O16" s="5">
        <f>'Proximal Validation'!O16</f>
        <v>-0.444032043218613</v>
      </c>
      <c r="P16" s="5">
        <f>'Proximal Validation'!P16</f>
        <v>-0.175033524632454</v>
      </c>
      <c r="Q16" s="5">
        <f>'Proximal Validation'!Q16</f>
        <v>-0.91890478134155296</v>
      </c>
      <c r="R16" s="5">
        <v>0.56047642894645144</v>
      </c>
      <c r="S16" s="5">
        <v>0.15665576880005996</v>
      </c>
      <c r="T16" s="5">
        <v>4.6697575812170156</v>
      </c>
      <c r="U16" s="5">
        <v>1.5707963267948966</v>
      </c>
      <c r="V16" s="5">
        <v>0.53806169904016221</v>
      </c>
      <c r="W16" s="5">
        <v>3.5096590375631828E-2</v>
      </c>
      <c r="X16" s="5">
        <v>4.4321299261214575</v>
      </c>
      <c r="Y16" s="5">
        <v>1.5707963267948966</v>
      </c>
      <c r="Z16" s="18">
        <v>7.5649388951572546E-6</v>
      </c>
      <c r="AA16" s="5">
        <f t="shared" si="0"/>
        <v>6.0476428946451444E-2</v>
      </c>
      <c r="AB16" s="5">
        <f t="shared" si="1"/>
        <v>-4.3344231199940048E-2</v>
      </c>
      <c r="AC16" s="5">
        <f t="shared" si="2"/>
        <v>-4.2242418782984181E-2</v>
      </c>
      <c r="AD16" s="5">
        <f t="shared" si="3"/>
        <v>0</v>
      </c>
      <c r="AE16" s="5">
        <f t="shared" si="4"/>
        <v>-0.16193830095983774</v>
      </c>
      <c r="AF16" s="5">
        <f t="shared" si="5"/>
        <v>1.5096590375631828E-2</v>
      </c>
      <c r="AG16" s="5">
        <f t="shared" si="6"/>
        <v>-0.27987007387854224</v>
      </c>
      <c r="AH16" s="5">
        <f t="shared" si="7"/>
        <v>0</v>
      </c>
      <c r="AI16" s="8">
        <f t="shared" si="9"/>
        <v>0.11120736495314459</v>
      </c>
      <c r="AJ16" s="8">
        <f t="shared" si="8"/>
        <v>2.9220410787785936E-2</v>
      </c>
      <c r="AK16" s="8">
        <f t="shared" si="8"/>
        <v>0.16105624633076321</v>
      </c>
    </row>
    <row r="17" spans="1:37" x14ac:dyDescent="0.25">
      <c r="A17" s="5">
        <f>'Proximal Validation'!A17</f>
        <v>0.7</v>
      </c>
      <c r="B17" s="5">
        <f>'Proximal Validation'!B17</f>
        <v>0.2</v>
      </c>
      <c r="C17" s="5">
        <f>'Proximal Validation'!C17</f>
        <v>4.7119999999999997</v>
      </c>
      <c r="D17" s="5">
        <f>'Proximal Validation'!D17</f>
        <v>1.5707963267948966</v>
      </c>
      <c r="E17" s="5">
        <f>'Proximal Validation'!E17</f>
        <v>0.3</v>
      </c>
      <c r="F17" s="5">
        <f>'Proximal Validation'!F17</f>
        <v>0.08</v>
      </c>
      <c r="G17" s="5">
        <f>'Proximal Validation'!G17</f>
        <v>3.1419999999999999</v>
      </c>
      <c r="H17" s="5">
        <f>'Proximal Validation'!H17</f>
        <v>1.5707963267948966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0</v>
      </c>
      <c r="M17" s="5">
        <f>'Proximal Validation'!M17</f>
        <v>0</v>
      </c>
      <c r="N17" s="5">
        <f>'Proximal Validation'!N17</f>
        <v>0</v>
      </c>
      <c r="O17" s="5">
        <f>'Proximal Validation'!O17</f>
        <v>0</v>
      </c>
      <c r="P17" s="5">
        <f>'Proximal Validation'!P17</f>
        <v>0</v>
      </c>
      <c r="Q17" s="5">
        <f>'Proximal Validation'!Q17</f>
        <v>0</v>
      </c>
      <c r="R17" s="5"/>
      <c r="S17" s="5"/>
      <c r="T17" s="5"/>
      <c r="U17" s="5"/>
      <c r="V17" s="5"/>
      <c r="W17" s="5"/>
      <c r="X17" s="5"/>
      <c r="Y17" s="5"/>
      <c r="Z17" s="18"/>
      <c r="AA17" s="5"/>
      <c r="AB17" s="5"/>
      <c r="AC17" s="5"/>
      <c r="AD17" s="5"/>
      <c r="AE17" s="5"/>
      <c r="AF17" s="5"/>
      <c r="AG17" s="5"/>
      <c r="AH17" s="5"/>
      <c r="AI17" s="8"/>
      <c r="AJ17" s="8"/>
      <c r="AK17" s="8"/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694B-5559-4F77-AE8E-F8C359B8D2F6}">
  <dimension ref="A1:AS79"/>
  <sheetViews>
    <sheetView workbookViewId="0">
      <pane ySplit="2" topLeftCell="A3" activePane="bottomLeft" state="frozen"/>
      <selection activeCell="K1" sqref="K1"/>
      <selection pane="bottomLeft" activeCell="AM15" sqref="AM1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3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25" t="s">
        <v>6</v>
      </c>
      <c r="M1" s="26"/>
      <c r="N1" s="26"/>
      <c r="O1" s="26"/>
      <c r="P1" s="26"/>
      <c r="Q1" s="26"/>
      <c r="R1" s="35" t="s">
        <v>7</v>
      </c>
      <c r="S1" s="36"/>
      <c r="T1" s="36"/>
      <c r="U1" s="36"/>
      <c r="V1" s="36"/>
      <c r="W1" s="36"/>
      <c r="X1" s="36"/>
      <c r="Y1" s="36"/>
      <c r="Z1" s="36"/>
      <c r="AA1" s="33" t="s">
        <v>13</v>
      </c>
      <c r="AB1" s="33"/>
      <c r="AC1" s="33"/>
      <c r="AD1" s="33"/>
      <c r="AE1" s="33"/>
      <c r="AF1" s="33"/>
      <c r="AG1" s="33"/>
      <c r="AH1" s="33"/>
      <c r="AI1" s="34" t="s">
        <v>36</v>
      </c>
      <c r="AJ1" s="34"/>
      <c r="AK1" s="34"/>
      <c r="AL1" s="34"/>
      <c r="AM1" s="34"/>
      <c r="AN1" s="34"/>
      <c r="AO1" s="34"/>
      <c r="AP1" s="34"/>
      <c r="AQ1" s="34"/>
      <c r="AR1" s="34"/>
      <c r="AS1" s="34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6" t="s">
        <v>33</v>
      </c>
      <c r="AJ2" s="6" t="s">
        <v>34</v>
      </c>
      <c r="AK2" s="6" t="s">
        <v>35</v>
      </c>
      <c r="AL2" s="32" t="s">
        <v>31</v>
      </c>
      <c r="AM2" s="32"/>
      <c r="AN2" s="32"/>
      <c r="AO2" s="32"/>
      <c r="AP2" s="32"/>
      <c r="AQ2" s="32"/>
      <c r="AR2" s="32"/>
      <c r="AS2" s="32"/>
    </row>
    <row r="3" spans="1:45" ht="15.75" x14ac:dyDescent="0.25">
      <c r="A3" s="5">
        <f>'Proximal Validation'!A3</f>
        <v>0.5</v>
      </c>
      <c r="B3" s="5">
        <f>'Proximal Validation'!B3</f>
        <v>0.12</v>
      </c>
      <c r="C3" s="5">
        <f>'Proximal Validation'!C3</f>
        <v>1.57</v>
      </c>
      <c r="D3" s="5">
        <f>'Proximal Validation'!D3</f>
        <v>1.5707963267948966</v>
      </c>
      <c r="E3" s="5">
        <f>'Proximal Validation'!E3</f>
        <v>0.3</v>
      </c>
      <c r="F3" s="5">
        <f>'Proximal Validation'!F3</f>
        <v>0.02</v>
      </c>
      <c r="G3" s="5">
        <f>'Proximal Validation'!G3</f>
        <v>3.1419999999999999</v>
      </c>
      <c r="H3" s="5">
        <f>'Proximal Validation'!H3</f>
        <v>1.5707963267948966</v>
      </c>
      <c r="I3" s="5">
        <f>'Proximal Validation'!I3</f>
        <v>0.8</v>
      </c>
      <c r="J3" s="5">
        <f>'Proximal Validation'!J3</f>
        <v>0</v>
      </c>
      <c r="K3" s="5">
        <f>'Proximal Validation'!K3</f>
        <v>0</v>
      </c>
      <c r="L3" s="5">
        <f>'Proximal Validation'!L3</f>
        <v>3.3966472838073999E-3</v>
      </c>
      <c r="M3" s="5">
        <f>'Proximal Validation'!M3</f>
        <v>-8.4817789494991302E-2</v>
      </c>
      <c r="N3" s="5">
        <f>'Proximal Validation'!N3</f>
        <v>-3.2525759190321003E-2</v>
      </c>
      <c r="O3" s="5">
        <f>'Proximal Validation'!O3</f>
        <v>-0.186183482408524</v>
      </c>
      <c r="P3" s="5">
        <f>'Proximal Validation'!P3</f>
        <v>-0.290946185588837</v>
      </c>
      <c r="Q3" s="5">
        <f>'Proximal Validation'!Q3</f>
        <v>0.34101566672325101</v>
      </c>
      <c r="R3" s="5">
        <v>0.36812589768930226</v>
      </c>
      <c r="S3" s="5">
        <v>0.15632348649605163</v>
      </c>
      <c r="T3" s="5">
        <v>1.529531460180177</v>
      </c>
      <c r="U3" s="5">
        <v>1.5707963267948966</v>
      </c>
      <c r="V3" s="5">
        <v>0.30024142250950914</v>
      </c>
      <c r="W3" s="5">
        <v>3.101431493391834E-2</v>
      </c>
      <c r="X3" s="5">
        <v>3.1262104863074311</v>
      </c>
      <c r="Y3" s="5">
        <v>1.5707963267948966</v>
      </c>
      <c r="Z3" s="11">
        <v>1.3240492512382839E-6</v>
      </c>
      <c r="AA3" s="5">
        <f t="shared" ref="AA3:AH16" si="0">R3-A3</f>
        <v>-0.13187410231069774</v>
      </c>
      <c r="AB3" s="5">
        <f t="shared" si="0"/>
        <v>3.6323486496051632E-2</v>
      </c>
      <c r="AC3" s="5">
        <f t="shared" si="0"/>
        <v>-4.0468539819823013E-2</v>
      </c>
      <c r="AD3" s="5">
        <f t="shared" si="0"/>
        <v>0</v>
      </c>
      <c r="AE3" s="5">
        <f t="shared" si="0"/>
        <v>2.4142250950914823E-4</v>
      </c>
      <c r="AF3" s="5">
        <f t="shared" si="0"/>
        <v>1.1014314933918339E-2</v>
      </c>
      <c r="AG3" s="5">
        <f t="shared" si="0"/>
        <v>-1.5789513692568757E-2</v>
      </c>
      <c r="AH3" s="5">
        <f t="shared" si="0"/>
        <v>0</v>
      </c>
      <c r="AI3" s="8">
        <f>AVERAGE(ABS(AA3),ABS(AE3))</f>
        <v>6.6057762410103443E-2</v>
      </c>
      <c r="AJ3" s="8">
        <f t="shared" ref="AJ3:AK16" si="1">AVERAGE(ABS(AB3),ABS(AF3))</f>
        <v>2.3668900714984988E-2</v>
      </c>
      <c r="AK3" s="8">
        <f t="shared" si="1"/>
        <v>2.8129026756195885E-2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3">
        <f>'Proximal Validation'!A4</f>
        <v>0.5</v>
      </c>
      <c r="B4" s="13">
        <f>'Proximal Validation'!B4</f>
        <v>0.12</v>
      </c>
      <c r="C4" s="13">
        <f>'Proximal Validation'!C4</f>
        <v>1.57</v>
      </c>
      <c r="D4" s="13">
        <f>'Proximal Validation'!D4</f>
        <v>1.5707963267948966</v>
      </c>
      <c r="E4" s="13">
        <f>'Proximal Validation'!E4</f>
        <v>0.7</v>
      </c>
      <c r="F4" s="13">
        <f>'Proximal Validation'!F4</f>
        <v>0.06</v>
      </c>
      <c r="G4" s="13">
        <f>'Proximal Validation'!G4</f>
        <v>4.7119999999999997</v>
      </c>
      <c r="H4" s="13">
        <f>'Proximal Validation'!H4</f>
        <v>1.5707963267948966</v>
      </c>
      <c r="I4" s="13">
        <f>'Proximal Validation'!I4</f>
        <v>0</v>
      </c>
      <c r="J4" s="13">
        <f>'Proximal Validation'!J4</f>
        <v>0</v>
      </c>
      <c r="K4" s="13">
        <f>'Proximal Validation'!K4</f>
        <v>0</v>
      </c>
      <c r="L4" s="13">
        <f>'Proximal Validation'!L4</f>
        <v>2.92063690721989E-4</v>
      </c>
      <c r="M4" s="13">
        <f>'Proximal Validation'!M4</f>
        <v>-1.4378885738551599E-2</v>
      </c>
      <c r="N4" s="13">
        <f>'Proximal Validation'!N4</f>
        <v>5.1419169176369895E-4</v>
      </c>
      <c r="O4" s="13">
        <f>'Proximal Validation'!O4</f>
        <v>-1.40395248308778E-2</v>
      </c>
      <c r="P4" s="13">
        <f>'Proximal Validation'!P4</f>
        <v>-3.9881169795989999E-3</v>
      </c>
      <c r="Q4" s="13">
        <f>'Proximal Validation'!Q4</f>
        <v>-0.148137778043747</v>
      </c>
      <c r="R4" s="13">
        <v>0.56004930068563363</v>
      </c>
      <c r="S4" s="13">
        <v>0.16686693714739556</v>
      </c>
      <c r="T4" s="13">
        <v>1.534819317952397</v>
      </c>
      <c r="U4" s="13">
        <v>1.5707963267948966</v>
      </c>
      <c r="V4" s="13">
        <v>0.68274928290561365</v>
      </c>
      <c r="W4" s="13">
        <v>9.4720719090467115E-2</v>
      </c>
      <c r="X4" s="13">
        <v>4.6774162642617716</v>
      </c>
      <c r="Y4" s="13">
        <v>1.5707963267948966</v>
      </c>
      <c r="Z4" s="14">
        <v>7.6862678292148174E-6</v>
      </c>
      <c r="AA4" s="13">
        <f t="shared" si="0"/>
        <v>6.0049300685633633E-2</v>
      </c>
      <c r="AB4" s="13">
        <f t="shared" si="0"/>
        <v>4.6866937147395565E-2</v>
      </c>
      <c r="AC4" s="13">
        <f t="shared" si="0"/>
        <v>-3.5180682047603051E-2</v>
      </c>
      <c r="AD4" s="13">
        <f t="shared" si="0"/>
        <v>0</v>
      </c>
      <c r="AE4" s="13">
        <f t="shared" si="0"/>
        <v>-1.7250717094386303E-2</v>
      </c>
      <c r="AF4" s="13">
        <f t="shared" si="0"/>
        <v>3.4720719090467117E-2</v>
      </c>
      <c r="AG4" s="13">
        <f t="shared" si="0"/>
        <v>-3.458373573822815E-2</v>
      </c>
      <c r="AH4" s="13">
        <f t="shared" si="0"/>
        <v>0</v>
      </c>
      <c r="AI4" s="15">
        <f t="shared" ref="AI4:AI16" si="2">AVERAGE(ABS(AA4),ABS(AE4))</f>
        <v>3.8650008890009968E-2</v>
      </c>
      <c r="AJ4" s="15">
        <f t="shared" si="1"/>
        <v>4.0793828118931341E-2</v>
      </c>
      <c r="AK4" s="15">
        <f t="shared" si="1"/>
        <v>3.48822088929156E-2</v>
      </c>
      <c r="AL4" s="7" cm="1">
        <f t="array" ref="AL4">AVERAGE(ABS(AA3:AA17))</f>
        <v>9.0258174542520789E-2</v>
      </c>
      <c r="AM4" s="7" cm="1">
        <f t="array" ref="AM4">AVERAGE(ABS(AB3:AB17))</f>
        <v>1.3586958439458185E-2</v>
      </c>
      <c r="AN4" s="7" cm="1">
        <f t="array" ref="AN4">AVERAGE(ABS(AC3:AC17))</f>
        <v>7.8320487608555492E-2</v>
      </c>
      <c r="AO4" s="7" cm="1">
        <f t="array" ref="AO4">AVERAGE(ABS(AD3:AD17))</f>
        <v>0</v>
      </c>
      <c r="AP4" s="7" cm="1">
        <f t="array" ref="AP4">AVERAGE(ABS(AE3:AE17))</f>
        <v>8.1367730074145619E-2</v>
      </c>
      <c r="AQ4" s="7" cm="1">
        <f t="array" ref="AQ4">AVERAGE(ABS(AF3:AF17))</f>
        <v>9.7343565270051648E-3</v>
      </c>
      <c r="AR4" s="7" cm="1">
        <f t="array" ref="AR4">AVERAGE(ABS(AG3:AG17))</f>
        <v>0.17403614603257189</v>
      </c>
      <c r="AS4" s="7" cm="1">
        <f t="array" ref="AS4">AVERAGE(ABS(AH3:AH17))</f>
        <v>0</v>
      </c>
    </row>
    <row r="5" spans="1:45" x14ac:dyDescent="0.25">
      <c r="A5" s="5">
        <f>'Proximal Validation'!A5</f>
        <v>0.8</v>
      </c>
      <c r="B5" s="5">
        <f>'Proximal Validation'!B5</f>
        <v>0.18</v>
      </c>
      <c r="C5" s="5">
        <f>'Proximal Validation'!C5</f>
        <v>1.57</v>
      </c>
      <c r="D5" s="5">
        <f>'Proximal Validation'!D5</f>
        <v>1.5707963267948966</v>
      </c>
      <c r="E5" s="5">
        <f>'Proximal Validation'!E5</f>
        <v>0.4</v>
      </c>
      <c r="F5" s="5">
        <f>'Proximal Validation'!F5</f>
        <v>0.08</v>
      </c>
      <c r="G5" s="5">
        <f>'Proximal Validation'!G5</f>
        <v>4.7119999999999997</v>
      </c>
      <c r="H5" s="5">
        <f>'Proximal Validation'!H5</f>
        <v>1.5707963267948966</v>
      </c>
      <c r="I5" s="5">
        <f>'Proximal Validation'!I5</f>
        <v>0.4</v>
      </c>
      <c r="J5" s="5">
        <f>'Proximal Validation'!J5</f>
        <v>0</v>
      </c>
      <c r="K5" s="5">
        <f>'Proximal Validation'!K5</f>
        <v>0</v>
      </c>
      <c r="L5" s="5">
        <f>'Proximal Validation'!L5</f>
        <v>2.6918570511043102E-3</v>
      </c>
      <c r="M5" s="5">
        <f>'Proximal Validation'!M5</f>
        <v>-9.7128830850124401E-2</v>
      </c>
      <c r="N5" s="5">
        <f>'Proximal Validation'!N5</f>
        <v>5.0861202180385598E-3</v>
      </c>
      <c r="O5" s="5">
        <f>'Proximal Validation'!O5</f>
        <v>-0.40724512934684798</v>
      </c>
      <c r="P5" s="5">
        <f>'Proximal Validation'!P5</f>
        <v>1.0805079713463801E-2</v>
      </c>
      <c r="Q5" s="5">
        <f>'Proximal Validation'!Q5</f>
        <v>3.2090678811073303E-2</v>
      </c>
      <c r="R5" s="5">
        <v>0.85920177522492991</v>
      </c>
      <c r="S5" s="5">
        <v>0.18519334189436665</v>
      </c>
      <c r="T5" s="5">
        <v>1.6012035230502721</v>
      </c>
      <c r="U5" s="5">
        <v>1.5707963267948966</v>
      </c>
      <c r="V5" s="5">
        <v>0.47344361257026446</v>
      </c>
      <c r="W5" s="5">
        <v>0.10687620803731127</v>
      </c>
      <c r="X5" s="5">
        <v>4.8430913984623603</v>
      </c>
      <c r="Y5" s="5">
        <v>1.5707963267948966</v>
      </c>
      <c r="Z5" s="11">
        <v>1.3311327359854187E-5</v>
      </c>
      <c r="AA5" s="5">
        <f t="shared" si="0"/>
        <v>5.9201775224929865E-2</v>
      </c>
      <c r="AB5" s="5">
        <f t="shared" si="0"/>
        <v>5.1933418943666543E-3</v>
      </c>
      <c r="AC5" s="5">
        <f t="shared" si="0"/>
        <v>3.1203523050272075E-2</v>
      </c>
      <c r="AD5" s="5">
        <f t="shared" si="0"/>
        <v>0</v>
      </c>
      <c r="AE5" s="5">
        <f t="shared" si="0"/>
        <v>7.3443612570264438E-2</v>
      </c>
      <c r="AF5" s="5">
        <f t="shared" si="0"/>
        <v>2.6876208037311264E-2</v>
      </c>
      <c r="AG5" s="5">
        <f t="shared" si="0"/>
        <v>0.13109139846236051</v>
      </c>
      <c r="AH5" s="5">
        <f t="shared" si="0"/>
        <v>0</v>
      </c>
      <c r="AI5" s="8">
        <f t="shared" si="2"/>
        <v>6.6322693897597151E-2</v>
      </c>
      <c r="AJ5" s="8">
        <f t="shared" si="1"/>
        <v>1.6034774965838959E-2</v>
      </c>
      <c r="AK5" s="8">
        <f t="shared" si="1"/>
        <v>8.1147460756316292E-2</v>
      </c>
      <c r="AL5" s="32" t="s">
        <v>32</v>
      </c>
      <c r="AM5" s="32"/>
      <c r="AN5" s="32"/>
      <c r="AO5" s="32"/>
      <c r="AP5" s="32"/>
      <c r="AQ5" s="32"/>
      <c r="AR5" s="32"/>
      <c r="AS5" s="32"/>
    </row>
    <row r="6" spans="1:45" x14ac:dyDescent="0.25">
      <c r="A6" s="5">
        <f>'Proximal Validation'!A6</f>
        <v>0.3</v>
      </c>
      <c r="B6" s="5">
        <f>'Proximal Validation'!B6</f>
        <v>0.2</v>
      </c>
      <c r="C6" s="5">
        <f>'Proximal Validation'!C6</f>
        <v>1.57</v>
      </c>
      <c r="D6" s="5">
        <f>'Proximal Validation'!D6</f>
        <v>1.5707963267948966</v>
      </c>
      <c r="E6" s="5">
        <f>'Proximal Validation'!E6</f>
        <v>0.7</v>
      </c>
      <c r="F6" s="5">
        <f>'Proximal Validation'!F6</f>
        <v>0.04</v>
      </c>
      <c r="G6" s="5">
        <f>'Proximal Validation'!G6</f>
        <v>3.1419999999999999</v>
      </c>
      <c r="H6" s="5">
        <f>'Proximal Validation'!H6</f>
        <v>1.5707963267948966</v>
      </c>
      <c r="I6" s="5">
        <f>'Proximal Validation'!I6</f>
        <v>0.4</v>
      </c>
      <c r="J6" s="5">
        <f>'Proximal Validation'!J6</f>
        <v>0</v>
      </c>
      <c r="K6" s="5">
        <f>'Proximal Validation'!K6</f>
        <v>0</v>
      </c>
      <c r="L6" s="5">
        <f>'Proximal Validation'!L6</f>
        <v>1.2694518081843901E-3</v>
      </c>
      <c r="M6" s="5">
        <f>'Proximal Validation'!M6</f>
        <v>-5.2426334470510497E-2</v>
      </c>
      <c r="N6" s="5">
        <f>'Proximal Validation'!N6</f>
        <v>-8.8403537869453402E-2</v>
      </c>
      <c r="O6" s="5">
        <f>'Proximal Validation'!O6</f>
        <v>-0.16237765550613401</v>
      </c>
      <c r="P6" s="5">
        <f>'Proximal Validation'!P6</f>
        <v>-0.67368566989898704</v>
      </c>
      <c r="Q6" s="5">
        <f>'Proximal Validation'!Q6</f>
        <v>6.8886458873748793E-2</v>
      </c>
      <c r="R6" s="5">
        <v>0.29978582893680189</v>
      </c>
      <c r="S6" s="5">
        <v>0.19980744544364126</v>
      </c>
      <c r="T6" s="5">
        <v>1.4734900722218307</v>
      </c>
      <c r="U6" s="5">
        <v>1.5707963267948966</v>
      </c>
      <c r="V6" s="5">
        <v>0.72588706707290052</v>
      </c>
      <c r="W6" s="5">
        <v>4.9748908514736456E-2</v>
      </c>
      <c r="X6" s="5">
        <v>3.4079606035096717</v>
      </c>
      <c r="Y6" s="5">
        <v>1.5707963267948966</v>
      </c>
      <c r="Z6" s="11">
        <v>3.4862002203800943E-6</v>
      </c>
      <c r="AA6" s="5">
        <f t="shared" si="0"/>
        <v>-2.1417106319809864E-4</v>
      </c>
      <c r="AB6" s="5">
        <f t="shared" si="0"/>
        <v>-1.925545563587483E-4</v>
      </c>
      <c r="AC6" s="5">
        <f t="shared" si="0"/>
        <v>-9.6509927778169358E-2</v>
      </c>
      <c r="AD6" s="5">
        <f t="shared" si="0"/>
        <v>0</v>
      </c>
      <c r="AE6" s="5">
        <f t="shared" si="0"/>
        <v>2.588706707290056E-2</v>
      </c>
      <c r="AF6" s="5">
        <f t="shared" si="0"/>
        <v>9.7489085147364554E-3</v>
      </c>
      <c r="AG6" s="5">
        <f t="shared" si="0"/>
        <v>0.26596060350967177</v>
      </c>
      <c r="AH6" s="5">
        <f t="shared" si="0"/>
        <v>0</v>
      </c>
      <c r="AI6" s="8">
        <f t="shared" si="2"/>
        <v>1.3050619068049329E-2</v>
      </c>
      <c r="AJ6" s="8">
        <f t="shared" si="1"/>
        <v>4.9707315355476019E-3</v>
      </c>
      <c r="AK6" s="8">
        <f t="shared" si="1"/>
        <v>0.18123526564392056</v>
      </c>
      <c r="AL6" s="6" t="s">
        <v>33</v>
      </c>
      <c r="AM6" s="6" t="s">
        <v>34</v>
      </c>
      <c r="AN6" s="6" t="s">
        <v>35</v>
      </c>
      <c r="AO6" s="7"/>
      <c r="AP6" s="7"/>
      <c r="AQ6" s="7"/>
      <c r="AR6" s="7"/>
      <c r="AS6" s="7"/>
    </row>
    <row r="7" spans="1:45" x14ac:dyDescent="0.25">
      <c r="A7" s="5">
        <f>'Proximal Validation'!A7</f>
        <v>0.3</v>
      </c>
      <c r="B7" s="5">
        <f>'Proximal Validation'!B7</f>
        <v>0.1</v>
      </c>
      <c r="C7" s="5">
        <f>'Proximal Validation'!C7</f>
        <v>3.1419999999999999</v>
      </c>
      <c r="D7" s="5">
        <f>'Proximal Validation'!D7</f>
        <v>1.5707963267948966</v>
      </c>
      <c r="E7" s="5">
        <f>'Proximal Validation'!E7</f>
        <v>0.8</v>
      </c>
      <c r="F7" s="5">
        <f>'Proximal Validation'!F7</f>
        <v>0.08</v>
      </c>
      <c r="G7" s="5">
        <f>'Proximal Validation'!G7</f>
        <v>3.927</v>
      </c>
      <c r="H7" s="5">
        <f>'Proximal Validation'!H7</f>
        <v>1.5707963267948966</v>
      </c>
      <c r="I7" s="5">
        <f>'Proximal Validation'!I7</f>
        <v>0.8</v>
      </c>
      <c r="J7" s="5">
        <f>'Proximal Validation'!J7</f>
        <v>0</v>
      </c>
      <c r="K7" s="5">
        <f>'Proximal Validation'!K7</f>
        <v>0</v>
      </c>
      <c r="L7" s="5">
        <f>'Proximal Validation'!L7</f>
        <v>-2.6597268879413599E-4</v>
      </c>
      <c r="M7" s="5">
        <f>'Proximal Validation'!M7</f>
        <v>8.6320064961910206E-2</v>
      </c>
      <c r="N7" s="5">
        <f>'Proximal Validation'!N7</f>
        <v>-0.15243518352508501</v>
      </c>
      <c r="O7" s="5">
        <f>'Proximal Validation'!O7</f>
        <v>-0.22609874606132499</v>
      </c>
      <c r="P7" s="5">
        <f>'Proximal Validation'!P7</f>
        <v>-0.81293100118637096</v>
      </c>
      <c r="Q7" s="5">
        <f>'Proximal Validation'!Q7</f>
        <v>-0.47338950634002702</v>
      </c>
      <c r="R7" s="5">
        <v>0.6806331994574889</v>
      </c>
      <c r="S7" s="5">
        <v>8.6026430432652817E-2</v>
      </c>
      <c r="T7" s="5">
        <v>2.9409907946849319</v>
      </c>
      <c r="U7" s="5">
        <v>1.5707963267948966</v>
      </c>
      <c r="V7" s="5">
        <v>0.67901010121903682</v>
      </c>
      <c r="W7" s="5">
        <v>8.0471232759914829E-2</v>
      </c>
      <c r="X7" s="5">
        <v>4.4003431901341186</v>
      </c>
      <c r="Y7" s="5">
        <v>1.5707963267948966</v>
      </c>
      <c r="Z7" s="11">
        <v>8.1464082771986257E-6</v>
      </c>
      <c r="AA7" s="5">
        <f t="shared" si="0"/>
        <v>0.38063319945748891</v>
      </c>
      <c r="AB7" s="5">
        <f t="shared" si="0"/>
        <v>-1.3973569567347188E-2</v>
      </c>
      <c r="AC7" s="5">
        <f t="shared" si="0"/>
        <v>-0.20100920531506805</v>
      </c>
      <c r="AD7" s="5">
        <f t="shared" si="0"/>
        <v>0</v>
      </c>
      <c r="AE7" s="5">
        <f t="shared" si="0"/>
        <v>-0.12098989878096322</v>
      </c>
      <c r="AF7" s="5">
        <f t="shared" si="0"/>
        <v>4.7123275991482749E-4</v>
      </c>
      <c r="AG7" s="5">
        <f t="shared" si="0"/>
        <v>0.47334319013411852</v>
      </c>
      <c r="AH7" s="5">
        <f t="shared" si="0"/>
        <v>0</v>
      </c>
      <c r="AI7" s="8">
        <f t="shared" si="2"/>
        <v>0.2508115491192261</v>
      </c>
      <c r="AJ7" s="8">
        <f t="shared" si="1"/>
        <v>7.2224011636310079E-3</v>
      </c>
      <c r="AK7" s="8">
        <f t="shared" si="1"/>
        <v>0.33717619772459329</v>
      </c>
      <c r="AL7" s="10">
        <f>AVERAGE(AI3:AI17)</f>
        <v>9.9014944971153679E-2</v>
      </c>
      <c r="AM7" s="10">
        <f t="shared" ref="AM7:AN7" si="3">AVERAGE(AJ3:AJ17)</f>
        <v>1.3454604788344239E-2</v>
      </c>
      <c r="AN7" s="10">
        <f t="shared" si="3"/>
        <v>0.14559036556218888</v>
      </c>
      <c r="AO7" s="7"/>
      <c r="AP7" s="7"/>
      <c r="AQ7" s="7"/>
      <c r="AR7" s="7"/>
      <c r="AS7" s="7"/>
    </row>
    <row r="8" spans="1:45" x14ac:dyDescent="0.25">
      <c r="A8" s="5">
        <f>'Proximal Validation'!A8</f>
        <v>0.7</v>
      </c>
      <c r="B8" s="5">
        <f>'Proximal Validation'!B8</f>
        <v>0.1</v>
      </c>
      <c r="C8" s="5">
        <f>'Proximal Validation'!C8</f>
        <v>3.1419999999999999</v>
      </c>
      <c r="D8" s="5">
        <f>'Proximal Validation'!D8</f>
        <v>1.5707963267948966</v>
      </c>
      <c r="E8" s="5">
        <f>'Proximal Validation'!E8</f>
        <v>0.4</v>
      </c>
      <c r="F8" s="5">
        <f>'Proximal Validation'!F8</f>
        <v>0.04</v>
      </c>
      <c r="G8" s="5">
        <f>'Proximal Validation'!G8</f>
        <v>3.927</v>
      </c>
      <c r="H8" s="5">
        <f>'Proximal Validation'!H8</f>
        <v>1.5707963267948966</v>
      </c>
      <c r="I8" s="5">
        <f>'Proximal Validation'!I8</f>
        <v>0.4</v>
      </c>
      <c r="J8" s="5">
        <f>'Proximal Validation'!J8</f>
        <v>0</v>
      </c>
      <c r="K8" s="5">
        <f>'Proximal Validation'!K8</f>
        <v>0</v>
      </c>
      <c r="L8" s="5">
        <f>'Proximal Validation'!L8</f>
        <v>-1.1004870757460601E-3</v>
      </c>
      <c r="M8" s="5">
        <f>'Proximal Validation'!M8</f>
        <v>3.6083325743675197E-2</v>
      </c>
      <c r="N8" s="5">
        <f>'Proximal Validation'!N8</f>
        <v>-0.180290177464485</v>
      </c>
      <c r="O8" s="5">
        <f>'Proximal Validation'!O8</f>
        <v>-0.18137529492378199</v>
      </c>
      <c r="P8" s="5">
        <f>'Proximal Validation'!P8</f>
        <v>-0.99236428737640403</v>
      </c>
      <c r="Q8" s="5">
        <f>'Proximal Validation'!Q8</f>
        <v>-0.25453394651413003</v>
      </c>
      <c r="R8" s="5">
        <v>0.77393892308662438</v>
      </c>
      <c r="S8" s="5">
        <v>8.2857599157317233E-2</v>
      </c>
      <c r="T8" s="5">
        <v>3.1045395242461655</v>
      </c>
      <c r="U8" s="5">
        <v>1.5707963267948966</v>
      </c>
      <c r="V8" s="5">
        <v>0.43045698478271283</v>
      </c>
      <c r="W8" s="5">
        <v>4.8545751751218176E-2</v>
      </c>
      <c r="X8" s="5">
        <v>3.8935493864284476</v>
      </c>
      <c r="Y8" s="5">
        <v>1.5707963267948966</v>
      </c>
      <c r="Z8" s="11">
        <v>1.9358100401641475E-5</v>
      </c>
      <c r="AA8" s="5">
        <f t="shared" si="0"/>
        <v>7.393892308662442E-2</v>
      </c>
      <c r="AB8" s="5">
        <f t="shared" si="0"/>
        <v>-1.7142400842682773E-2</v>
      </c>
      <c r="AC8" s="5">
        <f t="shared" si="0"/>
        <v>-3.7460475753834377E-2</v>
      </c>
      <c r="AD8" s="5">
        <f t="shared" si="0"/>
        <v>0</v>
      </c>
      <c r="AE8" s="5">
        <f t="shared" si="0"/>
        <v>3.0456984782712804E-2</v>
      </c>
      <c r="AF8" s="5">
        <f t="shared" si="0"/>
        <v>8.5457517512181752E-3</v>
      </c>
      <c r="AG8" s="5">
        <f t="shared" si="0"/>
        <v>-3.3450613571552434E-2</v>
      </c>
      <c r="AH8" s="5">
        <f t="shared" si="0"/>
        <v>0</v>
      </c>
      <c r="AI8" s="9">
        <f t="shared" si="2"/>
        <v>5.2197953934668612E-2</v>
      </c>
      <c r="AJ8" s="9">
        <f t="shared" si="1"/>
        <v>1.2844076296950474E-2</v>
      </c>
      <c r="AK8" s="9">
        <f t="shared" si="1"/>
        <v>3.5455544662693406E-2</v>
      </c>
    </row>
    <row r="9" spans="1:45" x14ac:dyDescent="0.25">
      <c r="A9" s="5">
        <f>'Proximal Validation'!A9</f>
        <v>0.5</v>
      </c>
      <c r="B9" s="5">
        <f>'Proximal Validation'!B9</f>
        <v>0.14000000000000001</v>
      </c>
      <c r="C9" s="5">
        <f>'Proximal Validation'!C9</f>
        <v>3.1419999999999999</v>
      </c>
      <c r="D9" s="5">
        <f>'Proximal Validation'!D9</f>
        <v>1.5707963267948966</v>
      </c>
      <c r="E9" s="5">
        <f>'Proximal Validation'!E9</f>
        <v>0.7</v>
      </c>
      <c r="F9" s="5">
        <f>'Proximal Validation'!F9</f>
        <v>0.08</v>
      </c>
      <c r="G9" s="5">
        <f>'Proximal Validation'!G9</f>
        <v>3.927</v>
      </c>
      <c r="H9" s="5">
        <f>'Proximal Validation'!H9</f>
        <v>1.5707963267948966</v>
      </c>
      <c r="I9" s="5">
        <f>'Proximal Validation'!I9</f>
        <v>0.4</v>
      </c>
      <c r="J9" s="5">
        <f>'Proximal Validation'!J9</f>
        <v>0</v>
      </c>
      <c r="K9" s="5">
        <f>'Proximal Validation'!K9</f>
        <v>0</v>
      </c>
      <c r="L9" s="5">
        <f>'Proximal Validation'!L9</f>
        <v>1.21408142149448E-4</v>
      </c>
      <c r="M9" s="5">
        <f>'Proximal Validation'!M9</f>
        <v>6.0930710285902002E-2</v>
      </c>
      <c r="N9" s="5">
        <f>'Proximal Validation'!N9</f>
        <v>-0.19216823577880901</v>
      </c>
      <c r="O9" s="5">
        <f>'Proximal Validation'!O9</f>
        <v>-0.45323920249938998</v>
      </c>
      <c r="P9" s="5">
        <f>'Proximal Validation'!P9</f>
        <v>-0.86372590065002397</v>
      </c>
      <c r="Q9" s="5">
        <f>'Proximal Validation'!Q9</f>
        <v>-0.33691111207008401</v>
      </c>
      <c r="R9" s="5">
        <v>0.24090802440847459</v>
      </c>
      <c r="S9" s="5">
        <v>0.15326383679369923</v>
      </c>
      <c r="T9" s="5">
        <v>2.867759016008355</v>
      </c>
      <c r="U9" s="5">
        <v>1.5707963267948966</v>
      </c>
      <c r="V9" s="5">
        <v>0.92856669670630876</v>
      </c>
      <c r="W9" s="5">
        <v>8.5631391217949729E-2</v>
      </c>
      <c r="X9" s="5">
        <v>3.6422948784847131</v>
      </c>
      <c r="Y9" s="5">
        <v>1.5707963267948966</v>
      </c>
      <c r="Z9" s="11">
        <v>1.706338825363683E-5</v>
      </c>
      <c r="AA9" s="5">
        <f t="shared" si="0"/>
        <v>-0.25909197559152541</v>
      </c>
      <c r="AB9" s="5">
        <f t="shared" si="0"/>
        <v>1.3263836793699219E-2</v>
      </c>
      <c r="AC9" s="5">
        <f t="shared" si="0"/>
        <v>-0.27424098399164487</v>
      </c>
      <c r="AD9" s="5">
        <f t="shared" si="0"/>
        <v>0</v>
      </c>
      <c r="AE9" s="5">
        <f t="shared" si="0"/>
        <v>0.2285666967063088</v>
      </c>
      <c r="AF9" s="5">
        <f t="shared" si="0"/>
        <v>5.6313912179497272E-3</v>
      </c>
      <c r="AG9" s="5">
        <f t="shared" si="0"/>
        <v>-0.28470512151528693</v>
      </c>
      <c r="AH9" s="5">
        <f t="shared" si="0"/>
        <v>0</v>
      </c>
      <c r="AI9" s="8">
        <f t="shared" si="2"/>
        <v>0.24382933614891711</v>
      </c>
      <c r="AJ9" s="8">
        <f t="shared" si="1"/>
        <v>9.4476140058244729E-3</v>
      </c>
      <c r="AK9" s="8">
        <f t="shared" si="1"/>
        <v>0.2794730527534659</v>
      </c>
    </row>
    <row r="10" spans="1:45" x14ac:dyDescent="0.25">
      <c r="A10" s="5">
        <f>'Proximal Validation'!A10</f>
        <v>0.7</v>
      </c>
      <c r="B10" s="5">
        <f>'Proximal Validation'!B10</f>
        <v>0.14000000000000001</v>
      </c>
      <c r="C10" s="5">
        <f>'Proximal Validation'!C10</f>
        <v>3.1419999999999999</v>
      </c>
      <c r="D10" s="5">
        <f>'Proximal Validation'!D10</f>
        <v>1.5707963267948966</v>
      </c>
      <c r="E10" s="5">
        <f>'Proximal Validation'!E10</f>
        <v>0.5</v>
      </c>
      <c r="F10" s="5">
        <f>'Proximal Validation'!F10</f>
        <v>0.06</v>
      </c>
      <c r="G10" s="5">
        <f>'Proximal Validation'!G10</f>
        <v>3.927</v>
      </c>
      <c r="H10" s="5">
        <f>'Proximal Validation'!H10</f>
        <v>1.5707963267948966</v>
      </c>
      <c r="I10" s="5">
        <f>'Proximal Validation'!I10</f>
        <v>0.8</v>
      </c>
      <c r="J10" s="5">
        <f>'Proximal Validation'!J10</f>
        <v>0</v>
      </c>
      <c r="K10" s="5">
        <f>'Proximal Validation'!K10</f>
        <v>0</v>
      </c>
      <c r="L10" s="5">
        <f>'Proximal Validation'!L10</f>
        <v>2.0413408055901501E-3</v>
      </c>
      <c r="M10" s="5">
        <f>'Proximal Validation'!M10</f>
        <v>5.3677611052990001E-2</v>
      </c>
      <c r="N10" s="5">
        <f>'Proximal Validation'!N10</f>
        <v>-0.22552120685577401</v>
      </c>
      <c r="O10" s="5">
        <f>'Proximal Validation'!O10</f>
        <v>-0.44799792766571001</v>
      </c>
      <c r="P10" s="5">
        <f>'Proximal Validation'!P10</f>
        <v>-1.0344259738922099</v>
      </c>
      <c r="Q10" s="5">
        <f>'Proximal Validation'!Q10</f>
        <v>-0.34386280179023698</v>
      </c>
      <c r="R10" s="5">
        <v>0.69162729491676089</v>
      </c>
      <c r="S10" s="5">
        <v>0.11092201197710488</v>
      </c>
      <c r="T10" s="5">
        <v>3.0127857942366614</v>
      </c>
      <c r="U10" s="5">
        <v>1.5707963267948966</v>
      </c>
      <c r="V10" s="5">
        <v>0.73867832090078001</v>
      </c>
      <c r="W10" s="5">
        <v>6.5091239748481869E-2</v>
      </c>
      <c r="X10" s="5">
        <v>3.8151842033432355</v>
      </c>
      <c r="Y10" s="5">
        <v>1.5707963267948966</v>
      </c>
      <c r="Z10" s="11">
        <v>4.2574098699885561E-5</v>
      </c>
      <c r="AA10" s="5">
        <f t="shared" si="0"/>
        <v>-8.3727050832390626E-3</v>
      </c>
      <c r="AB10" s="5">
        <f t="shared" si="0"/>
        <v>-2.9077988022895129E-2</v>
      </c>
      <c r="AC10" s="5">
        <f t="shared" si="0"/>
        <v>-0.12921420576333853</v>
      </c>
      <c r="AD10" s="5">
        <f t="shared" si="0"/>
        <v>0</v>
      </c>
      <c r="AE10" s="5">
        <f t="shared" si="0"/>
        <v>0.23867832090078001</v>
      </c>
      <c r="AF10" s="5">
        <f t="shared" si="0"/>
        <v>5.0912397484818711E-3</v>
      </c>
      <c r="AG10" s="5">
        <f t="shared" si="0"/>
        <v>-0.11181579665676455</v>
      </c>
      <c r="AH10" s="5">
        <f t="shared" si="0"/>
        <v>0</v>
      </c>
      <c r="AI10" s="8">
        <f t="shared" si="2"/>
        <v>0.12352551299200953</v>
      </c>
      <c r="AJ10" s="8">
        <f t="shared" si="1"/>
        <v>1.70846138856885E-2</v>
      </c>
      <c r="AK10" s="8">
        <f t="shared" si="1"/>
        <v>0.12051500121005154</v>
      </c>
    </row>
    <row r="11" spans="1:45" x14ac:dyDescent="0.25">
      <c r="A11" s="5">
        <f>'Proximal Validation'!A11</f>
        <v>0.4</v>
      </c>
      <c r="B11" s="5">
        <f>'Proximal Validation'!B11</f>
        <v>0.18</v>
      </c>
      <c r="C11" s="5">
        <f>'Proximal Validation'!C11</f>
        <v>3.1419999999999999</v>
      </c>
      <c r="D11" s="5">
        <f>'Proximal Validation'!D11</f>
        <v>1.5707963267948966</v>
      </c>
      <c r="E11" s="5">
        <f>'Proximal Validation'!E11</f>
        <v>0.4</v>
      </c>
      <c r="F11" s="5">
        <f>'Proximal Validation'!F11</f>
        <v>0.02</v>
      </c>
      <c r="G11" s="5">
        <f>'Proximal Validation'!G11</f>
        <v>3.927</v>
      </c>
      <c r="H11" s="5">
        <f>'Proximal Validation'!H11</f>
        <v>1.5707963267948966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-1.80347869172692E-3</v>
      </c>
      <c r="M11" s="5">
        <f>'Proximal Validation'!M11</f>
        <v>3.06784845888615E-2</v>
      </c>
      <c r="N11" s="5">
        <f>'Proximal Validation'!N11</f>
        <v>-0.130104705691338</v>
      </c>
      <c r="O11" s="5">
        <f>'Proximal Validation'!O11</f>
        <v>-0.345878034830093</v>
      </c>
      <c r="P11" s="5">
        <f>'Proximal Validation'!P11</f>
        <v>-0.53015172481536899</v>
      </c>
      <c r="Q11" s="5">
        <f>'Proximal Validation'!Q11</f>
        <v>-0.25460425019264199</v>
      </c>
      <c r="R11" s="5">
        <v>0.44227332682612736</v>
      </c>
      <c r="S11" s="5">
        <v>0.18485320333525496</v>
      </c>
      <c r="T11" s="5">
        <v>3.1601558205378004</v>
      </c>
      <c r="U11" s="5">
        <v>1.5707963267948966</v>
      </c>
      <c r="V11" s="5">
        <v>0.32131769996080994</v>
      </c>
      <c r="W11" s="5">
        <v>2.7491822674676578E-2</v>
      </c>
      <c r="X11" s="5">
        <v>4.0307143013635649</v>
      </c>
      <c r="Y11" s="5">
        <v>1.5707963267948966</v>
      </c>
      <c r="Z11" s="11">
        <v>3.7671144603751207E-6</v>
      </c>
      <c r="AA11" s="5">
        <f t="shared" si="0"/>
        <v>4.2273326826127333E-2</v>
      </c>
      <c r="AB11" s="5">
        <f t="shared" si="0"/>
        <v>4.8532033352549631E-3</v>
      </c>
      <c r="AC11" s="5">
        <f t="shared" si="0"/>
        <v>1.8155820537800516E-2</v>
      </c>
      <c r="AD11" s="5">
        <f t="shared" si="0"/>
        <v>0</v>
      </c>
      <c r="AE11" s="5">
        <f t="shared" si="0"/>
        <v>-7.8682300039190078E-2</v>
      </c>
      <c r="AF11" s="5">
        <f t="shared" si="0"/>
        <v>7.4918226746765772E-3</v>
      </c>
      <c r="AG11" s="5">
        <f t="shared" si="0"/>
        <v>0.10371430136356485</v>
      </c>
      <c r="AH11" s="5">
        <f t="shared" si="0"/>
        <v>0</v>
      </c>
      <c r="AI11" s="8">
        <f t="shared" si="2"/>
        <v>6.0477813432658706E-2</v>
      </c>
      <c r="AJ11" s="8">
        <f t="shared" si="1"/>
        <v>6.1725130049657701E-3</v>
      </c>
      <c r="AK11" s="8">
        <f t="shared" si="1"/>
        <v>6.0935060950682685E-2</v>
      </c>
    </row>
    <row r="12" spans="1:45" x14ac:dyDescent="0.25">
      <c r="A12" s="5">
        <f>'Proximal Validation'!A12</f>
        <v>0.7</v>
      </c>
      <c r="B12" s="5">
        <f>'Proximal Validation'!B12</f>
        <v>0.18</v>
      </c>
      <c r="C12" s="5">
        <f>'Proximal Validation'!C12</f>
        <v>3.1419999999999999</v>
      </c>
      <c r="D12" s="5">
        <f>'Proximal Validation'!D12</f>
        <v>1.5707963267948966</v>
      </c>
      <c r="E12" s="5">
        <f>'Proximal Validation'!E12</f>
        <v>0.8</v>
      </c>
      <c r="F12" s="5">
        <f>'Proximal Validation'!F12</f>
        <v>0.04</v>
      </c>
      <c r="G12" s="5">
        <f>'Proximal Validation'!G12</f>
        <v>3.927</v>
      </c>
      <c r="H12" s="5">
        <f>'Proximal Validation'!H12</f>
        <v>1.5707963267948966</v>
      </c>
      <c r="I12" s="5">
        <f>'Proximal Validation'!I12</f>
        <v>0.4</v>
      </c>
      <c r="J12" s="5">
        <f>'Proximal Validation'!J12</f>
        <v>0</v>
      </c>
      <c r="K12" s="5">
        <f>'Proximal Validation'!K12</f>
        <v>0</v>
      </c>
      <c r="L12" s="5">
        <f>'Proximal Validation'!L12</f>
        <v>0</v>
      </c>
      <c r="M12" s="5">
        <f>'Proximal Validation'!M12</f>
        <v>0</v>
      </c>
      <c r="N12" s="5">
        <f>'Proximal Validation'!N12</f>
        <v>0</v>
      </c>
      <c r="O12" s="5">
        <f>'Proximal Validation'!O12</f>
        <v>0</v>
      </c>
      <c r="P12" s="5">
        <f>'Proximal Validation'!P12</f>
        <v>0</v>
      </c>
      <c r="Q12" s="5">
        <f>'Proximal Validation'!Q12</f>
        <v>0</v>
      </c>
      <c r="R12" s="5"/>
      <c r="S12" s="5"/>
      <c r="T12" s="5"/>
      <c r="U12" s="5"/>
      <c r="V12" s="5"/>
      <c r="W12" s="5"/>
      <c r="X12" s="5"/>
      <c r="Y12" s="5"/>
      <c r="Z12" s="11"/>
      <c r="AA12" s="5"/>
      <c r="AB12" s="5"/>
      <c r="AC12" s="5"/>
      <c r="AD12" s="5"/>
      <c r="AE12" s="5"/>
      <c r="AF12" s="5"/>
      <c r="AG12" s="5"/>
      <c r="AH12" s="5"/>
      <c r="AI12" s="8"/>
      <c r="AJ12" s="8"/>
      <c r="AK12" s="8"/>
    </row>
    <row r="13" spans="1:45" x14ac:dyDescent="0.25">
      <c r="A13" s="5">
        <f>'Proximal Validation'!A13</f>
        <v>0.3</v>
      </c>
      <c r="B13" s="5">
        <f>'Proximal Validation'!B13</f>
        <v>0.12</v>
      </c>
      <c r="C13" s="5">
        <f>'Proximal Validation'!C13</f>
        <v>4.7119999999999997</v>
      </c>
      <c r="D13" s="5">
        <f>'Proximal Validation'!D13</f>
        <v>1.5707963267948966</v>
      </c>
      <c r="E13" s="5">
        <f>'Proximal Validation'!E13</f>
        <v>0.3</v>
      </c>
      <c r="F13" s="5">
        <f>'Proximal Validation'!F13</f>
        <v>0.04</v>
      </c>
      <c r="G13" s="5">
        <f>'Proximal Validation'!G13</f>
        <v>4.7119999999999997</v>
      </c>
      <c r="H13" s="5">
        <f>'Proximal Validation'!H13</f>
        <v>1.5707963267948966</v>
      </c>
      <c r="I13" s="5">
        <f>'Proximal Validation'!I13</f>
        <v>0.4</v>
      </c>
      <c r="J13" s="5">
        <f>'Proximal Validation'!J13</f>
        <v>0</v>
      </c>
      <c r="K13" s="5">
        <f>'Proximal Validation'!K13</f>
        <v>0</v>
      </c>
      <c r="L13" s="5">
        <f>'Proximal Validation'!L13</f>
        <v>-9.0274820104241404E-4</v>
      </c>
      <c r="M13" s="5">
        <f>'Proximal Validation'!M13</f>
        <v>9.5996417105197906E-2</v>
      </c>
      <c r="N13" s="5">
        <f>'Proximal Validation'!N13</f>
        <v>-8.7546631693839992E-3</v>
      </c>
      <c r="O13" s="5">
        <f>'Proximal Validation'!O13</f>
        <v>-0.111510291695595</v>
      </c>
      <c r="P13" s="5">
        <f>'Proximal Validation'!P13</f>
        <v>-6.3374787569046007E-2</v>
      </c>
      <c r="Q13" s="5">
        <f>'Proximal Validation'!Q13</f>
        <v>-0.53375589847564697</v>
      </c>
      <c r="R13" s="5">
        <v>0.38361274929049743</v>
      </c>
      <c r="S13" s="5">
        <v>0.11941426198311951</v>
      </c>
      <c r="T13" s="5">
        <v>4.6791184330747715</v>
      </c>
      <c r="U13" s="5">
        <v>1.5707963267948966</v>
      </c>
      <c r="V13" s="5">
        <v>0.16441798445049088</v>
      </c>
      <c r="W13" s="5">
        <v>2.3999915201576027E-2</v>
      </c>
      <c r="X13" s="5">
        <v>4.3756608637894479</v>
      </c>
      <c r="Y13" s="5">
        <v>1.5707963267948966</v>
      </c>
      <c r="Z13" s="11">
        <v>9.9352468816000884E-7</v>
      </c>
      <c r="AA13" s="5">
        <f t="shared" si="0"/>
        <v>8.3612749290497446E-2</v>
      </c>
      <c r="AB13" s="5">
        <f t="shared" si="0"/>
        <v>-5.8573801688048543E-4</v>
      </c>
      <c r="AC13" s="5">
        <f t="shared" si="0"/>
        <v>-3.2881566925228256E-2</v>
      </c>
      <c r="AD13" s="5">
        <f t="shared" si="0"/>
        <v>0</v>
      </c>
      <c r="AE13" s="5">
        <f t="shared" si="0"/>
        <v>-0.13558201554950911</v>
      </c>
      <c r="AF13" s="5">
        <f t="shared" si="0"/>
        <v>-1.6000084798423974E-2</v>
      </c>
      <c r="AG13" s="5">
        <f t="shared" si="0"/>
        <v>-0.33633913621055189</v>
      </c>
      <c r="AH13" s="5">
        <f t="shared" si="0"/>
        <v>0</v>
      </c>
      <c r="AI13" s="8">
        <f t="shared" si="2"/>
        <v>0.10959738242000328</v>
      </c>
      <c r="AJ13" s="8">
        <f t="shared" si="1"/>
        <v>8.2929114076522297E-3</v>
      </c>
      <c r="AK13" s="8">
        <f t="shared" si="1"/>
        <v>0.18461035156789007</v>
      </c>
    </row>
    <row r="14" spans="1:45" x14ac:dyDescent="0.25">
      <c r="A14" s="5">
        <f>'Proximal Validation'!A14</f>
        <v>0.8</v>
      </c>
      <c r="B14" s="5">
        <f>'Proximal Validation'!B14</f>
        <v>0.12</v>
      </c>
      <c r="C14" s="5">
        <f>'Proximal Validation'!C14</f>
        <v>4.7119999999999997</v>
      </c>
      <c r="D14" s="5">
        <f>'Proximal Validation'!D14</f>
        <v>1.5707963267948966</v>
      </c>
      <c r="E14" s="5">
        <f>'Proximal Validation'!E14</f>
        <v>0.7</v>
      </c>
      <c r="F14" s="5">
        <f>'Proximal Validation'!F14</f>
        <v>0.02</v>
      </c>
      <c r="G14" s="5">
        <f>'Proximal Validation'!G14</f>
        <v>3.1419999999999999</v>
      </c>
      <c r="H14" s="5">
        <f>'Proximal Validation'!H14</f>
        <v>1.5707963267948966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7.30549916625023E-4</v>
      </c>
      <c r="M14" s="5">
        <f>'Proximal Validation'!M14</f>
        <v>0.18510913848877</v>
      </c>
      <c r="N14" s="5">
        <f>'Proximal Validation'!N14</f>
        <v>-7.8640699386596694E-2</v>
      </c>
      <c r="O14" s="5">
        <f>'Proximal Validation'!O14</f>
        <v>-0.26385891437530501</v>
      </c>
      <c r="P14" s="5">
        <f>'Proximal Validation'!P14</f>
        <v>-0.69346159696579002</v>
      </c>
      <c r="Q14" s="5">
        <f>'Proximal Validation'!Q14</f>
        <v>-0.87223374843597401</v>
      </c>
      <c r="R14" s="5">
        <v>0.57884488557674163</v>
      </c>
      <c r="S14" s="5">
        <v>0.1342860126946413</v>
      </c>
      <c r="T14" s="5">
        <v>4.8180208803924716</v>
      </c>
      <c r="U14" s="5">
        <v>1.5707963267948966</v>
      </c>
      <c r="V14" s="5">
        <v>0.9055598607527191</v>
      </c>
      <c r="W14" s="5">
        <v>2.7514195310973343E-2</v>
      </c>
      <c r="X14" s="5">
        <v>3.6914931016924668</v>
      </c>
      <c r="Y14" s="5">
        <v>1.5707963267948966</v>
      </c>
      <c r="Z14" s="11">
        <v>3.758143940003182E-5</v>
      </c>
      <c r="AA14" s="5">
        <f t="shared" si="0"/>
        <v>-0.22115511442325841</v>
      </c>
      <c r="AB14" s="5">
        <f t="shared" si="0"/>
        <v>1.4286012694641304E-2</v>
      </c>
      <c r="AC14" s="5">
        <f t="shared" si="0"/>
        <v>0.10602088039247182</v>
      </c>
      <c r="AD14" s="5">
        <f t="shared" si="0"/>
        <v>0</v>
      </c>
      <c r="AE14" s="5">
        <f t="shared" si="0"/>
        <v>0.20555986075271915</v>
      </c>
      <c r="AF14" s="5">
        <f t="shared" si="0"/>
        <v>7.5141953109733421E-3</v>
      </c>
      <c r="AG14" s="5">
        <f t="shared" si="0"/>
        <v>0.5494931016924669</v>
      </c>
      <c r="AH14" s="5">
        <f t="shared" si="0"/>
        <v>0</v>
      </c>
      <c r="AI14" s="8">
        <f t="shared" si="2"/>
        <v>0.21335748758798878</v>
      </c>
      <c r="AJ14" s="8">
        <f t="shared" si="1"/>
        <v>1.0900104002807323E-2</v>
      </c>
      <c r="AK14" s="8">
        <f t="shared" si="1"/>
        <v>0.32775699104246936</v>
      </c>
    </row>
    <row r="15" spans="1:45" x14ac:dyDescent="0.25">
      <c r="A15" s="5">
        <f>'Proximal Validation'!A15</f>
        <v>0.4</v>
      </c>
      <c r="B15" s="5">
        <f>'Proximal Validation'!B15</f>
        <v>0.18</v>
      </c>
      <c r="C15" s="5">
        <f>'Proximal Validation'!C15</f>
        <v>4.7119999999999997</v>
      </c>
      <c r="D15" s="5">
        <f>'Proximal Validation'!D15</f>
        <v>1.5707963267948966</v>
      </c>
      <c r="E15" s="5">
        <f>'Proximal Validation'!E15</f>
        <v>0.5</v>
      </c>
      <c r="F15" s="5">
        <f>'Proximal Validation'!F15</f>
        <v>0.06</v>
      </c>
      <c r="G15" s="5">
        <f>'Proximal Validation'!G15</f>
        <v>3.1419999999999999</v>
      </c>
      <c r="H15" s="5">
        <f>'Proximal Validation'!H15</f>
        <v>1.5707963267948966</v>
      </c>
      <c r="I15" s="5">
        <f>'Proximal Validation'!I15</f>
        <v>0.4</v>
      </c>
      <c r="J15" s="5">
        <f>'Proximal Validation'!J15</f>
        <v>0</v>
      </c>
      <c r="K15" s="5">
        <f>'Proximal Validation'!K15</f>
        <v>0</v>
      </c>
      <c r="L15" s="5">
        <f>'Proximal Validation'!L15</f>
        <v>-2.9432689771056201E-3</v>
      </c>
      <c r="M15" s="5">
        <f>'Proximal Validation'!M15</f>
        <v>9.8053239285945906E-2</v>
      </c>
      <c r="N15" s="5">
        <f>'Proximal Validation'!N15</f>
        <v>-7.0226937532424899E-2</v>
      </c>
      <c r="O15" s="5">
        <f>'Proximal Validation'!O15</f>
        <v>-0.235873714089394</v>
      </c>
      <c r="P15" s="5">
        <f>'Proximal Validation'!P15</f>
        <v>-0.46341708302497903</v>
      </c>
      <c r="Q15" s="5">
        <f>'Proximal Validation'!Q15</f>
        <v>-0.29305437207222002</v>
      </c>
      <c r="R15" s="5">
        <v>0.36903295678703757</v>
      </c>
      <c r="S15" s="5">
        <v>0.19896050699611009</v>
      </c>
      <c r="T15" s="5">
        <v>4.8428322746841319</v>
      </c>
      <c r="U15" s="5">
        <v>1.5707963267948966</v>
      </c>
      <c r="V15" s="5">
        <v>0.52304822935629181</v>
      </c>
      <c r="W15" s="5">
        <v>7.2909479066983626E-2</v>
      </c>
      <c r="X15" s="5">
        <v>3.166876271307697</v>
      </c>
      <c r="Y15" s="5">
        <v>1.5707963267948966</v>
      </c>
      <c r="Z15" s="11">
        <v>3.9443999910919594E-6</v>
      </c>
      <c r="AA15" s="5">
        <f t="shared" si="0"/>
        <v>-3.0967043212962453E-2</v>
      </c>
      <c r="AB15" s="5">
        <f t="shared" si="0"/>
        <v>1.8960506996110099E-2</v>
      </c>
      <c r="AC15" s="5">
        <f t="shared" si="0"/>
        <v>0.13083227468413217</v>
      </c>
      <c r="AD15" s="5">
        <f t="shared" si="0"/>
        <v>0</v>
      </c>
      <c r="AE15" s="5">
        <f t="shared" si="0"/>
        <v>2.3048229356291805E-2</v>
      </c>
      <c r="AF15" s="5">
        <f t="shared" si="0"/>
        <v>1.2909479066983628E-2</v>
      </c>
      <c r="AG15" s="5">
        <f t="shared" si="0"/>
        <v>2.4876271307697095E-2</v>
      </c>
      <c r="AH15" s="5">
        <f t="shared" si="0"/>
        <v>0</v>
      </c>
      <c r="AI15" s="8">
        <f t="shared" si="2"/>
        <v>2.7007636284627129E-2</v>
      </c>
      <c r="AJ15" s="8">
        <f t="shared" si="1"/>
        <v>1.5934993031546864E-2</v>
      </c>
      <c r="AK15" s="8">
        <f t="shared" si="1"/>
        <v>7.7854272995914631E-2</v>
      </c>
    </row>
    <row r="16" spans="1:45" x14ac:dyDescent="0.25">
      <c r="A16" s="5">
        <f>'Proximal Validation'!A16</f>
        <v>0.5</v>
      </c>
      <c r="B16" s="5">
        <f>'Proximal Validation'!B16</f>
        <v>0.2</v>
      </c>
      <c r="C16" s="5">
        <f>'Proximal Validation'!C16</f>
        <v>4.7119999999999997</v>
      </c>
      <c r="D16" s="5">
        <f>'Proximal Validation'!D16</f>
        <v>1.5707963267948966</v>
      </c>
      <c r="E16" s="5">
        <f>'Proximal Validation'!E16</f>
        <v>0.7</v>
      </c>
      <c r="F16" s="5">
        <f>'Proximal Validation'!F16</f>
        <v>0.02</v>
      </c>
      <c r="G16" s="5">
        <f>'Proximal Validation'!G16</f>
        <v>4.7119999999999997</v>
      </c>
      <c r="H16" s="5">
        <f>'Proximal Validation'!H16</f>
        <v>1.5707963267948966</v>
      </c>
      <c r="I16" s="5">
        <f>'Proximal Validation'!I16</f>
        <v>0.8</v>
      </c>
      <c r="J16" s="5">
        <f>'Proximal Validation'!J16</f>
        <v>0</v>
      </c>
      <c r="K16" s="5">
        <f>'Proximal Validation'!K16</f>
        <v>0</v>
      </c>
      <c r="L16" s="5">
        <f>'Proximal Validation'!L16</f>
        <v>-8.9650582522153906E-3</v>
      </c>
      <c r="M16" s="5">
        <f>'Proximal Validation'!M16</f>
        <v>0.193452998995781</v>
      </c>
      <c r="N16" s="5">
        <f>'Proximal Validation'!N16</f>
        <v>-2.2679660469293601E-2</v>
      </c>
      <c r="O16" s="5">
        <f>'Proximal Validation'!O16</f>
        <v>-0.444032043218613</v>
      </c>
      <c r="P16" s="5">
        <f>'Proximal Validation'!P16</f>
        <v>-0.175033524632454</v>
      </c>
      <c r="Q16" s="5">
        <f>'Proximal Validation'!Q16</f>
        <v>-0.91890478134155296</v>
      </c>
      <c r="R16" s="5">
        <v>0.50248823188162883</v>
      </c>
      <c r="S16" s="5">
        <v>0.19691519977181102</v>
      </c>
      <c r="T16" s="5">
        <v>4.6703707719310534</v>
      </c>
      <c r="U16" s="5">
        <v>1.5707963267948966</v>
      </c>
      <c r="V16" s="5">
        <v>0.65787117500335124</v>
      </c>
      <c r="W16" s="5">
        <v>2.0000000000022205E-2</v>
      </c>
      <c r="X16" s="5">
        <v>4.4666205933662537</v>
      </c>
      <c r="Y16" s="5">
        <v>1.5707963267948966</v>
      </c>
      <c r="Z16" s="11">
        <v>2.3669180565077491E-5</v>
      </c>
      <c r="AA16" s="5">
        <f t="shared" si="0"/>
        <v>2.4882318816288329E-3</v>
      </c>
      <c r="AB16" s="5">
        <f t="shared" si="0"/>
        <v>-3.0848002281889941E-3</v>
      </c>
      <c r="AC16" s="5">
        <f t="shared" si="0"/>
        <v>-4.1629228068946311E-2</v>
      </c>
      <c r="AD16" s="5">
        <f t="shared" si="0"/>
        <v>0</v>
      </c>
      <c r="AE16" s="5">
        <f t="shared" si="0"/>
        <v>-4.2128824996648717E-2</v>
      </c>
      <c r="AF16" s="5">
        <f t="shared" si="0"/>
        <v>2.2204460492503131E-14</v>
      </c>
      <c r="AG16" s="5">
        <f t="shared" si="0"/>
        <v>-0.24537940663374602</v>
      </c>
      <c r="AH16" s="5">
        <f t="shared" si="0"/>
        <v>0</v>
      </c>
      <c r="AI16" s="8">
        <f t="shared" si="2"/>
        <v>2.2308528439138775E-2</v>
      </c>
      <c r="AJ16" s="8">
        <f t="shared" si="1"/>
        <v>1.5424001141055993E-3</v>
      </c>
      <c r="AK16" s="8">
        <f t="shared" si="1"/>
        <v>0.14350431735134617</v>
      </c>
    </row>
    <row r="17" spans="1:37" x14ac:dyDescent="0.25">
      <c r="A17" s="5">
        <f>'Proximal Validation'!A17</f>
        <v>0.7</v>
      </c>
      <c r="B17" s="5">
        <f>'Proximal Validation'!B17</f>
        <v>0.2</v>
      </c>
      <c r="C17" s="5">
        <f>'Proximal Validation'!C17</f>
        <v>4.7119999999999997</v>
      </c>
      <c r="D17" s="5">
        <f>'Proximal Validation'!D17</f>
        <v>1.5707963267948966</v>
      </c>
      <c r="E17" s="5">
        <f>'Proximal Validation'!E17</f>
        <v>0.3</v>
      </c>
      <c r="F17" s="5">
        <f>'Proximal Validation'!F17</f>
        <v>0.08</v>
      </c>
      <c r="G17" s="5">
        <f>'Proximal Validation'!G17</f>
        <v>3.1419999999999999</v>
      </c>
      <c r="H17" s="5">
        <f>'Proximal Validation'!H17</f>
        <v>1.5707963267948966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0</v>
      </c>
      <c r="M17" s="5">
        <f>'Proximal Validation'!M17</f>
        <v>0</v>
      </c>
      <c r="N17" s="5">
        <f>'Proximal Validation'!N17</f>
        <v>0</v>
      </c>
      <c r="O17" s="5">
        <f>'Proximal Validation'!O17</f>
        <v>0</v>
      </c>
      <c r="P17" s="5">
        <f>'Proximal Validation'!P17</f>
        <v>0</v>
      </c>
      <c r="Q17" s="5">
        <f>'Proximal Validation'!Q17</f>
        <v>0</v>
      </c>
      <c r="R17" s="5"/>
      <c r="S17" s="5"/>
      <c r="T17" s="5"/>
      <c r="U17" s="5"/>
      <c r="V17" s="5"/>
      <c r="W17" s="5"/>
      <c r="X17" s="5"/>
      <c r="Y17" s="5"/>
      <c r="Z17" s="11"/>
      <c r="AA17" s="5"/>
      <c r="AB17" s="5"/>
      <c r="AC17" s="5"/>
      <c r="AD17" s="5"/>
      <c r="AE17" s="5"/>
      <c r="AF17" s="5"/>
      <c r="AG17" s="5"/>
      <c r="AH17" s="5"/>
      <c r="AI17" s="8"/>
      <c r="AJ17" s="8"/>
      <c r="AK17" s="8"/>
    </row>
    <row r="18" spans="1:37" ht="15.75" thickBot="1" x14ac:dyDescent="0.3">
      <c r="AI18" s="12"/>
    </row>
    <row r="19" spans="1:37" ht="15.75" x14ac:dyDescent="0.25">
      <c r="A19" s="37" t="s">
        <v>41</v>
      </c>
      <c r="B19" s="38"/>
      <c r="C19" s="39"/>
      <c r="H19" s="1" t="s">
        <v>43</v>
      </c>
      <c r="I19" s="1" t="s">
        <v>8</v>
      </c>
      <c r="J19" s="1" t="s">
        <v>9</v>
      </c>
      <c r="K19" s="1" t="s">
        <v>10</v>
      </c>
      <c r="L19" s="25" t="s">
        <v>42</v>
      </c>
      <c r="M19" s="26"/>
      <c r="N19" s="26"/>
      <c r="O19" s="26"/>
      <c r="P19" s="26"/>
      <c r="Q19" s="26"/>
    </row>
    <row r="20" spans="1:37" x14ac:dyDescent="0.25">
      <c r="A20">
        <v>0.6</v>
      </c>
      <c r="B20">
        <v>0</v>
      </c>
      <c r="C20">
        <v>0</v>
      </c>
      <c r="H20" s="17">
        <v>1</v>
      </c>
      <c r="I20" s="5">
        <f>'Distal Vali (0.6N perturb)'!I3</f>
        <v>0.8</v>
      </c>
      <c r="J20" s="5">
        <f>'Distal Vali (0.6N perturb)'!J3</f>
        <v>0</v>
      </c>
      <c r="K20" s="5">
        <f>'Distal Vali (0.6N perturb)'!K3</f>
        <v>0</v>
      </c>
      <c r="L20" s="5">
        <f>'Distal Vali (0.6N perturb)'!L3</f>
        <v>3.3966472838073999E-3</v>
      </c>
      <c r="M20" s="5">
        <f>'Distal Vali (0.6N perturb)'!M3</f>
        <v>-8.4817789494991302E-2</v>
      </c>
      <c r="N20" s="5">
        <f>'Distal Vali (0.6N perturb)'!N3</f>
        <v>-3.2525759190321003E-2</v>
      </c>
      <c r="O20" s="5">
        <f>'Distal Vali (0.6N perturb)'!O3</f>
        <v>-0.186183482408524</v>
      </c>
      <c r="P20" s="5">
        <f>'Distal Vali (0.6N perturb)'!P3</f>
        <v>-0.290946185588837</v>
      </c>
      <c r="Q20" s="5">
        <f>'Distal Vali (0.6N perturb)'!Q3</f>
        <v>0.34101566672325101</v>
      </c>
    </row>
    <row r="21" spans="1:37" x14ac:dyDescent="0.25">
      <c r="A21">
        <v>0</v>
      </c>
      <c r="B21">
        <v>0.6</v>
      </c>
      <c r="C21">
        <v>0</v>
      </c>
      <c r="H21" s="17">
        <v>1</v>
      </c>
      <c r="I21" s="5">
        <f>I$20+A20</f>
        <v>1.4</v>
      </c>
      <c r="J21" s="5">
        <f t="shared" ref="J21:K21" si="4">J$20+B20</f>
        <v>0</v>
      </c>
      <c r="K21" s="5">
        <f t="shared" si="4"/>
        <v>0</v>
      </c>
      <c r="L21" s="5">
        <v>4.7846524976193896E-3</v>
      </c>
      <c r="M21" s="5">
        <v>-7.6770626008510603E-2</v>
      </c>
      <c r="N21" s="5">
        <v>-3.5355295985937098E-2</v>
      </c>
      <c r="O21" s="5">
        <v>-0.16215063631534599</v>
      </c>
      <c r="P21" s="5">
        <v>-0.31568014621734602</v>
      </c>
      <c r="Q21" s="5">
        <v>0.30814045667648299</v>
      </c>
    </row>
    <row r="22" spans="1:37" x14ac:dyDescent="0.25">
      <c r="A22">
        <v>0</v>
      </c>
      <c r="B22">
        <v>0</v>
      </c>
      <c r="C22">
        <v>0.6</v>
      </c>
      <c r="H22" s="17">
        <v>1</v>
      </c>
      <c r="I22" s="5">
        <f t="shared" ref="I22:I23" si="5">I$20+A21</f>
        <v>0.8</v>
      </c>
      <c r="J22" s="5">
        <f t="shared" ref="J22:J23" si="6">J$20+B21</f>
        <v>0.6</v>
      </c>
      <c r="K22" s="5">
        <f t="shared" ref="K22:K23" si="7">K$20+C21</f>
        <v>0</v>
      </c>
      <c r="L22" s="5">
        <v>1.75101147033274E-3</v>
      </c>
      <c r="M22" s="5">
        <v>-7.5815342366695404E-2</v>
      </c>
      <c r="N22" s="5">
        <v>-2.92263831943274E-2</v>
      </c>
      <c r="O22" s="5">
        <v>-0.15830263495445299</v>
      </c>
      <c r="P22" s="5">
        <v>-0.26379287242889399</v>
      </c>
      <c r="Q22" s="5">
        <v>0.30544507503509499</v>
      </c>
    </row>
    <row r="23" spans="1:37" x14ac:dyDescent="0.25">
      <c r="H23" s="17">
        <v>1</v>
      </c>
      <c r="I23" s="5">
        <f t="shared" si="5"/>
        <v>0.8</v>
      </c>
      <c r="J23" s="5">
        <f t="shared" si="6"/>
        <v>0</v>
      </c>
      <c r="K23" s="5">
        <f t="shared" si="7"/>
        <v>0.6</v>
      </c>
      <c r="L23" s="5">
        <v>3.5732281394302802E-3</v>
      </c>
      <c r="M23" s="5">
        <v>-9.1100767254829407E-2</v>
      </c>
      <c r="N23" s="5">
        <v>-3.1735785305500003E-2</v>
      </c>
      <c r="O23" s="5">
        <v>-0.190847843885422</v>
      </c>
      <c r="P23" s="5">
        <v>-0.286252111196518</v>
      </c>
      <c r="Q23" s="5">
        <v>0.37134739756584201</v>
      </c>
    </row>
    <row r="24" spans="1:37" x14ac:dyDescent="0.25">
      <c r="H24" s="17">
        <v>2</v>
      </c>
      <c r="I24" s="5">
        <f>'Distal Vali (0.6N perturb)'!I4</f>
        <v>0</v>
      </c>
      <c r="J24" s="5">
        <f>'Distal Vali (0.6N perturb)'!J4</f>
        <v>0</v>
      </c>
      <c r="K24" s="5">
        <f>'Distal Vali (0.6N perturb)'!K4</f>
        <v>0</v>
      </c>
      <c r="L24" s="5">
        <f>'Distal Vali (0.6N perturb)'!L4</f>
        <v>2.92063690721989E-4</v>
      </c>
      <c r="M24" s="5">
        <f>'Distal Vali (0.6N perturb)'!M4</f>
        <v>-1.4378885738551599E-2</v>
      </c>
      <c r="N24" s="5">
        <f>'Distal Vali (0.6N perturb)'!N4</f>
        <v>5.1419169176369895E-4</v>
      </c>
      <c r="O24" s="5">
        <f>'Distal Vali (0.6N perturb)'!O4</f>
        <v>-1.40395248308778E-2</v>
      </c>
      <c r="P24" s="5">
        <f>'Distal Vali (0.6N perturb)'!P4</f>
        <v>-3.9881169795989999E-3</v>
      </c>
      <c r="Q24" s="5">
        <f>'Distal Vali (0.6N perturb)'!Q4</f>
        <v>-0.148137778043747</v>
      </c>
    </row>
    <row r="25" spans="1:37" x14ac:dyDescent="0.25">
      <c r="H25" s="17">
        <v>2</v>
      </c>
      <c r="I25" s="5">
        <f>I$24+A20</f>
        <v>0.6</v>
      </c>
      <c r="J25" s="5">
        <f t="shared" ref="J25:K25" si="8">J$24+B20</f>
        <v>0</v>
      </c>
      <c r="K25" s="5">
        <f t="shared" si="8"/>
        <v>0</v>
      </c>
      <c r="L25" s="5">
        <v>1.5791626647114799E-3</v>
      </c>
      <c r="M25" s="5">
        <v>-7.0527084171772003E-3</v>
      </c>
      <c r="N25" s="5">
        <v>-2.08050152286887E-3</v>
      </c>
      <c r="O25" s="5">
        <v>4.0111662819981601E-3</v>
      </c>
      <c r="P25" s="5">
        <v>-2.0677028223872199E-2</v>
      </c>
      <c r="Q25" s="5">
        <v>-0.17866048216819799</v>
      </c>
    </row>
    <row r="26" spans="1:37" x14ac:dyDescent="0.25">
      <c r="H26" s="17">
        <v>2</v>
      </c>
      <c r="I26" s="5">
        <f t="shared" ref="I26:I27" si="9">I$24+A21</f>
        <v>0</v>
      </c>
      <c r="J26" s="5">
        <f t="shared" ref="J26:J27" si="10">J$24+B21</f>
        <v>0.6</v>
      </c>
      <c r="K26" s="5">
        <f t="shared" ref="K26:K27" si="11">K$24+C21</f>
        <v>0</v>
      </c>
      <c r="L26" s="5">
        <v>-1.1583648156374699E-3</v>
      </c>
      <c r="M26" s="5">
        <v>-7.1569895371794701E-3</v>
      </c>
      <c r="N26" s="5">
        <v>2.9734096024185402E-3</v>
      </c>
      <c r="O26" s="5">
        <v>3.6321938969194902E-3</v>
      </c>
      <c r="P26" s="5">
        <v>1.1851854622364001E-2</v>
      </c>
      <c r="Q26" s="5">
        <v>-0.179818570613861</v>
      </c>
    </row>
    <row r="27" spans="1:37" x14ac:dyDescent="0.25">
      <c r="H27" s="17">
        <v>2</v>
      </c>
      <c r="I27" s="5">
        <f t="shared" si="9"/>
        <v>0</v>
      </c>
      <c r="J27" s="5">
        <f t="shared" si="10"/>
        <v>0</v>
      </c>
      <c r="K27" s="5">
        <f t="shared" si="11"/>
        <v>0.6</v>
      </c>
      <c r="L27" s="5">
        <v>-3.69136687368155E-5</v>
      </c>
      <c r="M27" s="5">
        <v>-2.3585639894008598E-2</v>
      </c>
      <c r="N27" s="5">
        <v>1.2023192830383799E-3</v>
      </c>
      <c r="O27" s="5">
        <v>-2.5370907038450199E-2</v>
      </c>
      <c r="P27" s="5">
        <v>-7.4703618884086598E-4</v>
      </c>
      <c r="Q27" s="5">
        <v>-0.105594038963318</v>
      </c>
    </row>
    <row r="28" spans="1:37" x14ac:dyDescent="0.25">
      <c r="H28" s="17">
        <v>3</v>
      </c>
      <c r="I28" s="5">
        <f>'Distal Vali (0.6N perturb)'!I5</f>
        <v>0.4</v>
      </c>
      <c r="J28" s="5">
        <f>'Distal Vali (0.6N perturb)'!J5</f>
        <v>0</v>
      </c>
      <c r="K28" s="5">
        <f>'Distal Vali (0.6N perturb)'!K5</f>
        <v>0</v>
      </c>
      <c r="L28" s="5">
        <f>'Distal Vali (0.6N perturb)'!L5</f>
        <v>2.6918570511043102E-3</v>
      </c>
      <c r="M28" s="5">
        <f>'Distal Vali (0.6N perturb)'!M5</f>
        <v>-9.7128830850124401E-2</v>
      </c>
      <c r="N28" s="5">
        <f>'Distal Vali (0.6N perturb)'!N5</f>
        <v>5.0861202180385598E-3</v>
      </c>
      <c r="O28" s="5">
        <f>'Distal Vali (0.6N perturb)'!O5</f>
        <v>-0.40724512934684798</v>
      </c>
      <c r="P28" s="5">
        <f>'Distal Vali (0.6N perturb)'!P5</f>
        <v>1.0805079713463801E-2</v>
      </c>
      <c r="Q28" s="5">
        <f>'Distal Vali (0.6N perturb)'!Q5</f>
        <v>3.2090678811073303E-2</v>
      </c>
    </row>
    <row r="29" spans="1:37" x14ac:dyDescent="0.25">
      <c r="H29" s="17">
        <v>3</v>
      </c>
      <c r="I29" s="5">
        <f>I$28+A20</f>
        <v>1</v>
      </c>
      <c r="J29" s="5">
        <f t="shared" ref="J29:K29" si="12">J$28+B20</f>
        <v>0</v>
      </c>
      <c r="K29" s="5">
        <f t="shared" si="12"/>
        <v>0</v>
      </c>
      <c r="L29" s="5">
        <v>7.1417102590203303E-3</v>
      </c>
      <c r="M29" s="5">
        <v>-9.1151893138885498E-2</v>
      </c>
      <c r="N29" s="5">
        <v>3.7218275247141703E-4</v>
      </c>
      <c r="O29" s="5">
        <v>-0.38164517283439597</v>
      </c>
      <c r="P29" s="5">
        <v>-2.0746577531099299E-2</v>
      </c>
      <c r="Q29" s="5">
        <v>2.6900358498096501E-2</v>
      </c>
    </row>
    <row r="30" spans="1:37" x14ac:dyDescent="0.25">
      <c r="H30" s="17">
        <v>3</v>
      </c>
      <c r="I30" s="5">
        <f t="shared" ref="I30:I31" si="13">I$28+A21</f>
        <v>0.4</v>
      </c>
      <c r="J30" s="5">
        <f t="shared" ref="J30:J31" si="14">J$28+B21</f>
        <v>0.6</v>
      </c>
      <c r="K30" s="5">
        <f t="shared" ref="K30:K31" si="15">K$28+C21</f>
        <v>0</v>
      </c>
      <c r="L30" s="5">
        <v>-9.9307717755436897E-4</v>
      </c>
      <c r="M30" s="5">
        <v>-8.8719904422759996E-2</v>
      </c>
      <c r="N30" s="5">
        <v>8.5697956383228302E-3</v>
      </c>
      <c r="O30" s="5">
        <v>-0.37443938851356501</v>
      </c>
      <c r="P30" s="5">
        <v>3.4079838544130298E-2</v>
      </c>
      <c r="Q30" s="5">
        <v>1.6371488571166999E-2</v>
      </c>
    </row>
    <row r="31" spans="1:37" x14ac:dyDescent="0.25">
      <c r="H31" s="17">
        <v>3</v>
      </c>
      <c r="I31" s="5">
        <f t="shared" si="13"/>
        <v>0.4</v>
      </c>
      <c r="J31" s="5">
        <f t="shared" si="14"/>
        <v>0</v>
      </c>
      <c r="K31" s="5">
        <f t="shared" si="15"/>
        <v>0.6</v>
      </c>
      <c r="L31" s="5">
        <v>2.3157137911766798E-3</v>
      </c>
      <c r="M31" s="5">
        <v>-9.9095642566680894E-2</v>
      </c>
      <c r="N31" s="5">
        <v>5.5827959440648599E-3</v>
      </c>
      <c r="O31" s="5">
        <v>-0.41846364736557001</v>
      </c>
      <c r="P31" s="5">
        <v>1.31122367456555E-2</v>
      </c>
      <c r="Q31" s="5">
        <v>3.2927412539720501E-2</v>
      </c>
    </row>
    <row r="32" spans="1:37" x14ac:dyDescent="0.25">
      <c r="H32" s="17">
        <v>4</v>
      </c>
      <c r="I32" s="5">
        <f>'Distal Vali (0.6N perturb)'!I6</f>
        <v>0.4</v>
      </c>
      <c r="J32" s="5">
        <f>'Distal Vali (0.6N perturb)'!J6</f>
        <v>0</v>
      </c>
      <c r="K32" s="5">
        <f>'Distal Vali (0.6N perturb)'!K6</f>
        <v>0</v>
      </c>
      <c r="L32" s="5">
        <f>'Distal Vali (0.6N perturb)'!L6</f>
        <v>1.2694518081843901E-3</v>
      </c>
      <c r="M32" s="5">
        <f>'Distal Vali (0.6N perturb)'!M6</f>
        <v>-5.2426334470510497E-2</v>
      </c>
      <c r="N32" s="5">
        <f>'Distal Vali (0.6N perturb)'!N6</f>
        <v>-8.8403537869453402E-2</v>
      </c>
      <c r="O32" s="5">
        <f>'Distal Vali (0.6N perturb)'!O6</f>
        <v>-0.16237765550613401</v>
      </c>
      <c r="P32" s="5">
        <f>'Distal Vali (0.6N perturb)'!P6</f>
        <v>-0.67368566989898704</v>
      </c>
      <c r="Q32" s="5">
        <f>'Distal Vali (0.6N perturb)'!Q6</f>
        <v>6.8886458873748793E-2</v>
      </c>
    </row>
    <row r="33" spans="8:17" x14ac:dyDescent="0.25">
      <c r="H33" s="17">
        <v>4</v>
      </c>
      <c r="I33" s="5">
        <f>I$32+A20</f>
        <v>1</v>
      </c>
      <c r="J33" s="5">
        <f t="shared" ref="J33:K33" si="16">J$32+B20</f>
        <v>0</v>
      </c>
      <c r="K33" s="5">
        <f t="shared" si="16"/>
        <v>0</v>
      </c>
      <c r="L33" s="5">
        <v>3.9274767041206403E-3</v>
      </c>
      <c r="M33" s="5">
        <v>-4.4000539928674698E-2</v>
      </c>
      <c r="N33" s="5">
        <v>-9.5036953687667805E-2</v>
      </c>
      <c r="O33" s="5">
        <v>-0.14485144615173301</v>
      </c>
      <c r="P33" s="5">
        <v>-0.71704697608947798</v>
      </c>
      <c r="Q33" s="5">
        <v>4.6903401613235501E-2</v>
      </c>
    </row>
    <row r="34" spans="8:17" x14ac:dyDescent="0.25">
      <c r="H34" s="17">
        <v>4</v>
      </c>
      <c r="I34" s="5">
        <f t="shared" ref="I34:I35" si="17">I$32+A21</f>
        <v>0.4</v>
      </c>
      <c r="J34" s="5">
        <f t="shared" ref="J34:J35" si="18">J$32+B21</f>
        <v>0.6</v>
      </c>
      <c r="K34" s="5">
        <f t="shared" ref="K34:K35" si="19">K$32+C21</f>
        <v>0</v>
      </c>
      <c r="L34" s="5">
        <v>-9.5364777371287303E-4</v>
      </c>
      <c r="M34" s="5">
        <v>-4.5862302184104899E-2</v>
      </c>
      <c r="N34" s="5">
        <v>-8.1878006458282498E-2</v>
      </c>
      <c r="O34" s="5">
        <v>-0.146904721856117</v>
      </c>
      <c r="P34" s="5">
        <v>-0.631952583789825</v>
      </c>
      <c r="Q34" s="5">
        <v>5.6958615779876702E-2</v>
      </c>
    </row>
    <row r="35" spans="8:17" x14ac:dyDescent="0.25">
      <c r="H35" s="17">
        <v>4</v>
      </c>
      <c r="I35" s="5">
        <f t="shared" si="17"/>
        <v>0.4</v>
      </c>
      <c r="J35" s="5">
        <f t="shared" si="18"/>
        <v>0</v>
      </c>
      <c r="K35" s="5">
        <f t="shared" si="19"/>
        <v>0.6</v>
      </c>
      <c r="L35" s="5">
        <v>9.0643670409917799E-4</v>
      </c>
      <c r="M35" s="5">
        <v>-6.00174702703953E-2</v>
      </c>
      <c r="N35" s="5">
        <v>-8.6739368736743899E-2</v>
      </c>
      <c r="O35" s="5">
        <v>-0.18440371751785301</v>
      </c>
      <c r="P35" s="5">
        <v>-0.66644299030303999</v>
      </c>
      <c r="Q35" s="5">
        <v>9.2208802700042697E-2</v>
      </c>
    </row>
    <row r="36" spans="8:17" x14ac:dyDescent="0.25">
      <c r="H36" s="17">
        <v>5</v>
      </c>
      <c r="I36" s="5">
        <f>'Distal Vali (0.6N perturb)'!I7</f>
        <v>0.8</v>
      </c>
      <c r="J36" s="5">
        <f>'Distal Vali (0.6N perturb)'!J7</f>
        <v>0</v>
      </c>
      <c r="K36" s="5">
        <f>'Distal Vali (0.6N perturb)'!K7</f>
        <v>0</v>
      </c>
      <c r="L36" s="5">
        <f>'Distal Vali (0.6N perturb)'!L7</f>
        <v>-2.6597268879413599E-4</v>
      </c>
      <c r="M36" s="5">
        <f>'Distal Vali (0.6N perturb)'!M7</f>
        <v>8.6320064961910206E-2</v>
      </c>
      <c r="N36" s="5">
        <f>'Distal Vali (0.6N perturb)'!N7</f>
        <v>-0.15243518352508501</v>
      </c>
      <c r="O36" s="5">
        <f>'Distal Vali (0.6N perturb)'!O7</f>
        <v>-0.22609874606132499</v>
      </c>
      <c r="P36" s="5">
        <f>'Distal Vali (0.6N perturb)'!P7</f>
        <v>-0.81293100118637096</v>
      </c>
      <c r="Q36" s="5">
        <f>'Distal Vali (0.6N perturb)'!Q7</f>
        <v>-0.47338950634002702</v>
      </c>
    </row>
    <row r="37" spans="8:17" x14ac:dyDescent="0.25">
      <c r="H37" s="17">
        <v>5</v>
      </c>
      <c r="I37" s="5">
        <f>I$36+A20</f>
        <v>1.4</v>
      </c>
      <c r="J37" s="5">
        <f t="shared" ref="J37:K37" si="20">J$36+B20</f>
        <v>0</v>
      </c>
      <c r="K37" s="5">
        <f t="shared" si="20"/>
        <v>0</v>
      </c>
      <c r="L37" s="5">
        <v>-3.3348239958286302E-4</v>
      </c>
      <c r="M37" s="5">
        <v>8.8781088590621907E-2</v>
      </c>
      <c r="N37" s="5">
        <v>-0.16011224687099501</v>
      </c>
      <c r="O37" s="5">
        <v>-0.23291090130806</v>
      </c>
      <c r="P37" s="5">
        <v>-0.85305935144424405</v>
      </c>
      <c r="Q37" s="5">
        <v>-0.486432075500488</v>
      </c>
    </row>
    <row r="38" spans="8:17" x14ac:dyDescent="0.25">
      <c r="H38" s="17">
        <v>5</v>
      </c>
      <c r="I38" s="5">
        <f t="shared" ref="I38:I39" si="21">I$36+A21</f>
        <v>0.8</v>
      </c>
      <c r="J38" s="5">
        <f t="shared" ref="J38:J39" si="22">J$36+B21</f>
        <v>0.6</v>
      </c>
      <c r="K38" s="5">
        <f t="shared" ref="K38:K39" si="23">K$36+C21</f>
        <v>0</v>
      </c>
      <c r="L38" s="5">
        <v>1.3329796493053399E-3</v>
      </c>
      <c r="M38" s="5">
        <v>8.8260546326637296E-2</v>
      </c>
      <c r="N38" s="5">
        <v>-0.137546807527542</v>
      </c>
      <c r="O38" s="5">
        <v>-0.200972050428391</v>
      </c>
      <c r="P38" s="5">
        <v>-0.74244308471679699</v>
      </c>
      <c r="Q38" s="5">
        <v>-0.48660367727279702</v>
      </c>
    </row>
    <row r="39" spans="8:17" x14ac:dyDescent="0.25">
      <c r="H39" s="17">
        <v>5</v>
      </c>
      <c r="I39" s="5">
        <f t="shared" si="21"/>
        <v>0.8</v>
      </c>
      <c r="J39" s="5">
        <f t="shared" si="22"/>
        <v>0</v>
      </c>
      <c r="K39" s="5">
        <f t="shared" si="23"/>
        <v>0.6</v>
      </c>
      <c r="L39" s="5">
        <v>-1.8139015883207299E-3</v>
      </c>
      <c r="M39" s="5">
        <v>7.5751185417175307E-2</v>
      </c>
      <c r="N39" s="5">
        <v>-0.144500657916069</v>
      </c>
      <c r="O39" s="5">
        <v>-0.191051125526428</v>
      </c>
      <c r="P39" s="5">
        <v>-0.77179682254791304</v>
      </c>
      <c r="Q39" s="5">
        <v>-0.411002337932587</v>
      </c>
    </row>
    <row r="40" spans="8:17" x14ac:dyDescent="0.25">
      <c r="H40" s="17">
        <v>6</v>
      </c>
      <c r="I40" s="5">
        <f>'Distal Vali (0.6N perturb)'!I8</f>
        <v>0.4</v>
      </c>
      <c r="J40" s="5">
        <f>'Distal Vali (0.6N perturb)'!J8</f>
        <v>0</v>
      </c>
      <c r="K40" s="5">
        <f>'Distal Vali (0.6N perturb)'!K8</f>
        <v>0</v>
      </c>
      <c r="L40" s="5">
        <f>'Distal Vali (0.6N perturb)'!L8</f>
        <v>-1.1004870757460601E-3</v>
      </c>
      <c r="M40" s="5">
        <f>'Distal Vali (0.6N perturb)'!M8</f>
        <v>3.6083325743675197E-2</v>
      </c>
      <c r="N40" s="5">
        <f>'Distal Vali (0.6N perturb)'!N8</f>
        <v>-0.180290177464485</v>
      </c>
      <c r="O40" s="5">
        <f>'Distal Vali (0.6N perturb)'!O8</f>
        <v>-0.18137529492378199</v>
      </c>
      <c r="P40" s="5">
        <f>'Distal Vali (0.6N perturb)'!P8</f>
        <v>-0.99236428737640403</v>
      </c>
      <c r="Q40" s="5">
        <f>'Distal Vali (0.6N perturb)'!Q8</f>
        <v>-0.25453394651413003</v>
      </c>
    </row>
    <row r="41" spans="8:17" x14ac:dyDescent="0.25">
      <c r="H41" s="17">
        <v>6</v>
      </c>
      <c r="I41" s="5">
        <f>I$40+A20</f>
        <v>1</v>
      </c>
      <c r="J41" s="5">
        <f t="shared" ref="J41:K41" si="24">J$40+B20</f>
        <v>0</v>
      </c>
      <c r="K41" s="5">
        <f t="shared" si="24"/>
        <v>0</v>
      </c>
      <c r="L41" s="5">
        <v>-7.9773366451263401E-5</v>
      </c>
      <c r="M41" s="5">
        <v>4.05797101557255E-2</v>
      </c>
      <c r="N41" s="5">
        <v>-0.19076372683048201</v>
      </c>
      <c r="O41" s="5">
        <v>-0.19178026914596599</v>
      </c>
      <c r="P41" s="5">
        <v>-1.0544390678405799</v>
      </c>
      <c r="Q41" s="5">
        <v>-0.286822348833084</v>
      </c>
    </row>
    <row r="42" spans="8:17" x14ac:dyDescent="0.25">
      <c r="H42" s="17">
        <v>6</v>
      </c>
      <c r="I42" s="5">
        <f t="shared" ref="I42:I43" si="25">I$40+A21</f>
        <v>0.4</v>
      </c>
      <c r="J42" s="5">
        <f t="shared" ref="J42:J43" si="26">J$40+B21</f>
        <v>0.6</v>
      </c>
      <c r="K42" s="5">
        <f t="shared" ref="K42:K43" si="27">K$40+C21</f>
        <v>0</v>
      </c>
      <c r="L42" s="5">
        <v>8.9275650680065196E-5</v>
      </c>
      <c r="M42" s="5">
        <v>3.7795923650264698E-2</v>
      </c>
      <c r="N42" s="5">
        <v>-0.16816398501396199</v>
      </c>
      <c r="O42" s="5">
        <v>-0.16189207136631001</v>
      </c>
      <c r="P42" s="5">
        <v>-0.93887907266616799</v>
      </c>
      <c r="Q42" s="5">
        <v>-0.26899504661560097</v>
      </c>
    </row>
    <row r="43" spans="8:17" x14ac:dyDescent="0.25">
      <c r="H43" s="17">
        <v>6</v>
      </c>
      <c r="I43" s="5">
        <f t="shared" si="25"/>
        <v>0.4</v>
      </c>
      <c r="J43" s="5">
        <f t="shared" si="26"/>
        <v>0</v>
      </c>
      <c r="K43" s="5">
        <f t="shared" si="27"/>
        <v>0.6</v>
      </c>
      <c r="L43" s="5">
        <v>-3.0912766233086599E-3</v>
      </c>
      <c r="M43" s="5">
        <v>2.5789694860577601E-2</v>
      </c>
      <c r="N43" s="5">
        <v>-0.16904753446578999</v>
      </c>
      <c r="O43" s="5">
        <v>-0.154843360185623</v>
      </c>
      <c r="P43" s="5">
        <v>-0.91853284835815396</v>
      </c>
      <c r="Q43" s="5">
        <v>-0.17800956964492801</v>
      </c>
    </row>
    <row r="44" spans="8:17" x14ac:dyDescent="0.25">
      <c r="H44" s="17">
        <v>7</v>
      </c>
      <c r="I44" s="5">
        <f>'Distal Vali (0.6N perturb)'!I9</f>
        <v>0.4</v>
      </c>
      <c r="J44" s="5">
        <f>'Distal Vali (0.6N perturb)'!J9</f>
        <v>0</v>
      </c>
      <c r="K44" s="5">
        <f>'Distal Vali (0.6N perturb)'!K9</f>
        <v>0</v>
      </c>
      <c r="L44" s="5">
        <f>'Distal Vali (0.6N perturb)'!L9</f>
        <v>1.21408142149448E-4</v>
      </c>
      <c r="M44" s="5">
        <f>'Distal Vali (0.6N perturb)'!M9</f>
        <v>6.0930710285902002E-2</v>
      </c>
      <c r="N44" s="5">
        <f>'Distal Vali (0.6N perturb)'!N9</f>
        <v>-0.19216823577880901</v>
      </c>
      <c r="O44" s="5">
        <f>'Distal Vali (0.6N perturb)'!O9</f>
        <v>-0.45323920249938998</v>
      </c>
      <c r="P44" s="5">
        <f>'Distal Vali (0.6N perturb)'!P9</f>
        <v>-0.86372590065002397</v>
      </c>
      <c r="Q44" s="5">
        <f>'Distal Vali (0.6N perturb)'!Q9</f>
        <v>-0.33691111207008401</v>
      </c>
    </row>
    <row r="45" spans="8:17" x14ac:dyDescent="0.25">
      <c r="H45" s="17">
        <v>7</v>
      </c>
      <c r="I45" s="5">
        <f>I$44+A20</f>
        <v>1</v>
      </c>
      <c r="J45" s="5">
        <f t="shared" ref="J45:K45" si="28">J$44+B20</f>
        <v>0</v>
      </c>
      <c r="K45" s="5">
        <f t="shared" si="28"/>
        <v>0</v>
      </c>
      <c r="L45" s="5">
        <v>8.7325181812048002E-4</v>
      </c>
      <c r="M45" s="5">
        <v>6.2060352414846399E-2</v>
      </c>
      <c r="N45" s="5">
        <v>-0.19772984087467199</v>
      </c>
      <c r="O45" s="5">
        <v>-0.469008088111877</v>
      </c>
      <c r="P45" s="5">
        <v>-0.88483870029449496</v>
      </c>
      <c r="Q45" s="5">
        <v>-0.34396547079086298</v>
      </c>
    </row>
    <row r="46" spans="8:17" x14ac:dyDescent="0.25">
      <c r="H46" s="17">
        <v>7</v>
      </c>
      <c r="I46" s="5">
        <f t="shared" ref="I46:I47" si="29">I$44+A21</f>
        <v>0.4</v>
      </c>
      <c r="J46" s="5">
        <f t="shared" ref="J46:J47" si="30">J$44+B21</f>
        <v>0.6</v>
      </c>
      <c r="K46" s="5">
        <f t="shared" ref="K46:K47" si="31">K$44+C21</f>
        <v>0</v>
      </c>
      <c r="L46" s="5">
        <v>1.88831053674221E-3</v>
      </c>
      <c r="M46" s="5">
        <v>6.2279805541038499E-2</v>
      </c>
      <c r="N46" s="5">
        <v>-0.17907203733921101</v>
      </c>
      <c r="O46" s="5">
        <v>-0.42007511854171797</v>
      </c>
      <c r="P46" s="5">
        <v>-0.81610763072967496</v>
      </c>
      <c r="Q46" s="5">
        <v>-0.34715849161148099</v>
      </c>
    </row>
    <row r="47" spans="8:17" x14ac:dyDescent="0.25">
      <c r="H47" s="17">
        <v>7</v>
      </c>
      <c r="I47" s="5">
        <f t="shared" si="29"/>
        <v>0.4</v>
      </c>
      <c r="J47" s="5">
        <f t="shared" si="30"/>
        <v>0</v>
      </c>
      <c r="K47" s="5">
        <f t="shared" si="31"/>
        <v>0.6</v>
      </c>
      <c r="L47" s="5">
        <v>-3.0665383674204402E-3</v>
      </c>
      <c r="M47" s="5">
        <v>5.35877235233784E-2</v>
      </c>
      <c r="N47" s="5">
        <v>-0.18414069712162001</v>
      </c>
      <c r="O47" s="5">
        <v>-0.41851162910461398</v>
      </c>
      <c r="P47" s="5">
        <v>-0.82586264610290505</v>
      </c>
      <c r="Q47" s="5">
        <v>-0.29124367237091098</v>
      </c>
    </row>
    <row r="48" spans="8:17" x14ac:dyDescent="0.25">
      <c r="H48" s="17">
        <v>8</v>
      </c>
      <c r="I48" s="5">
        <f>'Distal Vali (0.6N perturb)'!I10</f>
        <v>0.8</v>
      </c>
      <c r="J48" s="5">
        <f>'Distal Vali (0.6N perturb)'!J10</f>
        <v>0</v>
      </c>
      <c r="K48" s="5">
        <f>'Distal Vali (0.6N perturb)'!K10</f>
        <v>0</v>
      </c>
      <c r="L48" s="5">
        <f>'Distal Vali (0.6N perturb)'!L10</f>
        <v>2.0413408055901501E-3</v>
      </c>
      <c r="M48" s="5">
        <f>'Distal Vali (0.6N perturb)'!M10</f>
        <v>5.3677611052990001E-2</v>
      </c>
      <c r="N48" s="5">
        <f>'Distal Vali (0.6N perturb)'!N10</f>
        <v>-0.22552120685577401</v>
      </c>
      <c r="O48" s="5">
        <f>'Distal Vali (0.6N perturb)'!O10</f>
        <v>-0.44799792766571001</v>
      </c>
      <c r="P48" s="5">
        <f>'Distal Vali (0.6N perturb)'!P10</f>
        <v>-1.0344259738922099</v>
      </c>
      <c r="Q48" s="5">
        <f>'Distal Vali (0.6N perturb)'!Q10</f>
        <v>-0.34386280179023698</v>
      </c>
    </row>
    <row r="49" spans="8:17" x14ac:dyDescent="0.25">
      <c r="H49" s="17">
        <v>8</v>
      </c>
      <c r="I49" s="5">
        <f>I$48+A20</f>
        <v>1.4</v>
      </c>
      <c r="J49" s="5">
        <f t="shared" ref="J49:K49" si="32">J$48+B20</f>
        <v>0</v>
      </c>
      <c r="K49" s="5">
        <f t="shared" si="32"/>
        <v>0</v>
      </c>
      <c r="L49" s="5">
        <v>3.1389072537422202E-3</v>
      </c>
      <c r="M49" s="5">
        <v>5.4431032389402403E-2</v>
      </c>
      <c r="N49" s="5">
        <v>-0.22847892343998</v>
      </c>
      <c r="O49" s="5">
        <v>-0.45064568519592302</v>
      </c>
      <c r="P49" s="5">
        <v>-1.0473046302795399</v>
      </c>
      <c r="Q49" s="5">
        <v>-0.34889203310012801</v>
      </c>
    </row>
    <row r="50" spans="8:17" x14ac:dyDescent="0.25">
      <c r="H50" s="17">
        <v>8</v>
      </c>
      <c r="I50" s="5">
        <f t="shared" ref="I50:I51" si="33">I$48+A21</f>
        <v>0.8</v>
      </c>
      <c r="J50" s="5">
        <f t="shared" ref="J50:J51" si="34">J$48+B21</f>
        <v>0.6</v>
      </c>
      <c r="K50" s="5">
        <f t="shared" ref="K50:K51" si="35">K$48+C21</f>
        <v>0</v>
      </c>
      <c r="L50" s="5">
        <v>3.9829285815358197E-3</v>
      </c>
      <c r="M50" s="5">
        <v>5.4385308176279103E-2</v>
      </c>
      <c r="N50" s="5">
        <v>-0.21008741855621299</v>
      </c>
      <c r="O50" s="5">
        <v>-0.41277560591697698</v>
      </c>
      <c r="P50" s="5">
        <v>-0.97924649715423595</v>
      </c>
      <c r="Q50" s="5">
        <v>-0.35082817077636702</v>
      </c>
    </row>
    <row r="51" spans="8:17" x14ac:dyDescent="0.25">
      <c r="H51" s="17">
        <v>8</v>
      </c>
      <c r="I51" s="5">
        <f t="shared" si="33"/>
        <v>0.8</v>
      </c>
      <c r="J51" s="5">
        <f t="shared" si="34"/>
        <v>0</v>
      </c>
      <c r="K51" s="5">
        <f t="shared" si="35"/>
        <v>0.6</v>
      </c>
      <c r="L51" s="5">
        <v>-1.69683527201414E-3</v>
      </c>
      <c r="M51" s="5">
        <v>4.5837476849555997E-2</v>
      </c>
      <c r="N51" s="5">
        <v>-0.21646480262279499</v>
      </c>
      <c r="O51" s="5">
        <v>-0.415846437215805</v>
      </c>
      <c r="P51" s="5">
        <v>-0.99269974231720004</v>
      </c>
      <c r="Q51" s="5">
        <v>-0.29139718413353</v>
      </c>
    </row>
    <row r="52" spans="8:17" x14ac:dyDescent="0.25">
      <c r="H52" s="17">
        <v>9</v>
      </c>
      <c r="I52" s="5">
        <f>'Distal Vali (0.6N perturb)'!I11</f>
        <v>0</v>
      </c>
      <c r="J52" s="5">
        <f>'Distal Vali (0.6N perturb)'!J11</f>
        <v>0</v>
      </c>
      <c r="K52" s="5">
        <f>'Distal Vali (0.6N perturb)'!K11</f>
        <v>0</v>
      </c>
      <c r="L52" s="5">
        <f>'Distal Vali (0.6N perturb)'!L11</f>
        <v>-1.80347869172692E-3</v>
      </c>
      <c r="M52" s="5">
        <f>'Distal Vali (0.6N perturb)'!M11</f>
        <v>3.06784845888615E-2</v>
      </c>
      <c r="N52" s="5">
        <f>'Distal Vali (0.6N perturb)'!N11</f>
        <v>-0.130104705691338</v>
      </c>
      <c r="O52" s="5">
        <f>'Distal Vali (0.6N perturb)'!O11</f>
        <v>-0.345878034830093</v>
      </c>
      <c r="P52" s="5">
        <f>'Distal Vali (0.6N perturb)'!P11</f>
        <v>-0.53015172481536899</v>
      </c>
      <c r="Q52" s="5">
        <f>'Distal Vali (0.6N perturb)'!Q11</f>
        <v>-0.25460425019264199</v>
      </c>
    </row>
    <row r="53" spans="8:17" x14ac:dyDescent="0.25">
      <c r="H53" s="17">
        <v>9</v>
      </c>
      <c r="I53" s="5">
        <f>I$52+A20</f>
        <v>0.6</v>
      </c>
      <c r="J53" s="5">
        <f t="shared" ref="J53:K53" si="36">J$52+B20</f>
        <v>0</v>
      </c>
      <c r="K53" s="5">
        <f t="shared" si="36"/>
        <v>0</v>
      </c>
      <c r="L53" s="5">
        <v>-5.9032719582319303E-4</v>
      </c>
      <c r="M53" s="5">
        <v>3.1845472753047901E-2</v>
      </c>
      <c r="N53" s="5">
        <v>-0.136280506849289</v>
      </c>
      <c r="O53" s="5">
        <v>-0.36411675810813898</v>
      </c>
      <c r="P53" s="5">
        <v>-0.54559373855590798</v>
      </c>
      <c r="Q53" s="5">
        <v>-0.26172354817390397</v>
      </c>
    </row>
    <row r="54" spans="8:17" x14ac:dyDescent="0.25">
      <c r="H54" s="17">
        <v>9</v>
      </c>
      <c r="I54" s="5">
        <f t="shared" ref="I54:I55" si="37">I$52+A21</f>
        <v>0</v>
      </c>
      <c r="J54" s="5">
        <f t="shared" ref="J54:J55" si="38">J$52+B21</f>
        <v>0.6</v>
      </c>
      <c r="K54" s="5">
        <f t="shared" ref="K54:K55" si="39">K$52+C21</f>
        <v>0</v>
      </c>
      <c r="L54" s="5">
        <v>-4.39455267041922E-4</v>
      </c>
      <c r="M54" s="5">
        <v>3.1614840030670201E-2</v>
      </c>
      <c r="N54" s="5">
        <v>-0.118836537003517</v>
      </c>
      <c r="O54" s="5">
        <v>-0.30730828642845198</v>
      </c>
      <c r="P54" s="5">
        <v>-0.50484818220138605</v>
      </c>
      <c r="Q54" s="5">
        <v>-0.26288193464279203</v>
      </c>
    </row>
    <row r="55" spans="8:17" x14ac:dyDescent="0.25">
      <c r="H55" s="17">
        <v>9</v>
      </c>
      <c r="I55" s="5">
        <f t="shared" si="37"/>
        <v>0</v>
      </c>
      <c r="J55" s="5">
        <f t="shared" si="38"/>
        <v>0</v>
      </c>
      <c r="K55" s="5">
        <f t="shared" si="39"/>
        <v>0.6</v>
      </c>
      <c r="L55" s="5">
        <v>-5.0033815205097198E-3</v>
      </c>
      <c r="M55" s="5">
        <v>2.7182761579752E-2</v>
      </c>
      <c r="N55" s="5">
        <v>-0.12567727267742199</v>
      </c>
      <c r="O55" s="5">
        <v>-0.32517495751380898</v>
      </c>
      <c r="P55" s="5">
        <v>-0.51750469207763705</v>
      </c>
      <c r="Q55" s="5">
        <v>-0.22978612780571001</v>
      </c>
    </row>
    <row r="56" spans="8:17" x14ac:dyDescent="0.25">
      <c r="H56" s="17">
        <v>10</v>
      </c>
      <c r="I56" s="5">
        <f>'Distal Vali (0.6N perturb)'!I12</f>
        <v>0.4</v>
      </c>
      <c r="J56" s="5">
        <f>'Distal Vali (0.6N perturb)'!J12</f>
        <v>0</v>
      </c>
      <c r="K56" s="5">
        <f>'Distal Vali (0.6N perturb)'!K12</f>
        <v>0</v>
      </c>
      <c r="L56" s="5">
        <f>'Distal Vali (0.6N perturb)'!L12</f>
        <v>0</v>
      </c>
      <c r="M56" s="5">
        <f>'Distal Vali (0.6N perturb)'!M12</f>
        <v>0</v>
      </c>
      <c r="N56" s="5">
        <f>'Distal Vali (0.6N perturb)'!N12</f>
        <v>0</v>
      </c>
      <c r="O56" s="5">
        <f>'Distal Vali (0.6N perturb)'!O12</f>
        <v>0</v>
      </c>
      <c r="P56" s="5">
        <f>'Distal Vali (0.6N perturb)'!P12</f>
        <v>0</v>
      </c>
      <c r="Q56" s="5">
        <f>'Distal Vali (0.6N perturb)'!Q12</f>
        <v>0</v>
      </c>
    </row>
    <row r="57" spans="8:17" x14ac:dyDescent="0.25">
      <c r="H57" s="17">
        <v>10</v>
      </c>
      <c r="I57" s="5">
        <f>I$56+A20</f>
        <v>1</v>
      </c>
      <c r="J57" s="5">
        <f t="shared" ref="J57:K57" si="40">J$56+B20</f>
        <v>0</v>
      </c>
      <c r="K57" s="5">
        <f t="shared" si="40"/>
        <v>0</v>
      </c>
      <c r="L57" s="5"/>
      <c r="M57" s="5"/>
      <c r="N57" s="5"/>
      <c r="O57" s="5"/>
      <c r="P57" s="5"/>
      <c r="Q57" s="5"/>
    </row>
    <row r="58" spans="8:17" x14ac:dyDescent="0.25">
      <c r="H58" s="17">
        <v>10</v>
      </c>
      <c r="I58" s="5">
        <f t="shared" ref="I58:I59" si="41">I$56+A21</f>
        <v>0.4</v>
      </c>
      <c r="J58" s="5">
        <f t="shared" ref="J58:J59" si="42">J$56+B21</f>
        <v>0.6</v>
      </c>
      <c r="K58" s="5">
        <f t="shared" ref="K58:K59" si="43">K$56+C21</f>
        <v>0</v>
      </c>
      <c r="L58" s="5"/>
      <c r="M58" s="5"/>
      <c r="N58" s="5"/>
      <c r="O58" s="5"/>
      <c r="P58" s="5"/>
      <c r="Q58" s="5"/>
    </row>
    <row r="59" spans="8:17" x14ac:dyDescent="0.25">
      <c r="H59" s="17">
        <v>10</v>
      </c>
      <c r="I59" s="5">
        <f t="shared" si="41"/>
        <v>0.4</v>
      </c>
      <c r="J59" s="5">
        <f t="shared" si="42"/>
        <v>0</v>
      </c>
      <c r="K59" s="5">
        <f t="shared" si="43"/>
        <v>0.6</v>
      </c>
      <c r="L59" s="5"/>
      <c r="M59" s="5"/>
      <c r="N59" s="5"/>
      <c r="O59" s="5"/>
      <c r="P59" s="5"/>
      <c r="Q59" s="5"/>
    </row>
    <row r="60" spans="8:17" x14ac:dyDescent="0.25">
      <c r="H60" s="17">
        <v>11</v>
      </c>
      <c r="I60" s="5">
        <f>'Distal Vali (0.6N perturb)'!I13</f>
        <v>0.4</v>
      </c>
      <c r="J60" s="5">
        <f>'Distal Vali (0.6N perturb)'!J13</f>
        <v>0</v>
      </c>
      <c r="K60" s="5">
        <f>'Distal Vali (0.6N perturb)'!K13</f>
        <v>0</v>
      </c>
      <c r="L60" s="5">
        <f>'Distal Vali (0.6N perturb)'!L13</f>
        <v>-9.0274820104241404E-4</v>
      </c>
      <c r="M60" s="5">
        <f>'Distal Vali (0.6N perturb)'!M13</f>
        <v>9.5996417105197906E-2</v>
      </c>
      <c r="N60" s="5">
        <f>'Distal Vali (0.6N perturb)'!N13</f>
        <v>-8.7546631693839992E-3</v>
      </c>
      <c r="O60" s="5">
        <f>'Distal Vali (0.6N perturb)'!O13</f>
        <v>-0.111510291695595</v>
      </c>
      <c r="P60" s="5">
        <f>'Distal Vali (0.6N perturb)'!P13</f>
        <v>-6.3374787569046007E-2</v>
      </c>
      <c r="Q60" s="5">
        <f>'Distal Vali (0.6N perturb)'!Q13</f>
        <v>-0.53375589847564697</v>
      </c>
    </row>
    <row r="61" spans="8:17" x14ac:dyDescent="0.25">
      <c r="H61" s="17">
        <v>11</v>
      </c>
      <c r="I61" s="5">
        <f>I$60+A20</f>
        <v>1</v>
      </c>
      <c r="J61" s="5">
        <f t="shared" ref="J61:K61" si="44">J$60+B20</f>
        <v>0</v>
      </c>
      <c r="K61" s="5">
        <f t="shared" si="44"/>
        <v>0</v>
      </c>
      <c r="L61" s="5">
        <v>-2.4800330866128202E-3</v>
      </c>
      <c r="M61" s="5">
        <v>0.101854160428047</v>
      </c>
      <c r="N61" s="5">
        <v>-1.01551841944456E-2</v>
      </c>
      <c r="O61" s="5">
        <v>-0.116913236677647</v>
      </c>
      <c r="P61" s="5">
        <v>-7.4356511235237094E-2</v>
      </c>
      <c r="Q61" s="5">
        <v>-0.56326234340667702</v>
      </c>
    </row>
    <row r="62" spans="8:17" x14ac:dyDescent="0.25">
      <c r="H62" s="17">
        <v>11</v>
      </c>
      <c r="I62" s="5">
        <f t="shared" ref="I62:I63" si="45">I$60+A21</f>
        <v>0.4</v>
      </c>
      <c r="J62" s="5">
        <f t="shared" ref="J62:J63" si="46">J$60+B21</f>
        <v>0.6</v>
      </c>
      <c r="K62" s="5">
        <f t="shared" ref="K62:K63" si="47">K$60+C21</f>
        <v>0</v>
      </c>
      <c r="L62" s="5">
        <v>8.2076713442802397E-4</v>
      </c>
      <c r="M62" s="5">
        <v>9.6029371023178101E-2</v>
      </c>
      <c r="N62" s="5">
        <v>-6.8005314096808399E-3</v>
      </c>
      <c r="O62" s="5">
        <v>-0.10895030945539499</v>
      </c>
      <c r="P62" s="5">
        <v>-4.8026587814092601E-2</v>
      </c>
      <c r="Q62" s="5">
        <v>-0.51695328950882002</v>
      </c>
    </row>
    <row r="63" spans="8:17" x14ac:dyDescent="0.25">
      <c r="H63" s="17">
        <v>11</v>
      </c>
      <c r="I63" s="5">
        <f t="shared" si="45"/>
        <v>0.4</v>
      </c>
      <c r="J63" s="5">
        <f t="shared" si="46"/>
        <v>0</v>
      </c>
      <c r="K63" s="5">
        <f t="shared" si="47"/>
        <v>0.6</v>
      </c>
      <c r="L63" s="5">
        <v>-4.8528495244681803E-4</v>
      </c>
      <c r="M63" s="5">
        <v>8.2321278750896495E-2</v>
      </c>
      <c r="N63" s="5">
        <v>-8.4429755806922895E-3</v>
      </c>
      <c r="O63" s="5">
        <v>-8.9639320969581604E-2</v>
      </c>
      <c r="P63" s="5">
        <v>-6.3276618719100994E-2</v>
      </c>
      <c r="Q63" s="5">
        <v>-0.47606992721557601</v>
      </c>
    </row>
    <row r="64" spans="8:17" x14ac:dyDescent="0.25">
      <c r="H64" s="17">
        <v>12</v>
      </c>
      <c r="I64" s="5">
        <f>'Distal Vali (0.6N perturb)'!I14</f>
        <v>0</v>
      </c>
      <c r="J64" s="5">
        <f>'Distal Vali (0.6N perturb)'!J14</f>
        <v>0</v>
      </c>
      <c r="K64" s="5">
        <f>'Distal Vali (0.6N perturb)'!K14</f>
        <v>0</v>
      </c>
      <c r="L64" s="5">
        <f>'Distal Vali (0.6N perturb)'!L14</f>
        <v>7.30549916625023E-4</v>
      </c>
      <c r="M64" s="5">
        <f>'Distal Vali (0.6N perturb)'!M14</f>
        <v>0.18510913848877</v>
      </c>
      <c r="N64" s="5">
        <f>'Distal Vali (0.6N perturb)'!N14</f>
        <v>-7.8640699386596694E-2</v>
      </c>
      <c r="O64" s="5">
        <f>'Distal Vali (0.6N perturb)'!O14</f>
        <v>-0.26385891437530501</v>
      </c>
      <c r="P64" s="5">
        <f>'Distal Vali (0.6N perturb)'!P14</f>
        <v>-0.69346159696579002</v>
      </c>
      <c r="Q64" s="5">
        <f>'Distal Vali (0.6N perturb)'!Q14</f>
        <v>-0.87223374843597401</v>
      </c>
    </row>
    <row r="65" spans="8:17" x14ac:dyDescent="0.25">
      <c r="H65" s="17">
        <v>12</v>
      </c>
      <c r="I65" s="5">
        <f>I$64+A20</f>
        <v>0.6</v>
      </c>
      <c r="J65" s="5">
        <f t="shared" ref="J65:K65" si="48">J$64+B20</f>
        <v>0</v>
      </c>
      <c r="K65" s="5">
        <f t="shared" si="48"/>
        <v>0</v>
      </c>
      <c r="L65" s="5">
        <v>-3.1077666208147998E-3</v>
      </c>
      <c r="M65" s="5">
        <v>0.187246784567833</v>
      </c>
      <c r="N65" s="5">
        <v>-8.2940965890884399E-2</v>
      </c>
      <c r="O65" s="5">
        <v>-0.26602244377136203</v>
      </c>
      <c r="P65" s="5">
        <v>-0.72528666257858299</v>
      </c>
      <c r="Q65" s="5">
        <v>-0.88184249401092496</v>
      </c>
    </row>
    <row r="66" spans="8:17" x14ac:dyDescent="0.25">
      <c r="H66" s="17">
        <v>12</v>
      </c>
      <c r="I66" s="5">
        <f t="shared" ref="I66:I67" si="49">I$64+A21</f>
        <v>0</v>
      </c>
      <c r="J66" s="5">
        <f t="shared" ref="J66:J67" si="50">J$64+B21</f>
        <v>0.6</v>
      </c>
      <c r="K66" s="5">
        <f t="shared" ref="K66:K67" si="51">K$64+C21</f>
        <v>0</v>
      </c>
      <c r="L66" s="5">
        <v>4.3586762621998804E-3</v>
      </c>
      <c r="M66" s="5">
        <v>0.18550981581211101</v>
      </c>
      <c r="N66" s="5">
        <v>-7.4075989425182301E-2</v>
      </c>
      <c r="O66" s="5">
        <v>-0.26165169477462802</v>
      </c>
      <c r="P66" s="5">
        <v>-0.66138935089111295</v>
      </c>
      <c r="Q66" s="5">
        <v>-0.87556362152099598</v>
      </c>
    </row>
    <row r="67" spans="8:17" x14ac:dyDescent="0.25">
      <c r="H67" s="17">
        <v>12</v>
      </c>
      <c r="I67" s="5">
        <f t="shared" si="49"/>
        <v>0</v>
      </c>
      <c r="J67" s="5">
        <f t="shared" si="50"/>
        <v>0</v>
      </c>
      <c r="K67" s="5">
        <f t="shared" si="51"/>
        <v>0.6</v>
      </c>
      <c r="L67" s="5">
        <v>9.03414096683264E-4</v>
      </c>
      <c r="M67" s="5">
        <v>0.16870972514152499</v>
      </c>
      <c r="N67" s="5">
        <v>-7.7373176813125596E-2</v>
      </c>
      <c r="O67" s="5">
        <v>-0.22837942838668801</v>
      </c>
      <c r="P67" s="5">
        <v>-0.68642711639404297</v>
      </c>
      <c r="Q67" s="5">
        <v>-0.80167603492736805</v>
      </c>
    </row>
    <row r="68" spans="8:17" x14ac:dyDescent="0.25">
      <c r="H68" s="17">
        <v>13</v>
      </c>
      <c r="I68" s="5">
        <f>'Distal Vali (0.6N perturb)'!I15</f>
        <v>0.4</v>
      </c>
      <c r="J68" s="5">
        <f>'Distal Vali (0.6N perturb)'!J15</f>
        <v>0</v>
      </c>
      <c r="K68" s="5">
        <f>'Distal Vali (0.6N perturb)'!K15</f>
        <v>0</v>
      </c>
      <c r="L68" s="5">
        <f>'Distal Vali (0.6N perturb)'!L15</f>
        <v>-2.9432689771056201E-3</v>
      </c>
      <c r="M68" s="5">
        <f>'Distal Vali (0.6N perturb)'!M15</f>
        <v>9.8053239285945906E-2</v>
      </c>
      <c r="N68" s="5">
        <f>'Distal Vali (0.6N perturb)'!N15</f>
        <v>-7.0226937532424899E-2</v>
      </c>
      <c r="O68" s="5">
        <f>'Distal Vali (0.6N perturb)'!O15</f>
        <v>-0.235873714089394</v>
      </c>
      <c r="P68" s="5">
        <f>'Distal Vali (0.6N perturb)'!P15</f>
        <v>-0.46341708302497903</v>
      </c>
      <c r="Q68" s="5">
        <f>'Distal Vali (0.6N perturb)'!Q15</f>
        <v>-0.29305437207222002</v>
      </c>
    </row>
    <row r="69" spans="8:17" x14ac:dyDescent="0.25">
      <c r="H69" s="17">
        <v>13</v>
      </c>
      <c r="I69" s="5">
        <f>I$68+A20</f>
        <v>1</v>
      </c>
      <c r="J69" s="5">
        <f t="shared" ref="J69:K69" si="52">J$68+B20</f>
        <v>0</v>
      </c>
      <c r="K69" s="5">
        <f t="shared" si="52"/>
        <v>0</v>
      </c>
      <c r="L69" s="5">
        <v>-5.5604549124836896E-3</v>
      </c>
      <c r="M69" s="5">
        <v>0.10110595822334301</v>
      </c>
      <c r="N69" s="5">
        <v>-7.6301038265228299E-2</v>
      </c>
      <c r="O69" s="5">
        <v>-0.24268664419651001</v>
      </c>
      <c r="P69" s="5">
        <v>-0.501725673675537</v>
      </c>
      <c r="Q69" s="5">
        <v>-0.30155980587005599</v>
      </c>
    </row>
    <row r="70" spans="8:17" x14ac:dyDescent="0.25">
      <c r="H70" s="17">
        <v>13</v>
      </c>
      <c r="I70" s="5">
        <f t="shared" ref="I70:I71" si="53">I$68+A21</f>
        <v>0.4</v>
      </c>
      <c r="J70" s="5">
        <f t="shared" ref="J70:J71" si="54">J$68+B21</f>
        <v>0.6</v>
      </c>
      <c r="K70" s="5">
        <f t="shared" ref="K70:K71" si="55">K$68+C21</f>
        <v>0</v>
      </c>
      <c r="L70" s="5">
        <v>1.5366636216640501E-3</v>
      </c>
      <c r="M70" s="5">
        <v>0.10198536515235899</v>
      </c>
      <c r="N70" s="5">
        <v>-5.9131160378456102E-2</v>
      </c>
      <c r="O70" s="5">
        <v>-0.24258817732334101</v>
      </c>
      <c r="P70" s="5">
        <v>-0.39477950334549</v>
      </c>
      <c r="Q70" s="5">
        <v>-0.30414065718650801</v>
      </c>
    </row>
    <row r="71" spans="8:17" x14ac:dyDescent="0.25">
      <c r="H71" s="17">
        <v>13</v>
      </c>
      <c r="I71" s="5">
        <f t="shared" si="53"/>
        <v>0.4</v>
      </c>
      <c r="J71" s="5">
        <f t="shared" si="54"/>
        <v>0</v>
      </c>
      <c r="K71" s="5">
        <f t="shared" si="55"/>
        <v>0.6</v>
      </c>
      <c r="L71" s="5">
        <v>-2.3458977229893199E-3</v>
      </c>
      <c r="M71" s="5">
        <v>8.6323104798793807E-2</v>
      </c>
      <c r="N71" s="5">
        <v>-6.6620744764804798E-2</v>
      </c>
      <c r="O71" s="5">
        <v>-0.197530642151833</v>
      </c>
      <c r="P71" s="5">
        <v>-0.44012790918350198</v>
      </c>
      <c r="Q71" s="5">
        <v>-0.262890994548798</v>
      </c>
    </row>
    <row r="72" spans="8:17" x14ac:dyDescent="0.25">
      <c r="H72" s="17">
        <v>14</v>
      </c>
      <c r="I72" s="5">
        <f>'Distal Vali (0.6N perturb)'!I16</f>
        <v>0.8</v>
      </c>
      <c r="J72" s="5">
        <f>'Distal Vali (0.6N perturb)'!J16</f>
        <v>0</v>
      </c>
      <c r="K72" s="5">
        <f>'Distal Vali (0.6N perturb)'!K16</f>
        <v>0</v>
      </c>
      <c r="L72" s="5">
        <f>'Distal Vali (0.6N perturb)'!L16</f>
        <v>-8.9650582522153906E-3</v>
      </c>
      <c r="M72" s="5">
        <f>'Distal Vali (0.6N perturb)'!M16</f>
        <v>0.193452998995781</v>
      </c>
      <c r="N72" s="5">
        <f>'Distal Vali (0.6N perturb)'!N16</f>
        <v>-2.2679660469293601E-2</v>
      </c>
      <c r="O72" s="5">
        <f>'Distal Vali (0.6N perturb)'!O16</f>
        <v>-0.444032043218613</v>
      </c>
      <c r="P72" s="5">
        <f>'Distal Vali (0.6N perturb)'!P16</f>
        <v>-0.175033524632454</v>
      </c>
      <c r="Q72" s="5">
        <f>'Distal Vali (0.6N perturb)'!Q16</f>
        <v>-0.91890478134155296</v>
      </c>
    </row>
    <row r="73" spans="8:17" x14ac:dyDescent="0.25">
      <c r="H73" s="17">
        <v>14</v>
      </c>
      <c r="I73" s="5">
        <f>I$72+A20</f>
        <v>1.4</v>
      </c>
      <c r="J73" s="5">
        <f t="shared" ref="J73:K73" si="56">J$72+B20</f>
        <v>0</v>
      </c>
      <c r="K73" s="5">
        <f t="shared" si="56"/>
        <v>0</v>
      </c>
      <c r="L73" s="5">
        <v>-1.30788292735815E-2</v>
      </c>
      <c r="M73" s="5">
        <v>0.19432164728641499</v>
      </c>
      <c r="N73" s="5">
        <v>-2.6282684877514801E-2</v>
      </c>
      <c r="O73" s="5">
        <v>-0.44682756066322299</v>
      </c>
      <c r="P73" s="5">
        <v>-0.198223441839218</v>
      </c>
      <c r="Q73" s="5">
        <v>-0.91903555393219005</v>
      </c>
    </row>
    <row r="74" spans="8:17" x14ac:dyDescent="0.25">
      <c r="H74" s="17">
        <v>14</v>
      </c>
      <c r="I74" s="5">
        <f t="shared" ref="I74:I75" si="57">I$72+A21</f>
        <v>0.8</v>
      </c>
      <c r="J74" s="5">
        <f t="shared" ref="J74:J75" si="58">J$72+B21</f>
        <v>0.6</v>
      </c>
      <c r="K74" s="5">
        <f t="shared" ref="K74:K75" si="59">K$72+C21</f>
        <v>0</v>
      </c>
      <c r="L74" s="5">
        <v>-3.6557628773152798E-3</v>
      </c>
      <c r="M74" s="5">
        <v>0.19395534694194799</v>
      </c>
      <c r="N74" s="5">
        <v>-1.7926901578903202E-2</v>
      </c>
      <c r="O74" s="5">
        <v>-0.45067426562309298</v>
      </c>
      <c r="P74" s="5">
        <v>-0.14391160011291501</v>
      </c>
      <c r="Q74" s="5">
        <v>-0.90540969371795699</v>
      </c>
    </row>
    <row r="75" spans="8:17" x14ac:dyDescent="0.25">
      <c r="H75" s="17">
        <v>14</v>
      </c>
      <c r="I75" s="5">
        <f t="shared" si="57"/>
        <v>0.8</v>
      </c>
      <c r="J75" s="5">
        <f t="shared" si="58"/>
        <v>0</v>
      </c>
      <c r="K75" s="5">
        <f t="shared" si="59"/>
        <v>0.6</v>
      </c>
      <c r="L75" s="5">
        <v>-6.7889746278524399E-3</v>
      </c>
      <c r="M75" s="5">
        <v>0.178644955158234</v>
      </c>
      <c r="N75" s="5">
        <v>-2.0251551643013999E-2</v>
      </c>
      <c r="O75" s="5">
        <v>-0.38894972205161998</v>
      </c>
      <c r="P75" s="5">
        <v>-0.16112147271633101</v>
      </c>
      <c r="Q75" s="5">
        <v>-0.87853527069091797</v>
      </c>
    </row>
    <row r="76" spans="8:17" x14ac:dyDescent="0.25">
      <c r="H76" s="17">
        <v>15</v>
      </c>
      <c r="I76" s="5">
        <f>'Distal Vali (0.6N perturb)'!I17</f>
        <v>0</v>
      </c>
      <c r="J76" s="5">
        <f>'Distal Vali (0.6N perturb)'!J17</f>
        <v>0</v>
      </c>
      <c r="K76" s="5">
        <f>'Distal Vali (0.6N perturb)'!K17</f>
        <v>0</v>
      </c>
      <c r="L76" s="5">
        <f>'Distal Vali (0.6N perturb)'!L17</f>
        <v>0</v>
      </c>
      <c r="M76" s="5">
        <f>'Distal Vali (0.6N perturb)'!M17</f>
        <v>0</v>
      </c>
      <c r="N76" s="5">
        <f>'Distal Vali (0.6N perturb)'!N17</f>
        <v>0</v>
      </c>
      <c r="O76" s="5">
        <f>'Distal Vali (0.6N perturb)'!O17</f>
        <v>0</v>
      </c>
      <c r="P76" s="5">
        <f>'Distal Vali (0.6N perturb)'!P17</f>
        <v>0</v>
      </c>
      <c r="Q76" s="5">
        <f>'Distal Vali (0.6N perturb)'!Q17</f>
        <v>0</v>
      </c>
    </row>
    <row r="77" spans="8:17" x14ac:dyDescent="0.25">
      <c r="H77" s="17">
        <v>15</v>
      </c>
      <c r="I77" s="5">
        <f>I$76+A20</f>
        <v>0.6</v>
      </c>
      <c r="J77" s="5">
        <f t="shared" ref="J77:K77" si="60">J$76+B20</f>
        <v>0</v>
      </c>
      <c r="K77" s="5">
        <f t="shared" si="60"/>
        <v>0</v>
      </c>
      <c r="L77" s="5"/>
      <c r="M77" s="5"/>
      <c r="N77" s="5"/>
      <c r="O77" s="5"/>
      <c r="P77" s="5"/>
      <c r="Q77" s="5"/>
    </row>
    <row r="78" spans="8:17" x14ac:dyDescent="0.25">
      <c r="H78" s="17">
        <v>15</v>
      </c>
      <c r="I78" s="5">
        <f t="shared" ref="I78:I79" si="61">I$76+A21</f>
        <v>0</v>
      </c>
      <c r="J78" s="5">
        <f t="shared" ref="J78:J79" si="62">J$76+B21</f>
        <v>0.6</v>
      </c>
      <c r="K78" s="5">
        <f t="shared" ref="K78:K79" si="63">K$76+C21</f>
        <v>0</v>
      </c>
      <c r="L78" s="5"/>
      <c r="M78" s="5"/>
      <c r="N78" s="5"/>
      <c r="O78" s="5"/>
      <c r="P78" s="5"/>
      <c r="Q78" s="5"/>
    </row>
    <row r="79" spans="8:17" x14ac:dyDescent="0.25">
      <c r="H79" s="17">
        <v>15</v>
      </c>
      <c r="I79" s="5">
        <f t="shared" si="61"/>
        <v>0</v>
      </c>
      <c r="J79" s="5">
        <f t="shared" si="62"/>
        <v>0</v>
      </c>
      <c r="K79" s="5">
        <f t="shared" si="63"/>
        <v>0.6</v>
      </c>
      <c r="L79" s="5"/>
      <c r="M79" s="5"/>
      <c r="N79" s="5"/>
      <c r="O79" s="5"/>
      <c r="P79" s="5"/>
      <c r="Q79" s="5"/>
    </row>
  </sheetData>
  <mergeCells count="9">
    <mergeCell ref="AL5:AS5"/>
    <mergeCell ref="A19:C19"/>
    <mergeCell ref="L19:Q19"/>
    <mergeCell ref="A1:K1"/>
    <mergeCell ref="L1:Q1"/>
    <mergeCell ref="R1:Z1"/>
    <mergeCell ref="AA1:AH1"/>
    <mergeCell ref="AI1:AS1"/>
    <mergeCell ref="AL2:AS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54"/>
  <sheetViews>
    <sheetView topLeftCell="A24" workbookViewId="0">
      <selection activeCell="H52" sqref="H52:M54"/>
    </sheetView>
  </sheetViews>
  <sheetFormatPr defaultRowHeight="15" x14ac:dyDescent="0.25"/>
  <sheetData>
    <row r="1" spans="1:13" ht="15.75" x14ac:dyDescent="0.25">
      <c r="A1" s="40" t="s">
        <v>21</v>
      </c>
      <c r="B1" s="38"/>
      <c r="C1" s="38"/>
      <c r="D1" s="38"/>
      <c r="E1" s="38"/>
      <c r="F1" s="39"/>
      <c r="H1" s="40" t="s">
        <v>22</v>
      </c>
      <c r="I1" s="38"/>
      <c r="J1" s="38"/>
      <c r="K1" s="38"/>
      <c r="L1" s="38"/>
      <c r="M1" s="39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0.34101566672325101</v>
      </c>
      <c r="B3">
        <v>0.290946185588837</v>
      </c>
      <c r="C3">
        <v>-0.186183482408524</v>
      </c>
      <c r="D3">
        <v>-3.2525759190321003E-2</v>
      </c>
      <c r="E3">
        <v>8.4817789494991302E-2</v>
      </c>
      <c r="F3" s="4">
        <v>3.3966472838073999E-3</v>
      </c>
      <c r="H3">
        <f>$F3</f>
        <v>3.3966472838073999E-3</v>
      </c>
      <c r="I3">
        <f>-1*$E3</f>
        <v>-8.4817789494991302E-2</v>
      </c>
      <c r="J3">
        <f>$D3</f>
        <v>-3.2525759190321003E-2</v>
      </c>
      <c r="K3">
        <f>$C3</f>
        <v>-0.186183482408524</v>
      </c>
      <c r="L3">
        <f>-1*$B3</f>
        <v>-0.290946185588837</v>
      </c>
      <c r="M3">
        <f>$A3</f>
        <v>0.34101566672325101</v>
      </c>
    </row>
    <row r="4" spans="1:13" x14ac:dyDescent="0.25">
      <c r="A4">
        <v>0.30814045667648299</v>
      </c>
      <c r="B4">
        <v>0.31568014621734602</v>
      </c>
      <c r="C4">
        <v>-0.16215063631534599</v>
      </c>
      <c r="D4">
        <v>-3.5355295985937098E-2</v>
      </c>
      <c r="E4">
        <v>7.6770626008510603E-2</v>
      </c>
      <c r="F4">
        <v>4.7846524976193896E-3</v>
      </c>
      <c r="H4">
        <f t="shared" ref="H4:H54" si="0">$F4</f>
        <v>4.7846524976193896E-3</v>
      </c>
      <c r="I4">
        <f t="shared" ref="I4:I54" si="1">-1*$E4</f>
        <v>-7.6770626008510603E-2</v>
      </c>
      <c r="J4">
        <f t="shared" ref="J4:J54" si="2">$D4</f>
        <v>-3.5355295985937098E-2</v>
      </c>
      <c r="K4">
        <f t="shared" ref="K4:K54" si="3">$C4</f>
        <v>-0.16215063631534599</v>
      </c>
      <c r="L4">
        <f t="shared" ref="L4:L54" si="4">-1*$B4</f>
        <v>-0.31568014621734602</v>
      </c>
      <c r="M4">
        <f t="shared" ref="M4:M54" si="5">$A4</f>
        <v>0.30814045667648299</v>
      </c>
    </row>
    <row r="5" spans="1:13" x14ac:dyDescent="0.25">
      <c r="A5">
        <v>0.30544507503509499</v>
      </c>
      <c r="B5">
        <v>0.26379287242889399</v>
      </c>
      <c r="C5">
        <v>-0.15830263495445299</v>
      </c>
      <c r="D5">
        <v>-2.92263831943274E-2</v>
      </c>
      <c r="E5">
        <v>7.5815342366695404E-2</v>
      </c>
      <c r="F5">
        <v>1.75101147033274E-3</v>
      </c>
      <c r="H5">
        <f t="shared" si="0"/>
        <v>1.75101147033274E-3</v>
      </c>
      <c r="I5">
        <f t="shared" si="1"/>
        <v>-7.5815342366695404E-2</v>
      </c>
      <c r="J5">
        <f t="shared" si="2"/>
        <v>-2.92263831943274E-2</v>
      </c>
      <c r="K5">
        <f t="shared" si="3"/>
        <v>-0.15830263495445299</v>
      </c>
      <c r="L5">
        <f t="shared" si="4"/>
        <v>-0.26379287242889399</v>
      </c>
      <c r="M5">
        <f t="shared" si="5"/>
        <v>0.30544507503509499</v>
      </c>
    </row>
    <row r="6" spans="1:13" x14ac:dyDescent="0.25">
      <c r="A6">
        <v>0.37134739756584201</v>
      </c>
      <c r="B6">
        <v>0.286252111196518</v>
      </c>
      <c r="C6">
        <v>-0.190847843885422</v>
      </c>
      <c r="D6">
        <v>-3.1735785305500003E-2</v>
      </c>
      <c r="E6">
        <v>9.1100767254829407E-2</v>
      </c>
      <c r="F6">
        <v>3.5732281394302802E-3</v>
      </c>
      <c r="H6">
        <f t="shared" si="0"/>
        <v>3.5732281394302802E-3</v>
      </c>
      <c r="I6">
        <f t="shared" si="1"/>
        <v>-9.1100767254829407E-2</v>
      </c>
      <c r="J6">
        <f t="shared" si="2"/>
        <v>-3.1735785305500003E-2</v>
      </c>
      <c r="K6">
        <f t="shared" si="3"/>
        <v>-0.190847843885422</v>
      </c>
      <c r="L6">
        <f t="shared" si="4"/>
        <v>-0.286252111196518</v>
      </c>
      <c r="M6">
        <f t="shared" si="5"/>
        <v>0.37134739756584201</v>
      </c>
    </row>
    <row r="7" spans="1:13" x14ac:dyDescent="0.25">
      <c r="A7">
        <v>-0.148137778043747</v>
      </c>
      <c r="B7">
        <v>3.9881169795989999E-3</v>
      </c>
      <c r="C7">
        <v>-1.40395248308778E-2</v>
      </c>
      <c r="D7">
        <v>5.1419169176369895E-4</v>
      </c>
      <c r="E7">
        <v>1.4378885738551599E-2</v>
      </c>
      <c r="F7">
        <v>2.92063690721989E-4</v>
      </c>
      <c r="H7">
        <f t="shared" si="0"/>
        <v>2.92063690721989E-4</v>
      </c>
      <c r="I7">
        <f t="shared" si="1"/>
        <v>-1.4378885738551599E-2</v>
      </c>
      <c r="J7">
        <f t="shared" si="2"/>
        <v>5.1419169176369895E-4</v>
      </c>
      <c r="K7">
        <f t="shared" si="3"/>
        <v>-1.40395248308778E-2</v>
      </c>
      <c r="L7">
        <f t="shared" si="4"/>
        <v>-3.9881169795989999E-3</v>
      </c>
      <c r="M7">
        <f t="shared" si="5"/>
        <v>-0.148137778043747</v>
      </c>
    </row>
    <row r="8" spans="1:13" x14ac:dyDescent="0.25">
      <c r="A8">
        <v>-0.17866048216819799</v>
      </c>
      <c r="B8">
        <v>2.0677028223872199E-2</v>
      </c>
      <c r="C8">
        <v>4.0111662819981601E-3</v>
      </c>
      <c r="D8">
        <v>-2.08050152286887E-3</v>
      </c>
      <c r="E8">
        <v>7.0527084171772003E-3</v>
      </c>
      <c r="F8">
        <v>1.5791626647114799E-3</v>
      </c>
      <c r="H8">
        <f t="shared" si="0"/>
        <v>1.5791626647114799E-3</v>
      </c>
      <c r="I8">
        <f t="shared" si="1"/>
        <v>-7.0527084171772003E-3</v>
      </c>
      <c r="J8">
        <f t="shared" si="2"/>
        <v>-2.08050152286887E-3</v>
      </c>
      <c r="K8">
        <f t="shared" si="3"/>
        <v>4.0111662819981601E-3</v>
      </c>
      <c r="L8">
        <f t="shared" si="4"/>
        <v>-2.0677028223872199E-2</v>
      </c>
      <c r="M8">
        <f t="shared" si="5"/>
        <v>-0.17866048216819799</v>
      </c>
    </row>
    <row r="9" spans="1:13" x14ac:dyDescent="0.25">
      <c r="A9">
        <v>-0.179818570613861</v>
      </c>
      <c r="B9">
        <v>-1.1851854622364001E-2</v>
      </c>
      <c r="C9">
        <v>3.6321938969194902E-3</v>
      </c>
      <c r="D9">
        <v>2.9734096024185402E-3</v>
      </c>
      <c r="E9">
        <v>7.1569895371794701E-3</v>
      </c>
      <c r="F9">
        <v>-1.1583648156374699E-3</v>
      </c>
      <c r="H9">
        <f t="shared" si="0"/>
        <v>-1.1583648156374699E-3</v>
      </c>
      <c r="I9">
        <f t="shared" si="1"/>
        <v>-7.1569895371794701E-3</v>
      </c>
      <c r="J9">
        <f t="shared" si="2"/>
        <v>2.9734096024185402E-3</v>
      </c>
      <c r="K9">
        <f t="shared" si="3"/>
        <v>3.6321938969194902E-3</v>
      </c>
      <c r="L9">
        <f t="shared" si="4"/>
        <v>1.1851854622364001E-2</v>
      </c>
      <c r="M9">
        <f t="shared" si="5"/>
        <v>-0.179818570613861</v>
      </c>
    </row>
    <row r="10" spans="1:13" x14ac:dyDescent="0.25">
      <c r="A10">
        <v>-0.105594038963318</v>
      </c>
      <c r="B10">
        <v>7.4703618884086598E-4</v>
      </c>
      <c r="C10">
        <v>-2.5370907038450199E-2</v>
      </c>
      <c r="D10">
        <v>1.2023192830383799E-3</v>
      </c>
      <c r="E10">
        <v>2.3585639894008598E-2</v>
      </c>
      <c r="F10">
        <v>-3.69136687368155E-5</v>
      </c>
      <c r="H10">
        <f t="shared" si="0"/>
        <v>-3.69136687368155E-5</v>
      </c>
      <c r="I10">
        <f t="shared" si="1"/>
        <v>-2.3585639894008598E-2</v>
      </c>
      <c r="J10">
        <f t="shared" si="2"/>
        <v>1.2023192830383799E-3</v>
      </c>
      <c r="K10">
        <f t="shared" si="3"/>
        <v>-2.5370907038450199E-2</v>
      </c>
      <c r="L10">
        <f t="shared" si="4"/>
        <v>-7.4703618884086598E-4</v>
      </c>
      <c r="M10">
        <f t="shared" si="5"/>
        <v>-0.105594038963318</v>
      </c>
    </row>
    <row r="11" spans="1:13" x14ac:dyDescent="0.25">
      <c r="A11">
        <v>3.2090678811073303E-2</v>
      </c>
      <c r="B11">
        <v>-1.0805079713463801E-2</v>
      </c>
      <c r="C11">
        <v>-0.40724512934684798</v>
      </c>
      <c r="D11">
        <v>5.0861202180385598E-3</v>
      </c>
      <c r="E11">
        <v>9.7128830850124401E-2</v>
      </c>
      <c r="F11">
        <v>2.6918570511043102E-3</v>
      </c>
      <c r="H11">
        <f t="shared" si="0"/>
        <v>2.6918570511043102E-3</v>
      </c>
      <c r="I11">
        <f t="shared" si="1"/>
        <v>-9.7128830850124401E-2</v>
      </c>
      <c r="J11">
        <f t="shared" si="2"/>
        <v>5.0861202180385598E-3</v>
      </c>
      <c r="K11">
        <f t="shared" si="3"/>
        <v>-0.40724512934684798</v>
      </c>
      <c r="L11">
        <f t="shared" si="4"/>
        <v>1.0805079713463801E-2</v>
      </c>
      <c r="M11">
        <f t="shared" si="5"/>
        <v>3.2090678811073303E-2</v>
      </c>
    </row>
    <row r="12" spans="1:13" x14ac:dyDescent="0.25">
      <c r="A12">
        <v>2.6900358498096501E-2</v>
      </c>
      <c r="B12">
        <v>2.0746577531099299E-2</v>
      </c>
      <c r="C12">
        <v>-0.38164517283439597</v>
      </c>
      <c r="D12">
        <v>3.7218275247141703E-4</v>
      </c>
      <c r="E12">
        <v>9.1151893138885498E-2</v>
      </c>
      <c r="F12">
        <v>7.1417102590203303E-3</v>
      </c>
      <c r="H12">
        <f t="shared" si="0"/>
        <v>7.1417102590203303E-3</v>
      </c>
      <c r="I12">
        <f t="shared" si="1"/>
        <v>-9.1151893138885498E-2</v>
      </c>
      <c r="J12">
        <f t="shared" si="2"/>
        <v>3.7218275247141703E-4</v>
      </c>
      <c r="K12">
        <f t="shared" si="3"/>
        <v>-0.38164517283439597</v>
      </c>
      <c r="L12">
        <f t="shared" si="4"/>
        <v>-2.0746577531099299E-2</v>
      </c>
      <c r="M12">
        <f t="shared" si="5"/>
        <v>2.6900358498096501E-2</v>
      </c>
    </row>
    <row r="13" spans="1:13" x14ac:dyDescent="0.25">
      <c r="A13">
        <v>1.6371488571166999E-2</v>
      </c>
      <c r="B13">
        <v>-3.4079838544130298E-2</v>
      </c>
      <c r="C13">
        <v>-0.37443938851356501</v>
      </c>
      <c r="D13">
        <v>8.5697956383228302E-3</v>
      </c>
      <c r="E13">
        <v>8.8719904422759996E-2</v>
      </c>
      <c r="F13">
        <v>-9.9307717755436897E-4</v>
      </c>
      <c r="H13">
        <f t="shared" si="0"/>
        <v>-9.9307717755436897E-4</v>
      </c>
      <c r="I13">
        <f t="shared" si="1"/>
        <v>-8.8719904422759996E-2</v>
      </c>
      <c r="J13">
        <f t="shared" si="2"/>
        <v>8.5697956383228302E-3</v>
      </c>
      <c r="K13">
        <f t="shared" si="3"/>
        <v>-0.37443938851356501</v>
      </c>
      <c r="L13">
        <f t="shared" si="4"/>
        <v>3.4079838544130298E-2</v>
      </c>
      <c r="M13">
        <f t="shared" si="5"/>
        <v>1.6371488571166999E-2</v>
      </c>
    </row>
    <row r="14" spans="1:13" x14ac:dyDescent="0.25">
      <c r="A14">
        <v>3.2927412539720501E-2</v>
      </c>
      <c r="B14">
        <v>-1.31122367456555E-2</v>
      </c>
      <c r="C14">
        <v>-0.41846364736557001</v>
      </c>
      <c r="D14">
        <v>5.5827959440648599E-3</v>
      </c>
      <c r="E14">
        <v>9.9095642566680894E-2</v>
      </c>
      <c r="F14">
        <v>2.3157137911766798E-3</v>
      </c>
      <c r="H14">
        <f t="shared" si="0"/>
        <v>2.3157137911766798E-3</v>
      </c>
      <c r="I14">
        <f t="shared" si="1"/>
        <v>-9.9095642566680894E-2</v>
      </c>
      <c r="J14">
        <f t="shared" si="2"/>
        <v>5.5827959440648599E-3</v>
      </c>
      <c r="K14">
        <f t="shared" si="3"/>
        <v>-0.41846364736557001</v>
      </c>
      <c r="L14">
        <f t="shared" si="4"/>
        <v>1.31122367456555E-2</v>
      </c>
      <c r="M14">
        <f t="shared" si="5"/>
        <v>3.2927412539720501E-2</v>
      </c>
    </row>
    <row r="15" spans="1:13" x14ac:dyDescent="0.25">
      <c r="A15">
        <v>6.8886458873748793E-2</v>
      </c>
      <c r="B15">
        <v>0.67368566989898704</v>
      </c>
      <c r="C15">
        <v>-0.16237765550613401</v>
      </c>
      <c r="D15">
        <v>-8.8403537869453402E-2</v>
      </c>
      <c r="E15">
        <v>5.2426334470510497E-2</v>
      </c>
      <c r="F15">
        <v>1.2694518081843901E-3</v>
      </c>
      <c r="H15">
        <f t="shared" si="0"/>
        <v>1.2694518081843901E-3</v>
      </c>
      <c r="I15">
        <f t="shared" si="1"/>
        <v>-5.2426334470510497E-2</v>
      </c>
      <c r="J15">
        <f t="shared" si="2"/>
        <v>-8.8403537869453402E-2</v>
      </c>
      <c r="K15">
        <f t="shared" si="3"/>
        <v>-0.16237765550613401</v>
      </c>
      <c r="L15">
        <f t="shared" si="4"/>
        <v>-0.67368566989898704</v>
      </c>
      <c r="M15">
        <f t="shared" si="5"/>
        <v>6.8886458873748793E-2</v>
      </c>
    </row>
    <row r="16" spans="1:13" x14ac:dyDescent="0.25">
      <c r="A16">
        <v>4.6903401613235501E-2</v>
      </c>
      <c r="B16">
        <v>0.71704697608947798</v>
      </c>
      <c r="C16">
        <v>-0.14485144615173301</v>
      </c>
      <c r="D16">
        <v>-9.5036953687667805E-2</v>
      </c>
      <c r="E16">
        <v>4.4000539928674698E-2</v>
      </c>
      <c r="F16">
        <v>3.9274767041206403E-3</v>
      </c>
      <c r="H16">
        <f t="shared" si="0"/>
        <v>3.9274767041206403E-3</v>
      </c>
      <c r="I16">
        <f t="shared" si="1"/>
        <v>-4.4000539928674698E-2</v>
      </c>
      <c r="J16">
        <f t="shared" si="2"/>
        <v>-9.5036953687667805E-2</v>
      </c>
      <c r="K16">
        <f t="shared" si="3"/>
        <v>-0.14485144615173301</v>
      </c>
      <c r="L16">
        <f t="shared" si="4"/>
        <v>-0.71704697608947798</v>
      </c>
      <c r="M16">
        <f t="shared" si="5"/>
        <v>4.6903401613235501E-2</v>
      </c>
    </row>
    <row r="17" spans="1:13" x14ac:dyDescent="0.25">
      <c r="A17">
        <v>5.6958615779876702E-2</v>
      </c>
      <c r="B17">
        <v>0.631952583789825</v>
      </c>
      <c r="C17">
        <v>-0.146904721856117</v>
      </c>
      <c r="D17">
        <v>-8.1878006458282498E-2</v>
      </c>
      <c r="E17">
        <v>4.5862302184104899E-2</v>
      </c>
      <c r="F17">
        <v>-9.5364777371287303E-4</v>
      </c>
      <c r="H17">
        <f t="shared" si="0"/>
        <v>-9.5364777371287303E-4</v>
      </c>
      <c r="I17">
        <f t="shared" si="1"/>
        <v>-4.5862302184104899E-2</v>
      </c>
      <c r="J17">
        <f t="shared" si="2"/>
        <v>-8.1878006458282498E-2</v>
      </c>
      <c r="K17">
        <f t="shared" si="3"/>
        <v>-0.146904721856117</v>
      </c>
      <c r="L17">
        <f t="shared" si="4"/>
        <v>-0.631952583789825</v>
      </c>
      <c r="M17">
        <f t="shared" si="5"/>
        <v>5.6958615779876702E-2</v>
      </c>
    </row>
    <row r="18" spans="1:13" x14ac:dyDescent="0.25">
      <c r="A18">
        <v>9.2208802700042697E-2</v>
      </c>
      <c r="B18">
        <v>0.66644299030303999</v>
      </c>
      <c r="C18">
        <v>-0.18440371751785301</v>
      </c>
      <c r="D18">
        <v>-8.6739368736743899E-2</v>
      </c>
      <c r="E18">
        <v>6.00174702703953E-2</v>
      </c>
      <c r="F18">
        <v>9.0643670409917799E-4</v>
      </c>
      <c r="H18">
        <f t="shared" si="0"/>
        <v>9.0643670409917799E-4</v>
      </c>
      <c r="I18">
        <f t="shared" si="1"/>
        <v>-6.00174702703953E-2</v>
      </c>
      <c r="J18">
        <f t="shared" si="2"/>
        <v>-8.6739368736743899E-2</v>
      </c>
      <c r="K18">
        <f t="shared" si="3"/>
        <v>-0.18440371751785301</v>
      </c>
      <c r="L18">
        <f t="shared" si="4"/>
        <v>-0.66644299030303999</v>
      </c>
      <c r="M18">
        <f t="shared" si="5"/>
        <v>9.2208802700042697E-2</v>
      </c>
    </row>
    <row r="19" spans="1:13" x14ac:dyDescent="0.25">
      <c r="A19">
        <v>-0.47338950634002702</v>
      </c>
      <c r="B19">
        <v>0.81293100118637096</v>
      </c>
      <c r="C19">
        <v>-0.22609874606132499</v>
      </c>
      <c r="D19">
        <v>-0.15243518352508501</v>
      </c>
      <c r="E19">
        <v>-8.6320064961910206E-2</v>
      </c>
      <c r="F19">
        <v>-2.6597268879413599E-4</v>
      </c>
      <c r="H19">
        <f t="shared" si="0"/>
        <v>-2.6597268879413599E-4</v>
      </c>
      <c r="I19">
        <f t="shared" si="1"/>
        <v>8.6320064961910206E-2</v>
      </c>
      <c r="J19">
        <f t="shared" si="2"/>
        <v>-0.15243518352508501</v>
      </c>
      <c r="K19">
        <f t="shared" si="3"/>
        <v>-0.22609874606132499</v>
      </c>
      <c r="L19">
        <f t="shared" si="4"/>
        <v>-0.81293100118637096</v>
      </c>
      <c r="M19">
        <f t="shared" si="5"/>
        <v>-0.47338950634002702</v>
      </c>
    </row>
    <row r="20" spans="1:13" x14ac:dyDescent="0.25">
      <c r="A20">
        <v>-0.486432075500488</v>
      </c>
      <c r="B20">
        <v>0.85305935144424405</v>
      </c>
      <c r="C20">
        <v>-0.23291090130806</v>
      </c>
      <c r="D20">
        <v>-0.16011224687099501</v>
      </c>
      <c r="E20">
        <v>-8.8781088590621907E-2</v>
      </c>
      <c r="F20">
        <v>-3.3348239958286302E-4</v>
      </c>
      <c r="H20">
        <f t="shared" si="0"/>
        <v>-3.3348239958286302E-4</v>
      </c>
      <c r="I20">
        <f t="shared" si="1"/>
        <v>8.8781088590621907E-2</v>
      </c>
      <c r="J20">
        <f t="shared" si="2"/>
        <v>-0.16011224687099501</v>
      </c>
      <c r="K20">
        <f t="shared" si="3"/>
        <v>-0.23291090130806</v>
      </c>
      <c r="L20">
        <f t="shared" si="4"/>
        <v>-0.85305935144424405</v>
      </c>
      <c r="M20">
        <f t="shared" si="5"/>
        <v>-0.486432075500488</v>
      </c>
    </row>
    <row r="21" spans="1:13" x14ac:dyDescent="0.25">
      <c r="A21">
        <v>-0.48660367727279702</v>
      </c>
      <c r="B21">
        <v>0.74244308471679699</v>
      </c>
      <c r="C21">
        <v>-0.200972050428391</v>
      </c>
      <c r="D21">
        <v>-0.137546807527542</v>
      </c>
      <c r="E21">
        <v>-8.8260546326637296E-2</v>
      </c>
      <c r="F21">
        <v>1.3329796493053399E-3</v>
      </c>
      <c r="H21">
        <f t="shared" si="0"/>
        <v>1.3329796493053399E-3</v>
      </c>
      <c r="I21">
        <f t="shared" si="1"/>
        <v>8.8260546326637296E-2</v>
      </c>
      <c r="J21">
        <f t="shared" si="2"/>
        <v>-0.137546807527542</v>
      </c>
      <c r="K21">
        <f t="shared" si="3"/>
        <v>-0.200972050428391</v>
      </c>
      <c r="L21">
        <f t="shared" si="4"/>
        <v>-0.74244308471679699</v>
      </c>
      <c r="M21">
        <f t="shared" si="5"/>
        <v>-0.48660367727279702</v>
      </c>
    </row>
    <row r="22" spans="1:13" x14ac:dyDescent="0.25">
      <c r="A22">
        <v>-0.411002337932587</v>
      </c>
      <c r="B22">
        <v>0.77179682254791304</v>
      </c>
      <c r="C22">
        <v>-0.191051125526428</v>
      </c>
      <c r="D22">
        <v>-0.144500657916069</v>
      </c>
      <c r="E22">
        <v>-7.5751185417175307E-2</v>
      </c>
      <c r="F22">
        <v>-1.8139015883207299E-3</v>
      </c>
      <c r="H22">
        <f t="shared" si="0"/>
        <v>-1.8139015883207299E-3</v>
      </c>
      <c r="I22">
        <f t="shared" si="1"/>
        <v>7.5751185417175307E-2</v>
      </c>
      <c r="J22">
        <f t="shared" si="2"/>
        <v>-0.144500657916069</v>
      </c>
      <c r="K22">
        <f t="shared" si="3"/>
        <v>-0.191051125526428</v>
      </c>
      <c r="L22">
        <f t="shared" si="4"/>
        <v>-0.77179682254791304</v>
      </c>
      <c r="M22">
        <f t="shared" si="5"/>
        <v>-0.411002337932587</v>
      </c>
    </row>
    <row r="23" spans="1:13" x14ac:dyDescent="0.25">
      <c r="A23">
        <v>-0.25453394651413003</v>
      </c>
      <c r="B23">
        <v>0.99236428737640403</v>
      </c>
      <c r="C23">
        <v>-0.18137529492378199</v>
      </c>
      <c r="D23">
        <v>-0.180290177464485</v>
      </c>
      <c r="E23">
        <v>-3.6083325743675197E-2</v>
      </c>
      <c r="F23">
        <v>-1.1004870757460601E-3</v>
      </c>
      <c r="H23">
        <f t="shared" si="0"/>
        <v>-1.1004870757460601E-3</v>
      </c>
      <c r="I23">
        <f t="shared" si="1"/>
        <v>3.6083325743675197E-2</v>
      </c>
      <c r="J23">
        <f t="shared" si="2"/>
        <v>-0.180290177464485</v>
      </c>
      <c r="K23">
        <f t="shared" si="3"/>
        <v>-0.18137529492378199</v>
      </c>
      <c r="L23">
        <f t="shared" si="4"/>
        <v>-0.99236428737640403</v>
      </c>
      <c r="M23">
        <f t="shared" si="5"/>
        <v>-0.25453394651413003</v>
      </c>
    </row>
    <row r="24" spans="1:13" x14ac:dyDescent="0.25">
      <c r="A24">
        <v>-0.286822348833084</v>
      </c>
      <c r="B24">
        <v>1.0544390678405799</v>
      </c>
      <c r="C24">
        <v>-0.19178026914596599</v>
      </c>
      <c r="D24">
        <v>-0.19076372683048201</v>
      </c>
      <c r="E24">
        <v>-4.05797101557255E-2</v>
      </c>
      <c r="F24">
        <v>-7.9773366451263401E-5</v>
      </c>
      <c r="H24">
        <f t="shared" si="0"/>
        <v>-7.9773366451263401E-5</v>
      </c>
      <c r="I24">
        <f t="shared" si="1"/>
        <v>4.05797101557255E-2</v>
      </c>
      <c r="J24">
        <f t="shared" si="2"/>
        <v>-0.19076372683048201</v>
      </c>
      <c r="K24">
        <f t="shared" si="3"/>
        <v>-0.19178026914596599</v>
      </c>
      <c r="L24">
        <f t="shared" si="4"/>
        <v>-1.0544390678405799</v>
      </c>
      <c r="M24">
        <f t="shared" si="5"/>
        <v>-0.286822348833084</v>
      </c>
    </row>
    <row r="25" spans="1:13" x14ac:dyDescent="0.25">
      <c r="A25">
        <v>-0.26899504661560097</v>
      </c>
      <c r="B25">
        <v>0.93887907266616799</v>
      </c>
      <c r="C25">
        <v>-0.16189207136631001</v>
      </c>
      <c r="D25">
        <v>-0.16816398501396199</v>
      </c>
      <c r="E25">
        <v>-3.7795923650264698E-2</v>
      </c>
      <c r="F25">
        <v>8.9275650680065196E-5</v>
      </c>
      <c r="H25">
        <f t="shared" si="0"/>
        <v>8.9275650680065196E-5</v>
      </c>
      <c r="I25">
        <f t="shared" si="1"/>
        <v>3.7795923650264698E-2</v>
      </c>
      <c r="J25">
        <f t="shared" si="2"/>
        <v>-0.16816398501396199</v>
      </c>
      <c r="K25">
        <f t="shared" si="3"/>
        <v>-0.16189207136631001</v>
      </c>
      <c r="L25">
        <f t="shared" si="4"/>
        <v>-0.93887907266616799</v>
      </c>
      <c r="M25">
        <f t="shared" si="5"/>
        <v>-0.26899504661560097</v>
      </c>
    </row>
    <row r="26" spans="1:13" x14ac:dyDescent="0.25">
      <c r="A26">
        <v>-0.17800956964492801</v>
      </c>
      <c r="B26">
        <v>0.91853284835815396</v>
      </c>
      <c r="C26">
        <v>-0.154843360185623</v>
      </c>
      <c r="D26">
        <v>-0.16904753446578999</v>
      </c>
      <c r="E26">
        <v>-2.5789694860577601E-2</v>
      </c>
      <c r="F26">
        <v>-3.0912766233086599E-3</v>
      </c>
      <c r="H26">
        <f t="shared" si="0"/>
        <v>-3.0912766233086599E-3</v>
      </c>
      <c r="I26">
        <f t="shared" si="1"/>
        <v>2.5789694860577601E-2</v>
      </c>
      <c r="J26">
        <f t="shared" si="2"/>
        <v>-0.16904753446578999</v>
      </c>
      <c r="K26">
        <f t="shared" si="3"/>
        <v>-0.154843360185623</v>
      </c>
      <c r="L26">
        <f t="shared" si="4"/>
        <v>-0.91853284835815396</v>
      </c>
      <c r="M26">
        <f t="shared" si="5"/>
        <v>-0.17800956964492801</v>
      </c>
    </row>
    <row r="27" spans="1:13" x14ac:dyDescent="0.25">
      <c r="A27">
        <v>-0.33691111207008401</v>
      </c>
      <c r="B27">
        <v>0.86372590065002397</v>
      </c>
      <c r="C27">
        <v>-0.45323920249938998</v>
      </c>
      <c r="D27">
        <v>-0.19216823577880901</v>
      </c>
      <c r="E27">
        <v>-6.0930710285902002E-2</v>
      </c>
      <c r="F27">
        <v>1.21408142149448E-4</v>
      </c>
      <c r="H27">
        <f t="shared" si="0"/>
        <v>1.21408142149448E-4</v>
      </c>
      <c r="I27">
        <f t="shared" si="1"/>
        <v>6.0930710285902002E-2</v>
      </c>
      <c r="J27">
        <f t="shared" si="2"/>
        <v>-0.19216823577880901</v>
      </c>
      <c r="K27">
        <f t="shared" si="3"/>
        <v>-0.45323920249938998</v>
      </c>
      <c r="L27">
        <f t="shared" si="4"/>
        <v>-0.86372590065002397</v>
      </c>
      <c r="M27">
        <f t="shared" si="5"/>
        <v>-0.33691111207008401</v>
      </c>
    </row>
    <row r="28" spans="1:13" x14ac:dyDescent="0.25">
      <c r="A28">
        <v>-0.34396547079086298</v>
      </c>
      <c r="B28">
        <v>0.88483870029449496</v>
      </c>
      <c r="C28">
        <v>-0.469008088111877</v>
      </c>
      <c r="D28">
        <v>-0.19772984087467199</v>
      </c>
      <c r="E28">
        <v>-6.2060352414846399E-2</v>
      </c>
      <c r="F28">
        <v>8.7325181812048002E-4</v>
      </c>
      <c r="H28">
        <f t="shared" si="0"/>
        <v>8.7325181812048002E-4</v>
      </c>
      <c r="I28">
        <f t="shared" si="1"/>
        <v>6.2060352414846399E-2</v>
      </c>
      <c r="J28">
        <f t="shared" si="2"/>
        <v>-0.19772984087467199</v>
      </c>
      <c r="K28">
        <f t="shared" si="3"/>
        <v>-0.469008088111877</v>
      </c>
      <c r="L28">
        <f t="shared" si="4"/>
        <v>-0.88483870029449496</v>
      </c>
      <c r="M28">
        <f t="shared" si="5"/>
        <v>-0.34396547079086298</v>
      </c>
    </row>
    <row r="29" spans="1:13" x14ac:dyDescent="0.25">
      <c r="A29">
        <v>-0.34715849161148099</v>
      </c>
      <c r="B29">
        <v>0.81610763072967496</v>
      </c>
      <c r="C29">
        <v>-0.42007511854171797</v>
      </c>
      <c r="D29">
        <v>-0.17907203733921101</v>
      </c>
      <c r="E29">
        <v>-6.2279805541038499E-2</v>
      </c>
      <c r="F29">
        <v>1.88831053674221E-3</v>
      </c>
      <c r="H29">
        <f t="shared" si="0"/>
        <v>1.88831053674221E-3</v>
      </c>
      <c r="I29">
        <f t="shared" si="1"/>
        <v>6.2279805541038499E-2</v>
      </c>
      <c r="J29">
        <f t="shared" si="2"/>
        <v>-0.17907203733921101</v>
      </c>
      <c r="K29">
        <f t="shared" si="3"/>
        <v>-0.42007511854171797</v>
      </c>
      <c r="L29">
        <f t="shared" si="4"/>
        <v>-0.81610763072967496</v>
      </c>
      <c r="M29">
        <f t="shared" si="5"/>
        <v>-0.34715849161148099</v>
      </c>
    </row>
    <row r="30" spans="1:13" x14ac:dyDescent="0.25">
      <c r="A30">
        <v>-0.29124367237091098</v>
      </c>
      <c r="B30">
        <v>0.82586264610290505</v>
      </c>
      <c r="C30">
        <v>-0.41851162910461398</v>
      </c>
      <c r="D30">
        <v>-0.18414069712162001</v>
      </c>
      <c r="E30">
        <v>-5.35877235233784E-2</v>
      </c>
      <c r="F30">
        <v>-3.0665383674204402E-3</v>
      </c>
      <c r="H30">
        <f t="shared" si="0"/>
        <v>-3.0665383674204402E-3</v>
      </c>
      <c r="I30">
        <f t="shared" si="1"/>
        <v>5.35877235233784E-2</v>
      </c>
      <c r="J30">
        <f t="shared" si="2"/>
        <v>-0.18414069712162001</v>
      </c>
      <c r="K30">
        <f t="shared" si="3"/>
        <v>-0.41851162910461398</v>
      </c>
      <c r="L30">
        <f t="shared" si="4"/>
        <v>-0.82586264610290505</v>
      </c>
      <c r="M30">
        <f t="shared" si="5"/>
        <v>-0.29124367237091098</v>
      </c>
    </row>
    <row r="31" spans="1:13" x14ac:dyDescent="0.25">
      <c r="A31">
        <v>-0.34386280179023698</v>
      </c>
      <c r="B31">
        <v>1.0344259738922099</v>
      </c>
      <c r="C31">
        <v>-0.44799792766571001</v>
      </c>
      <c r="D31">
        <v>-0.22552120685577401</v>
      </c>
      <c r="E31">
        <v>-5.3677611052990001E-2</v>
      </c>
      <c r="F31">
        <v>2.0413408055901501E-3</v>
      </c>
      <c r="H31">
        <f t="shared" si="0"/>
        <v>2.0413408055901501E-3</v>
      </c>
      <c r="I31">
        <f t="shared" si="1"/>
        <v>5.3677611052990001E-2</v>
      </c>
      <c r="J31">
        <f t="shared" si="2"/>
        <v>-0.22552120685577401</v>
      </c>
      <c r="K31">
        <f t="shared" si="3"/>
        <v>-0.44799792766571001</v>
      </c>
      <c r="L31">
        <f t="shared" si="4"/>
        <v>-1.0344259738922099</v>
      </c>
      <c r="M31">
        <f t="shared" si="5"/>
        <v>-0.34386280179023698</v>
      </c>
    </row>
    <row r="32" spans="1:13" x14ac:dyDescent="0.25">
      <c r="A32">
        <v>-0.34889203310012801</v>
      </c>
      <c r="B32">
        <v>1.0473046302795399</v>
      </c>
      <c r="C32">
        <v>-0.45064568519592302</v>
      </c>
      <c r="D32">
        <v>-0.22847892343998</v>
      </c>
      <c r="E32">
        <v>-5.4431032389402403E-2</v>
      </c>
      <c r="F32">
        <v>3.1389072537422202E-3</v>
      </c>
      <c r="H32">
        <f t="shared" si="0"/>
        <v>3.1389072537422202E-3</v>
      </c>
      <c r="I32">
        <f t="shared" si="1"/>
        <v>5.4431032389402403E-2</v>
      </c>
      <c r="J32">
        <f t="shared" si="2"/>
        <v>-0.22847892343998</v>
      </c>
      <c r="K32">
        <f t="shared" si="3"/>
        <v>-0.45064568519592302</v>
      </c>
      <c r="L32">
        <f t="shared" si="4"/>
        <v>-1.0473046302795399</v>
      </c>
      <c r="M32">
        <f t="shared" si="5"/>
        <v>-0.34889203310012801</v>
      </c>
    </row>
    <row r="33" spans="1:13" x14ac:dyDescent="0.25">
      <c r="A33">
        <v>-0.35082817077636702</v>
      </c>
      <c r="B33">
        <v>0.97924649715423595</v>
      </c>
      <c r="C33">
        <v>-0.41277560591697698</v>
      </c>
      <c r="D33">
        <v>-0.21008741855621299</v>
      </c>
      <c r="E33">
        <v>-5.4385308176279103E-2</v>
      </c>
      <c r="F33">
        <v>3.9829285815358197E-3</v>
      </c>
      <c r="H33">
        <f t="shared" si="0"/>
        <v>3.9829285815358197E-3</v>
      </c>
      <c r="I33">
        <f t="shared" si="1"/>
        <v>5.4385308176279103E-2</v>
      </c>
      <c r="J33">
        <f t="shared" si="2"/>
        <v>-0.21008741855621299</v>
      </c>
      <c r="K33">
        <f t="shared" si="3"/>
        <v>-0.41277560591697698</v>
      </c>
      <c r="L33">
        <f t="shared" si="4"/>
        <v>-0.97924649715423595</v>
      </c>
      <c r="M33">
        <f t="shared" si="5"/>
        <v>-0.35082817077636702</v>
      </c>
    </row>
    <row r="34" spans="1:13" x14ac:dyDescent="0.25">
      <c r="A34">
        <v>-0.29139718413353</v>
      </c>
      <c r="B34">
        <v>0.99269974231720004</v>
      </c>
      <c r="C34">
        <v>-0.415846437215805</v>
      </c>
      <c r="D34">
        <v>-0.21646480262279499</v>
      </c>
      <c r="E34">
        <v>-4.5837476849555997E-2</v>
      </c>
      <c r="F34">
        <v>-1.69683527201414E-3</v>
      </c>
      <c r="H34">
        <f t="shared" si="0"/>
        <v>-1.69683527201414E-3</v>
      </c>
      <c r="I34">
        <f t="shared" si="1"/>
        <v>4.5837476849555997E-2</v>
      </c>
      <c r="J34">
        <f t="shared" si="2"/>
        <v>-0.21646480262279499</v>
      </c>
      <c r="K34">
        <f t="shared" si="3"/>
        <v>-0.415846437215805</v>
      </c>
      <c r="L34">
        <f t="shared" si="4"/>
        <v>-0.99269974231720004</v>
      </c>
      <c r="M34">
        <f t="shared" si="5"/>
        <v>-0.29139718413353</v>
      </c>
    </row>
    <row r="35" spans="1:13" x14ac:dyDescent="0.25">
      <c r="A35">
        <v>-0.25460425019264199</v>
      </c>
      <c r="B35">
        <v>0.53015172481536899</v>
      </c>
      <c r="C35">
        <v>-0.345878034830093</v>
      </c>
      <c r="D35">
        <v>-0.130104705691338</v>
      </c>
      <c r="E35">
        <v>-3.06784845888615E-2</v>
      </c>
      <c r="F35">
        <v>-1.80347869172692E-3</v>
      </c>
      <c r="H35">
        <f t="shared" si="0"/>
        <v>-1.80347869172692E-3</v>
      </c>
      <c r="I35">
        <f t="shared" si="1"/>
        <v>3.06784845888615E-2</v>
      </c>
      <c r="J35">
        <f t="shared" si="2"/>
        <v>-0.130104705691338</v>
      </c>
      <c r="K35">
        <f t="shared" si="3"/>
        <v>-0.345878034830093</v>
      </c>
      <c r="L35">
        <f t="shared" si="4"/>
        <v>-0.53015172481536899</v>
      </c>
      <c r="M35">
        <f t="shared" si="5"/>
        <v>-0.25460425019264199</v>
      </c>
    </row>
    <row r="36" spans="1:13" x14ac:dyDescent="0.25">
      <c r="A36">
        <v>-0.26172354817390397</v>
      </c>
      <c r="B36">
        <v>0.54559373855590798</v>
      </c>
      <c r="C36">
        <v>-0.36411675810813898</v>
      </c>
      <c r="D36">
        <v>-0.136280506849289</v>
      </c>
      <c r="E36">
        <v>-3.1845472753047901E-2</v>
      </c>
      <c r="F36">
        <v>-5.9032719582319303E-4</v>
      </c>
      <c r="H36">
        <f t="shared" si="0"/>
        <v>-5.9032719582319303E-4</v>
      </c>
      <c r="I36">
        <f t="shared" si="1"/>
        <v>3.1845472753047901E-2</v>
      </c>
      <c r="J36">
        <f t="shared" si="2"/>
        <v>-0.136280506849289</v>
      </c>
      <c r="K36">
        <f t="shared" si="3"/>
        <v>-0.36411675810813898</v>
      </c>
      <c r="L36">
        <f t="shared" si="4"/>
        <v>-0.54559373855590798</v>
      </c>
      <c r="M36">
        <f t="shared" si="5"/>
        <v>-0.26172354817390397</v>
      </c>
    </row>
    <row r="37" spans="1:13" x14ac:dyDescent="0.25">
      <c r="A37">
        <v>-0.26288193464279203</v>
      </c>
      <c r="B37">
        <v>0.50484818220138605</v>
      </c>
      <c r="C37">
        <v>-0.30730828642845198</v>
      </c>
      <c r="D37">
        <v>-0.118836537003517</v>
      </c>
      <c r="E37">
        <v>-3.1614840030670201E-2</v>
      </c>
      <c r="F37">
        <v>-4.39455267041922E-4</v>
      </c>
      <c r="H37">
        <f t="shared" si="0"/>
        <v>-4.39455267041922E-4</v>
      </c>
      <c r="I37">
        <f t="shared" si="1"/>
        <v>3.1614840030670201E-2</v>
      </c>
      <c r="J37">
        <f t="shared" si="2"/>
        <v>-0.118836537003517</v>
      </c>
      <c r="K37">
        <f t="shared" si="3"/>
        <v>-0.30730828642845198</v>
      </c>
      <c r="L37">
        <f t="shared" si="4"/>
        <v>-0.50484818220138605</v>
      </c>
      <c r="M37">
        <f t="shared" si="5"/>
        <v>-0.26288193464279203</v>
      </c>
    </row>
    <row r="38" spans="1:13" x14ac:dyDescent="0.25">
      <c r="A38">
        <v>-0.22978612780571001</v>
      </c>
      <c r="B38">
        <v>0.51750469207763705</v>
      </c>
      <c r="C38">
        <v>-0.32517495751380898</v>
      </c>
      <c r="D38">
        <v>-0.12567727267742199</v>
      </c>
      <c r="E38">
        <v>-2.7182761579752E-2</v>
      </c>
      <c r="F38">
        <v>-5.0033815205097198E-3</v>
      </c>
      <c r="H38">
        <f t="shared" si="0"/>
        <v>-5.0033815205097198E-3</v>
      </c>
      <c r="I38">
        <f t="shared" si="1"/>
        <v>2.7182761579752E-2</v>
      </c>
      <c r="J38">
        <f t="shared" si="2"/>
        <v>-0.12567727267742199</v>
      </c>
      <c r="K38">
        <f t="shared" si="3"/>
        <v>-0.32517495751380898</v>
      </c>
      <c r="L38">
        <f t="shared" si="4"/>
        <v>-0.51750469207763705</v>
      </c>
      <c r="M38">
        <f t="shared" si="5"/>
        <v>-0.22978612780571001</v>
      </c>
    </row>
    <row r="39" spans="1:13" x14ac:dyDescent="0.25">
      <c r="A39">
        <v>-0.53375589847564697</v>
      </c>
      <c r="B39">
        <v>6.3374787569046007E-2</v>
      </c>
      <c r="C39">
        <v>-0.111510291695595</v>
      </c>
      <c r="D39">
        <v>-8.7546631693839992E-3</v>
      </c>
      <c r="E39">
        <v>-9.5996417105197906E-2</v>
      </c>
      <c r="F39">
        <v>-9.0274820104241404E-4</v>
      </c>
      <c r="H39">
        <f t="shared" si="0"/>
        <v>-9.0274820104241404E-4</v>
      </c>
      <c r="I39">
        <f t="shared" si="1"/>
        <v>9.5996417105197906E-2</v>
      </c>
      <c r="J39">
        <f t="shared" si="2"/>
        <v>-8.7546631693839992E-3</v>
      </c>
      <c r="K39">
        <f t="shared" si="3"/>
        <v>-0.111510291695595</v>
      </c>
      <c r="L39">
        <f t="shared" si="4"/>
        <v>-6.3374787569046007E-2</v>
      </c>
      <c r="M39">
        <f t="shared" si="5"/>
        <v>-0.53375589847564697</v>
      </c>
    </row>
    <row r="40" spans="1:13" x14ac:dyDescent="0.25">
      <c r="A40">
        <v>-0.56326234340667702</v>
      </c>
      <c r="B40">
        <v>7.4356511235237094E-2</v>
      </c>
      <c r="C40">
        <v>-0.116913236677647</v>
      </c>
      <c r="D40">
        <v>-1.01551841944456E-2</v>
      </c>
      <c r="E40">
        <v>-0.101854160428047</v>
      </c>
      <c r="F40">
        <v>-2.4800330866128202E-3</v>
      </c>
      <c r="H40">
        <f t="shared" si="0"/>
        <v>-2.4800330866128202E-3</v>
      </c>
      <c r="I40">
        <f t="shared" si="1"/>
        <v>0.101854160428047</v>
      </c>
      <c r="J40">
        <f t="shared" si="2"/>
        <v>-1.01551841944456E-2</v>
      </c>
      <c r="K40">
        <f t="shared" si="3"/>
        <v>-0.116913236677647</v>
      </c>
      <c r="L40">
        <f t="shared" si="4"/>
        <v>-7.4356511235237094E-2</v>
      </c>
      <c r="M40">
        <f t="shared" si="5"/>
        <v>-0.56326234340667702</v>
      </c>
    </row>
    <row r="41" spans="1:13" x14ac:dyDescent="0.25">
      <c r="A41">
        <v>-0.51695328950882002</v>
      </c>
      <c r="B41">
        <v>4.8026587814092601E-2</v>
      </c>
      <c r="C41">
        <v>-0.10895030945539499</v>
      </c>
      <c r="D41">
        <v>-6.8005314096808399E-3</v>
      </c>
      <c r="E41">
        <v>-9.6029371023178101E-2</v>
      </c>
      <c r="F41">
        <v>8.2076713442802397E-4</v>
      </c>
      <c r="H41">
        <f t="shared" si="0"/>
        <v>8.2076713442802397E-4</v>
      </c>
      <c r="I41">
        <f t="shared" si="1"/>
        <v>9.6029371023178101E-2</v>
      </c>
      <c r="J41">
        <f t="shared" si="2"/>
        <v>-6.8005314096808399E-3</v>
      </c>
      <c r="K41">
        <f t="shared" si="3"/>
        <v>-0.10895030945539499</v>
      </c>
      <c r="L41">
        <f t="shared" si="4"/>
        <v>-4.8026587814092601E-2</v>
      </c>
      <c r="M41">
        <f t="shared" si="5"/>
        <v>-0.51695328950882002</v>
      </c>
    </row>
    <row r="42" spans="1:13" x14ac:dyDescent="0.25">
      <c r="A42">
        <v>-0.47606992721557601</v>
      </c>
      <c r="B42">
        <v>6.3276618719100994E-2</v>
      </c>
      <c r="C42">
        <v>-8.9639320969581604E-2</v>
      </c>
      <c r="D42">
        <v>-8.4429755806922895E-3</v>
      </c>
      <c r="E42">
        <v>-8.2321278750896495E-2</v>
      </c>
      <c r="F42">
        <v>-4.8528495244681803E-4</v>
      </c>
      <c r="H42">
        <f t="shared" si="0"/>
        <v>-4.8528495244681803E-4</v>
      </c>
      <c r="I42">
        <f t="shared" si="1"/>
        <v>8.2321278750896495E-2</v>
      </c>
      <c r="J42">
        <f t="shared" si="2"/>
        <v>-8.4429755806922895E-3</v>
      </c>
      <c r="K42">
        <f t="shared" si="3"/>
        <v>-8.9639320969581604E-2</v>
      </c>
      <c r="L42">
        <f t="shared" si="4"/>
        <v>-6.3276618719100994E-2</v>
      </c>
      <c r="M42">
        <f t="shared" si="5"/>
        <v>-0.47606992721557601</v>
      </c>
    </row>
    <row r="43" spans="1:13" x14ac:dyDescent="0.25">
      <c r="A43">
        <v>-0.87223374843597401</v>
      </c>
      <c r="B43">
        <v>0.69346159696579002</v>
      </c>
      <c r="C43">
        <v>-0.26385891437530501</v>
      </c>
      <c r="D43">
        <v>-7.8640699386596694E-2</v>
      </c>
      <c r="E43">
        <v>-0.18510913848877</v>
      </c>
      <c r="F43">
        <v>7.30549916625023E-4</v>
      </c>
      <c r="H43">
        <f t="shared" si="0"/>
        <v>7.30549916625023E-4</v>
      </c>
      <c r="I43">
        <f t="shared" si="1"/>
        <v>0.18510913848877</v>
      </c>
      <c r="J43">
        <f t="shared" si="2"/>
        <v>-7.8640699386596694E-2</v>
      </c>
      <c r="K43">
        <f t="shared" si="3"/>
        <v>-0.26385891437530501</v>
      </c>
      <c r="L43">
        <f t="shared" si="4"/>
        <v>-0.69346159696579002</v>
      </c>
      <c r="M43">
        <f t="shared" si="5"/>
        <v>-0.87223374843597401</v>
      </c>
    </row>
    <row r="44" spans="1:13" x14ac:dyDescent="0.25">
      <c r="A44">
        <v>-0.88184249401092496</v>
      </c>
      <c r="B44">
        <v>0.72528666257858299</v>
      </c>
      <c r="C44">
        <v>-0.26602244377136203</v>
      </c>
      <c r="D44">
        <v>-8.2940965890884399E-2</v>
      </c>
      <c r="E44">
        <v>-0.187246784567833</v>
      </c>
      <c r="F44">
        <v>-3.1077666208147998E-3</v>
      </c>
      <c r="H44">
        <f t="shared" si="0"/>
        <v>-3.1077666208147998E-3</v>
      </c>
      <c r="I44">
        <f t="shared" si="1"/>
        <v>0.187246784567833</v>
      </c>
      <c r="J44">
        <f t="shared" si="2"/>
        <v>-8.2940965890884399E-2</v>
      </c>
      <c r="K44">
        <f t="shared" si="3"/>
        <v>-0.26602244377136203</v>
      </c>
      <c r="L44">
        <f t="shared" si="4"/>
        <v>-0.72528666257858299</v>
      </c>
      <c r="M44">
        <f t="shared" si="5"/>
        <v>-0.88184249401092496</v>
      </c>
    </row>
    <row r="45" spans="1:13" x14ac:dyDescent="0.25">
      <c r="A45">
        <v>-0.87556362152099598</v>
      </c>
      <c r="B45">
        <v>0.66138935089111295</v>
      </c>
      <c r="C45">
        <v>-0.26165169477462802</v>
      </c>
      <c r="D45">
        <v>-7.4075989425182301E-2</v>
      </c>
      <c r="E45">
        <v>-0.18550981581211101</v>
      </c>
      <c r="F45">
        <v>4.3586762621998804E-3</v>
      </c>
      <c r="H45">
        <f t="shared" si="0"/>
        <v>4.3586762621998804E-3</v>
      </c>
      <c r="I45">
        <f t="shared" si="1"/>
        <v>0.18550981581211101</v>
      </c>
      <c r="J45">
        <f t="shared" si="2"/>
        <v>-7.4075989425182301E-2</v>
      </c>
      <c r="K45">
        <f t="shared" si="3"/>
        <v>-0.26165169477462802</v>
      </c>
      <c r="L45">
        <f t="shared" si="4"/>
        <v>-0.66138935089111295</v>
      </c>
      <c r="M45">
        <f t="shared" si="5"/>
        <v>-0.87556362152099598</v>
      </c>
    </row>
    <row r="46" spans="1:13" x14ac:dyDescent="0.25">
      <c r="A46">
        <v>-0.80167603492736805</v>
      </c>
      <c r="B46">
        <v>0.68642711639404297</v>
      </c>
      <c r="C46">
        <v>-0.22837942838668801</v>
      </c>
      <c r="D46">
        <v>-7.7373176813125596E-2</v>
      </c>
      <c r="E46">
        <v>-0.16870972514152499</v>
      </c>
      <c r="F46">
        <v>9.03414096683264E-4</v>
      </c>
      <c r="H46">
        <f t="shared" si="0"/>
        <v>9.03414096683264E-4</v>
      </c>
      <c r="I46">
        <f t="shared" si="1"/>
        <v>0.16870972514152499</v>
      </c>
      <c r="J46">
        <f t="shared" si="2"/>
        <v>-7.7373176813125596E-2</v>
      </c>
      <c r="K46">
        <f t="shared" si="3"/>
        <v>-0.22837942838668801</v>
      </c>
      <c r="L46">
        <f t="shared" si="4"/>
        <v>-0.68642711639404297</v>
      </c>
      <c r="M46">
        <f t="shared" si="5"/>
        <v>-0.80167603492736805</v>
      </c>
    </row>
    <row r="47" spans="1:13" x14ac:dyDescent="0.25">
      <c r="A47">
        <v>-0.29305437207222002</v>
      </c>
      <c r="B47">
        <v>0.46341708302497903</v>
      </c>
      <c r="C47">
        <v>-0.235873714089394</v>
      </c>
      <c r="D47">
        <v>-7.0226937532424899E-2</v>
      </c>
      <c r="E47">
        <v>-9.8053239285945906E-2</v>
      </c>
      <c r="F47">
        <v>-2.9432689771056201E-3</v>
      </c>
      <c r="H47">
        <f t="shared" si="0"/>
        <v>-2.9432689771056201E-3</v>
      </c>
      <c r="I47">
        <f t="shared" si="1"/>
        <v>9.8053239285945906E-2</v>
      </c>
      <c r="J47">
        <f t="shared" si="2"/>
        <v>-7.0226937532424899E-2</v>
      </c>
      <c r="K47">
        <f t="shared" si="3"/>
        <v>-0.235873714089394</v>
      </c>
      <c r="L47">
        <f t="shared" si="4"/>
        <v>-0.46341708302497903</v>
      </c>
      <c r="M47">
        <f t="shared" si="5"/>
        <v>-0.29305437207222002</v>
      </c>
    </row>
    <row r="48" spans="1:13" x14ac:dyDescent="0.25">
      <c r="A48">
        <v>-0.30155980587005599</v>
      </c>
      <c r="B48">
        <v>0.501725673675537</v>
      </c>
      <c r="C48">
        <v>-0.24268664419651001</v>
      </c>
      <c r="D48">
        <v>-7.6301038265228299E-2</v>
      </c>
      <c r="E48">
        <v>-0.10110595822334301</v>
      </c>
      <c r="F48">
        <v>-5.5604549124836896E-3</v>
      </c>
      <c r="H48">
        <f t="shared" si="0"/>
        <v>-5.5604549124836896E-3</v>
      </c>
      <c r="I48">
        <f t="shared" si="1"/>
        <v>0.10110595822334301</v>
      </c>
      <c r="J48">
        <f t="shared" si="2"/>
        <v>-7.6301038265228299E-2</v>
      </c>
      <c r="K48">
        <f t="shared" si="3"/>
        <v>-0.24268664419651001</v>
      </c>
      <c r="L48">
        <f t="shared" si="4"/>
        <v>-0.501725673675537</v>
      </c>
      <c r="M48">
        <f t="shared" si="5"/>
        <v>-0.30155980587005599</v>
      </c>
    </row>
    <row r="49" spans="1:13" x14ac:dyDescent="0.25">
      <c r="A49">
        <v>-0.30414065718650801</v>
      </c>
      <c r="B49">
        <v>0.39477950334549</v>
      </c>
      <c r="C49">
        <v>-0.24258817732334101</v>
      </c>
      <c r="D49">
        <v>-5.9131160378456102E-2</v>
      </c>
      <c r="E49">
        <v>-0.10198536515235899</v>
      </c>
      <c r="F49">
        <v>1.5366636216640501E-3</v>
      </c>
      <c r="H49">
        <f t="shared" si="0"/>
        <v>1.5366636216640501E-3</v>
      </c>
      <c r="I49">
        <f t="shared" si="1"/>
        <v>0.10198536515235899</v>
      </c>
      <c r="J49">
        <f t="shared" si="2"/>
        <v>-5.9131160378456102E-2</v>
      </c>
      <c r="K49">
        <f t="shared" si="3"/>
        <v>-0.24258817732334101</v>
      </c>
      <c r="L49">
        <f t="shared" si="4"/>
        <v>-0.39477950334549</v>
      </c>
      <c r="M49">
        <f t="shared" si="5"/>
        <v>-0.30414065718650801</v>
      </c>
    </row>
    <row r="50" spans="1:13" x14ac:dyDescent="0.25">
      <c r="A50">
        <v>-0.262890994548798</v>
      </c>
      <c r="B50">
        <v>0.44012790918350198</v>
      </c>
      <c r="C50">
        <v>-0.197530642151833</v>
      </c>
      <c r="D50">
        <v>-6.6620744764804798E-2</v>
      </c>
      <c r="E50">
        <v>-8.6323104798793807E-2</v>
      </c>
      <c r="F50">
        <v>-2.3458977229893199E-3</v>
      </c>
      <c r="H50">
        <f t="shared" si="0"/>
        <v>-2.3458977229893199E-3</v>
      </c>
      <c r="I50">
        <f t="shared" si="1"/>
        <v>8.6323104798793807E-2</v>
      </c>
      <c r="J50">
        <f t="shared" si="2"/>
        <v>-6.6620744764804798E-2</v>
      </c>
      <c r="K50">
        <f t="shared" si="3"/>
        <v>-0.197530642151833</v>
      </c>
      <c r="L50">
        <f t="shared" si="4"/>
        <v>-0.44012790918350198</v>
      </c>
      <c r="M50">
        <f t="shared" si="5"/>
        <v>-0.262890994548798</v>
      </c>
    </row>
    <row r="51" spans="1:13" x14ac:dyDescent="0.25">
      <c r="A51">
        <v>-0.91890478134155296</v>
      </c>
      <c r="B51">
        <v>0.175033524632454</v>
      </c>
      <c r="C51">
        <v>-0.444032043218613</v>
      </c>
      <c r="D51">
        <v>-2.2679660469293601E-2</v>
      </c>
      <c r="E51">
        <v>-0.193452998995781</v>
      </c>
      <c r="F51">
        <v>-8.9650582522153906E-3</v>
      </c>
      <c r="H51">
        <f t="shared" si="0"/>
        <v>-8.9650582522153906E-3</v>
      </c>
      <c r="I51">
        <f t="shared" si="1"/>
        <v>0.193452998995781</v>
      </c>
      <c r="J51">
        <f t="shared" si="2"/>
        <v>-2.2679660469293601E-2</v>
      </c>
      <c r="K51">
        <f t="shared" si="3"/>
        <v>-0.444032043218613</v>
      </c>
      <c r="L51">
        <f t="shared" si="4"/>
        <v>-0.175033524632454</v>
      </c>
      <c r="M51">
        <f t="shared" si="5"/>
        <v>-0.91890478134155296</v>
      </c>
    </row>
    <row r="52" spans="1:13" x14ac:dyDescent="0.25">
      <c r="A52">
        <v>-0.91903555393219005</v>
      </c>
      <c r="B52">
        <v>0.198223441839218</v>
      </c>
      <c r="C52">
        <v>-0.44682756066322299</v>
      </c>
      <c r="D52">
        <v>-2.6282684877514801E-2</v>
      </c>
      <c r="E52">
        <v>-0.19432164728641499</v>
      </c>
      <c r="F52">
        <v>-1.30788292735815E-2</v>
      </c>
      <c r="H52">
        <f t="shared" si="0"/>
        <v>-1.30788292735815E-2</v>
      </c>
      <c r="I52">
        <f t="shared" si="1"/>
        <v>0.19432164728641499</v>
      </c>
      <c r="J52">
        <f t="shared" si="2"/>
        <v>-2.6282684877514801E-2</v>
      </c>
      <c r="K52">
        <f t="shared" si="3"/>
        <v>-0.44682756066322299</v>
      </c>
      <c r="L52">
        <f t="shared" si="4"/>
        <v>-0.198223441839218</v>
      </c>
      <c r="M52">
        <f t="shared" si="5"/>
        <v>-0.91903555393219005</v>
      </c>
    </row>
    <row r="53" spans="1:13" x14ac:dyDescent="0.25">
      <c r="A53">
        <v>-0.90540969371795699</v>
      </c>
      <c r="B53">
        <v>0.14391160011291501</v>
      </c>
      <c r="C53">
        <v>-0.45067426562309298</v>
      </c>
      <c r="D53">
        <v>-1.7926901578903202E-2</v>
      </c>
      <c r="E53">
        <v>-0.19395534694194799</v>
      </c>
      <c r="F53">
        <v>-3.6557628773152798E-3</v>
      </c>
      <c r="H53">
        <f t="shared" si="0"/>
        <v>-3.6557628773152798E-3</v>
      </c>
      <c r="I53">
        <f t="shared" si="1"/>
        <v>0.19395534694194799</v>
      </c>
      <c r="J53">
        <f t="shared" si="2"/>
        <v>-1.7926901578903202E-2</v>
      </c>
      <c r="K53">
        <f t="shared" si="3"/>
        <v>-0.45067426562309298</v>
      </c>
      <c r="L53">
        <f t="shared" si="4"/>
        <v>-0.14391160011291501</v>
      </c>
      <c r="M53">
        <f t="shared" si="5"/>
        <v>-0.90540969371795699</v>
      </c>
    </row>
    <row r="54" spans="1:13" x14ac:dyDescent="0.25">
      <c r="A54">
        <v>-0.87853527069091797</v>
      </c>
      <c r="B54">
        <v>0.16112147271633101</v>
      </c>
      <c r="C54">
        <v>-0.38894972205161998</v>
      </c>
      <c r="D54">
        <v>-2.0251551643013999E-2</v>
      </c>
      <c r="E54">
        <v>-0.178644955158234</v>
      </c>
      <c r="F54">
        <v>-6.7889746278524399E-3</v>
      </c>
      <c r="H54">
        <f t="shared" si="0"/>
        <v>-6.7889746278524399E-3</v>
      </c>
      <c r="I54">
        <f t="shared" si="1"/>
        <v>0.178644955158234</v>
      </c>
      <c r="J54">
        <f t="shared" si="2"/>
        <v>-2.0251551643013999E-2</v>
      </c>
      <c r="K54">
        <f t="shared" si="3"/>
        <v>-0.38894972205161998</v>
      </c>
      <c r="L54">
        <f t="shared" si="4"/>
        <v>-0.16112147271633101</v>
      </c>
      <c r="M54">
        <f t="shared" si="5"/>
        <v>-0.87853527069091797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A2:AE88"/>
  <sheetViews>
    <sheetView topLeftCell="A70" workbookViewId="0">
      <selection activeCell="L94" sqref="L94"/>
    </sheetView>
  </sheetViews>
  <sheetFormatPr defaultRowHeight="15" x14ac:dyDescent="0.25"/>
  <sheetData>
    <row r="2" spans="1:31" x14ac:dyDescent="0.25">
      <c r="A2" t="s">
        <v>39</v>
      </c>
      <c r="B2">
        <v>-1.37211009860039E-3</v>
      </c>
      <c r="C2">
        <v>8.7113633751869202E-2</v>
      </c>
      <c r="D2">
        <v>-0.16279363632202101</v>
      </c>
      <c r="E2">
        <v>-9.0744964778423295E-2</v>
      </c>
      <c r="F2">
        <v>-0.87937128543853804</v>
      </c>
      <c r="G2">
        <v>-0.48219949007034302</v>
      </c>
      <c r="H2" t="s">
        <v>38</v>
      </c>
      <c r="J2" t="s">
        <v>39</v>
      </c>
      <c r="K2">
        <v>0.8</v>
      </c>
      <c r="L2">
        <v>0</v>
      </c>
      <c r="M2">
        <v>0</v>
      </c>
      <c r="N2" t="s">
        <v>38</v>
      </c>
      <c r="S2" t="s">
        <v>39</v>
      </c>
      <c r="T2">
        <v>0.5</v>
      </c>
      <c r="U2">
        <v>0.12</v>
      </c>
      <c r="V2">
        <v>1.57</v>
      </c>
      <c r="W2">
        <v>1.5707963267948966</v>
      </c>
      <c r="X2">
        <v>0.3</v>
      </c>
      <c r="Y2">
        <v>0.02</v>
      </c>
      <c r="Z2">
        <v>3.1419999999999999</v>
      </c>
      <c r="AA2">
        <v>1.5707963267948966</v>
      </c>
      <c r="AB2">
        <v>0.8</v>
      </c>
      <c r="AC2">
        <v>0</v>
      </c>
      <c r="AD2">
        <v>0</v>
      </c>
      <c r="AE2" t="s">
        <v>38</v>
      </c>
    </row>
    <row r="3" spans="1:31" x14ac:dyDescent="0.25">
      <c r="B3">
        <v>-1.36055797338486E-3</v>
      </c>
      <c r="C3">
        <v>9.0598642826080295E-2</v>
      </c>
      <c r="D3">
        <v>-0.17294137179851499</v>
      </c>
      <c r="E3">
        <v>-9.4194762408733396E-2</v>
      </c>
      <c r="F3">
        <v>-0.93448364734649703</v>
      </c>
      <c r="G3">
        <v>-0.50216889381408703</v>
      </c>
      <c r="H3" t="s">
        <v>38</v>
      </c>
      <c r="K3">
        <v>1.4</v>
      </c>
      <c r="L3">
        <v>0</v>
      </c>
      <c r="M3">
        <v>0</v>
      </c>
      <c r="N3" t="s">
        <v>38</v>
      </c>
      <c r="T3">
        <v>0.5</v>
      </c>
      <c r="U3">
        <v>0.12</v>
      </c>
      <c r="V3">
        <v>1.57</v>
      </c>
      <c r="W3">
        <v>1.5707963267948966</v>
      </c>
      <c r="X3">
        <v>0.7</v>
      </c>
      <c r="Y3">
        <v>0.06</v>
      </c>
      <c r="Z3">
        <v>4.7119999999999997</v>
      </c>
      <c r="AA3">
        <v>1.5707963267948966</v>
      </c>
      <c r="AB3">
        <v>0</v>
      </c>
      <c r="AC3">
        <v>0</v>
      </c>
      <c r="AD3">
        <v>0</v>
      </c>
      <c r="AE3" t="s">
        <v>38</v>
      </c>
    </row>
    <row r="4" spans="1:31" x14ac:dyDescent="0.25">
      <c r="B4">
        <v>-4.4362898916006099E-4</v>
      </c>
      <c r="C4">
        <v>8.7859079241752597E-2</v>
      </c>
      <c r="D4">
        <v>-0.149700507521629</v>
      </c>
      <c r="E4">
        <v>-8.3662196993827806E-2</v>
      </c>
      <c r="F4">
        <v>-0.81903314590454102</v>
      </c>
      <c r="G4">
        <v>-0.48939895629882801</v>
      </c>
      <c r="H4" t="s">
        <v>38</v>
      </c>
      <c r="K4">
        <v>0.8</v>
      </c>
      <c r="L4">
        <v>0.6</v>
      </c>
      <c r="M4">
        <v>0</v>
      </c>
      <c r="N4" t="s">
        <v>38</v>
      </c>
      <c r="T4">
        <v>0.8</v>
      </c>
      <c r="U4">
        <v>0.18</v>
      </c>
      <c r="V4">
        <v>1.57</v>
      </c>
      <c r="W4">
        <v>1.5707963267948966</v>
      </c>
      <c r="X4">
        <v>0.4</v>
      </c>
      <c r="Y4">
        <v>0.08</v>
      </c>
      <c r="Z4">
        <v>4.7119999999999997</v>
      </c>
      <c r="AA4">
        <v>1.5707963267948966</v>
      </c>
      <c r="AB4">
        <v>0.4</v>
      </c>
      <c r="AC4">
        <v>0</v>
      </c>
      <c r="AD4">
        <v>0</v>
      </c>
      <c r="AE4" t="s">
        <v>38</v>
      </c>
    </row>
    <row r="5" spans="1:31" x14ac:dyDescent="0.25">
      <c r="B5">
        <v>-2.1755299530923401E-3</v>
      </c>
      <c r="C5">
        <v>7.9079501330852495E-2</v>
      </c>
      <c r="D5">
        <v>-0.15534256398677801</v>
      </c>
      <c r="E5">
        <v>-8.4770120680332198E-2</v>
      </c>
      <c r="F5">
        <v>-0.84200012683868397</v>
      </c>
      <c r="G5">
        <v>-0.437740057706833</v>
      </c>
      <c r="H5" t="s">
        <v>40</v>
      </c>
      <c r="K5">
        <v>0.8</v>
      </c>
      <c r="L5">
        <v>0</v>
      </c>
      <c r="M5">
        <v>0.6</v>
      </c>
      <c r="N5" t="s">
        <v>40</v>
      </c>
      <c r="T5">
        <v>0.3</v>
      </c>
      <c r="U5">
        <v>0.2</v>
      </c>
      <c r="V5">
        <v>1.57</v>
      </c>
      <c r="W5">
        <v>1.5707963267948966</v>
      </c>
      <c r="X5">
        <v>0.7</v>
      </c>
      <c r="Y5">
        <v>0.04</v>
      </c>
      <c r="Z5">
        <v>3.1419999999999999</v>
      </c>
      <c r="AA5">
        <v>1.5707963267948966</v>
      </c>
      <c r="AB5">
        <v>0.4</v>
      </c>
      <c r="AC5">
        <v>0</v>
      </c>
      <c r="AD5">
        <v>0</v>
      </c>
      <c r="AE5" t="s">
        <v>38</v>
      </c>
    </row>
    <row r="6" spans="1:31" x14ac:dyDescent="0.25">
      <c r="T6">
        <v>0.3</v>
      </c>
      <c r="U6">
        <v>0.1</v>
      </c>
      <c r="V6">
        <v>3.1419999999999999</v>
      </c>
      <c r="W6">
        <v>1.5707963267948966</v>
      </c>
      <c r="X6">
        <v>0.8</v>
      </c>
      <c r="Y6">
        <v>0.08</v>
      </c>
      <c r="Z6">
        <v>3.927</v>
      </c>
      <c r="AA6">
        <v>1.5707963267948966</v>
      </c>
      <c r="AB6">
        <v>0.8</v>
      </c>
      <c r="AC6">
        <v>0</v>
      </c>
      <c r="AD6">
        <v>0</v>
      </c>
      <c r="AE6" t="s">
        <v>38</v>
      </c>
    </row>
    <row r="7" spans="1:31" x14ac:dyDescent="0.25">
      <c r="T7">
        <v>0.7</v>
      </c>
      <c r="U7">
        <v>0.1</v>
      </c>
      <c r="V7">
        <v>3.1419999999999999</v>
      </c>
      <c r="W7">
        <v>1.5707963267948966</v>
      </c>
      <c r="X7">
        <v>0.4</v>
      </c>
      <c r="Y7">
        <v>0.04</v>
      </c>
      <c r="Z7">
        <v>3.927</v>
      </c>
      <c r="AA7">
        <v>1.5707963267948966</v>
      </c>
      <c r="AB7">
        <v>0.4</v>
      </c>
      <c r="AC7">
        <v>0</v>
      </c>
      <c r="AD7">
        <v>0</v>
      </c>
      <c r="AE7" t="s">
        <v>38</v>
      </c>
    </row>
    <row r="8" spans="1:31" x14ac:dyDescent="0.25">
      <c r="T8">
        <v>0.5</v>
      </c>
      <c r="U8">
        <v>0.14000000000000001</v>
      </c>
      <c r="V8">
        <v>3.1419999999999999</v>
      </c>
      <c r="W8">
        <v>1.5707963267948966</v>
      </c>
      <c r="X8">
        <v>0.7</v>
      </c>
      <c r="Y8">
        <v>0.08</v>
      </c>
      <c r="Z8">
        <v>3.927</v>
      </c>
      <c r="AA8">
        <v>1.5707963267948966</v>
      </c>
      <c r="AB8">
        <v>0.4</v>
      </c>
      <c r="AC8">
        <v>0</v>
      </c>
      <c r="AD8">
        <v>0</v>
      </c>
      <c r="AE8" t="s">
        <v>38</v>
      </c>
    </row>
    <row r="9" spans="1:31" x14ac:dyDescent="0.25">
      <c r="T9">
        <v>0.7</v>
      </c>
      <c r="U9">
        <v>0.14000000000000001</v>
      </c>
      <c r="V9">
        <v>3.1419999999999999</v>
      </c>
      <c r="W9">
        <v>1.5707963267948966</v>
      </c>
      <c r="X9">
        <v>0.5</v>
      </c>
      <c r="Y9">
        <v>0.06</v>
      </c>
      <c r="Z9">
        <v>3.927</v>
      </c>
      <c r="AA9">
        <v>1.5707963267948966</v>
      </c>
      <c r="AB9">
        <v>0.8</v>
      </c>
      <c r="AC9">
        <v>0</v>
      </c>
      <c r="AD9">
        <v>0</v>
      </c>
      <c r="AE9" t="s">
        <v>38</v>
      </c>
    </row>
    <row r="10" spans="1:31" x14ac:dyDescent="0.25">
      <c r="T10">
        <v>0.4</v>
      </c>
      <c r="U10">
        <v>0.18</v>
      </c>
      <c r="V10">
        <v>3.1419999999999999</v>
      </c>
      <c r="W10">
        <v>1.5707963267948966</v>
      </c>
      <c r="X10">
        <v>0.4</v>
      </c>
      <c r="Y10">
        <v>0.02</v>
      </c>
      <c r="Z10">
        <v>3.927</v>
      </c>
      <c r="AA10">
        <v>1.5707963267948966</v>
      </c>
      <c r="AB10">
        <v>0</v>
      </c>
      <c r="AC10">
        <v>0</v>
      </c>
      <c r="AD10">
        <v>0</v>
      </c>
      <c r="AE10" t="s">
        <v>38</v>
      </c>
    </row>
    <row r="11" spans="1:31" x14ac:dyDescent="0.25">
      <c r="T11">
        <v>0.7</v>
      </c>
      <c r="U11">
        <v>0.18</v>
      </c>
      <c r="V11">
        <v>3.1419999999999999</v>
      </c>
      <c r="W11">
        <v>1.5707963267948966</v>
      </c>
      <c r="X11">
        <v>0.8</v>
      </c>
      <c r="Y11">
        <v>0.04</v>
      </c>
      <c r="Z11">
        <v>3.927</v>
      </c>
      <c r="AA11">
        <v>1.5707963267948966</v>
      </c>
      <c r="AB11">
        <v>0.4</v>
      </c>
      <c r="AC11">
        <v>0</v>
      </c>
      <c r="AD11">
        <v>0</v>
      </c>
      <c r="AE11" t="s">
        <v>38</v>
      </c>
    </row>
    <row r="12" spans="1:31" x14ac:dyDescent="0.25">
      <c r="C12" t="s">
        <v>44</v>
      </c>
      <c r="D12" t="s">
        <v>39</v>
      </c>
      <c r="E12">
        <v>3.3966472838073999E-3</v>
      </c>
      <c r="F12">
        <v>-8.4817789494991302E-2</v>
      </c>
      <c r="G12">
        <v>-3.2525759190321003E-2</v>
      </c>
      <c r="H12">
        <v>-0.186183482408524</v>
      </c>
      <c r="I12">
        <v>-0.290946185588837</v>
      </c>
      <c r="J12">
        <v>0.34101566672325101</v>
      </c>
      <c r="K12">
        <v>0.8</v>
      </c>
      <c r="L12">
        <v>0</v>
      </c>
      <c r="M12">
        <v>0</v>
      </c>
      <c r="N12" t="s">
        <v>40</v>
      </c>
      <c r="O12" t="s">
        <v>38</v>
      </c>
      <c r="T12">
        <v>0.3</v>
      </c>
      <c r="U12">
        <v>0.12</v>
      </c>
      <c r="V12">
        <v>4.7119999999999997</v>
      </c>
      <c r="W12">
        <v>1.5707963267948966</v>
      </c>
      <c r="X12">
        <v>0.3</v>
      </c>
      <c r="Y12">
        <v>0.04</v>
      </c>
      <c r="Z12">
        <v>4.7119999999999997</v>
      </c>
      <c r="AA12">
        <v>1.5707963267948966</v>
      </c>
      <c r="AB12">
        <v>0.4</v>
      </c>
      <c r="AC12">
        <v>0</v>
      </c>
      <c r="AD12">
        <v>0</v>
      </c>
      <c r="AE12" t="s">
        <v>38</v>
      </c>
    </row>
    <row r="13" spans="1:31" x14ac:dyDescent="0.25">
      <c r="D13" t="s">
        <v>39</v>
      </c>
      <c r="E13">
        <v>2.92063690721989E-4</v>
      </c>
      <c r="F13">
        <v>-1.4378885738551599E-2</v>
      </c>
      <c r="G13">
        <v>5.1419169176369895E-4</v>
      </c>
      <c r="H13">
        <v>-1.40395248308778E-2</v>
      </c>
      <c r="I13">
        <v>-3.9881169795989999E-3</v>
      </c>
      <c r="J13">
        <v>-0.148137778043747</v>
      </c>
      <c r="K13">
        <v>0</v>
      </c>
      <c r="L13">
        <v>0</v>
      </c>
      <c r="M13">
        <v>0</v>
      </c>
      <c r="N13" t="s">
        <v>40</v>
      </c>
      <c r="O13" t="s">
        <v>38</v>
      </c>
      <c r="T13">
        <v>0.8</v>
      </c>
      <c r="U13">
        <v>0.12</v>
      </c>
      <c r="V13">
        <v>4.7119999999999997</v>
      </c>
      <c r="W13">
        <v>1.5707963267948966</v>
      </c>
      <c r="X13">
        <v>0.7</v>
      </c>
      <c r="Y13">
        <v>0.02</v>
      </c>
      <c r="Z13">
        <v>3.1419999999999999</v>
      </c>
      <c r="AA13">
        <v>1.5707963267948966</v>
      </c>
      <c r="AB13">
        <v>0</v>
      </c>
      <c r="AC13">
        <v>0</v>
      </c>
      <c r="AD13">
        <v>0</v>
      </c>
      <c r="AE13" t="s">
        <v>38</v>
      </c>
    </row>
    <row r="14" spans="1:31" x14ac:dyDescent="0.25">
      <c r="D14" t="s">
        <v>39</v>
      </c>
      <c r="E14">
        <v>2.6918570511043102E-3</v>
      </c>
      <c r="F14">
        <v>-9.7128830850124401E-2</v>
      </c>
      <c r="G14">
        <v>5.0861202180385598E-3</v>
      </c>
      <c r="H14">
        <v>-0.40724512934684798</v>
      </c>
      <c r="I14">
        <v>1.0805079713463801E-2</v>
      </c>
      <c r="J14">
        <v>3.2090678811073303E-2</v>
      </c>
      <c r="K14">
        <v>0.4</v>
      </c>
      <c r="L14">
        <v>0</v>
      </c>
      <c r="M14">
        <v>0</v>
      </c>
      <c r="N14" t="s">
        <v>40</v>
      </c>
      <c r="O14" t="s">
        <v>38</v>
      </c>
      <c r="T14">
        <v>0.4</v>
      </c>
      <c r="U14">
        <v>0.18</v>
      </c>
      <c r="V14">
        <v>4.7119999999999997</v>
      </c>
      <c r="W14">
        <v>1.5707963267948966</v>
      </c>
      <c r="X14">
        <v>0.5</v>
      </c>
      <c r="Y14">
        <v>0.06</v>
      </c>
      <c r="Z14">
        <v>3.1419999999999999</v>
      </c>
      <c r="AA14">
        <v>1.5707963267948966</v>
      </c>
      <c r="AB14">
        <v>0.4</v>
      </c>
      <c r="AC14">
        <v>0</v>
      </c>
      <c r="AD14">
        <v>0</v>
      </c>
      <c r="AE14" t="s">
        <v>38</v>
      </c>
    </row>
    <row r="15" spans="1:31" x14ac:dyDescent="0.25">
      <c r="D15" t="s">
        <v>39</v>
      </c>
      <c r="E15">
        <v>1.2694518081843901E-3</v>
      </c>
      <c r="F15">
        <v>-5.2426334470510497E-2</v>
      </c>
      <c r="G15">
        <v>-8.8403537869453402E-2</v>
      </c>
      <c r="H15">
        <v>-0.16237765550613401</v>
      </c>
      <c r="I15">
        <v>-0.67368566989898704</v>
      </c>
      <c r="J15">
        <v>6.8886458873748793E-2</v>
      </c>
      <c r="K15">
        <v>0.4</v>
      </c>
      <c r="L15">
        <v>0</v>
      </c>
      <c r="M15">
        <v>0</v>
      </c>
      <c r="N15" t="s">
        <v>40</v>
      </c>
      <c r="O15" t="s">
        <v>38</v>
      </c>
      <c r="T15">
        <v>0.5</v>
      </c>
      <c r="U15">
        <v>0.2</v>
      </c>
      <c r="V15">
        <v>4.7119999999999997</v>
      </c>
      <c r="W15">
        <v>1.5707963267948966</v>
      </c>
      <c r="X15">
        <v>0.7</v>
      </c>
      <c r="Y15">
        <v>0.02</v>
      </c>
      <c r="Z15">
        <v>4.7119999999999997</v>
      </c>
      <c r="AA15">
        <v>1.5707963267948966</v>
      </c>
      <c r="AB15">
        <v>0.8</v>
      </c>
      <c r="AC15">
        <v>0</v>
      </c>
      <c r="AD15">
        <v>0</v>
      </c>
      <c r="AE15" t="s">
        <v>38</v>
      </c>
    </row>
    <row r="16" spans="1:31" x14ac:dyDescent="0.25">
      <c r="D16" t="s">
        <v>39</v>
      </c>
      <c r="E16">
        <v>-2.6597268879413599E-4</v>
      </c>
      <c r="F16">
        <v>8.6320064961910206E-2</v>
      </c>
      <c r="G16">
        <v>-0.15243518352508501</v>
      </c>
      <c r="H16">
        <v>-0.22609874606132499</v>
      </c>
      <c r="I16">
        <v>-0.81293100118637096</v>
      </c>
      <c r="J16">
        <v>-0.47338950634002702</v>
      </c>
      <c r="K16">
        <v>0.8</v>
      </c>
      <c r="L16">
        <v>0</v>
      </c>
      <c r="M16">
        <v>0</v>
      </c>
      <c r="N16" t="s">
        <v>40</v>
      </c>
      <c r="O16" t="s">
        <v>38</v>
      </c>
      <c r="T16">
        <v>0.7</v>
      </c>
      <c r="U16">
        <v>0.2</v>
      </c>
      <c r="V16">
        <v>4.7119999999999997</v>
      </c>
      <c r="W16">
        <v>1.5707963267948966</v>
      </c>
      <c r="X16">
        <v>0.3</v>
      </c>
      <c r="Y16">
        <v>0.08</v>
      </c>
      <c r="Z16">
        <v>3.1419999999999999</v>
      </c>
      <c r="AA16">
        <v>1.5707963267948966</v>
      </c>
      <c r="AB16">
        <v>0</v>
      </c>
      <c r="AC16">
        <v>0</v>
      </c>
      <c r="AD16">
        <v>0</v>
      </c>
      <c r="AE16" t="s">
        <v>40</v>
      </c>
    </row>
    <row r="17" spans="3:16" x14ac:dyDescent="0.25">
      <c r="D17" t="s">
        <v>39</v>
      </c>
      <c r="E17">
        <v>-1.1004870757460601E-3</v>
      </c>
      <c r="F17">
        <v>3.6083325743675197E-2</v>
      </c>
      <c r="G17">
        <v>-0.180290177464485</v>
      </c>
      <c r="H17">
        <v>-0.18137529492378199</v>
      </c>
      <c r="I17">
        <v>-0.99236428737640403</v>
      </c>
      <c r="J17">
        <v>-0.25453394651413003</v>
      </c>
      <c r="K17">
        <v>0.4</v>
      </c>
      <c r="L17">
        <v>0</v>
      </c>
      <c r="M17">
        <v>0</v>
      </c>
      <c r="N17" t="s">
        <v>40</v>
      </c>
      <c r="O17" t="s">
        <v>38</v>
      </c>
    </row>
    <row r="18" spans="3:16" x14ac:dyDescent="0.25">
      <c r="D18" t="s">
        <v>39</v>
      </c>
      <c r="E18">
        <v>1.21408142149448E-4</v>
      </c>
      <c r="F18">
        <v>6.0930710285902002E-2</v>
      </c>
      <c r="G18">
        <v>-0.19216823577880901</v>
      </c>
      <c r="H18">
        <v>-0.45323920249938998</v>
      </c>
      <c r="I18">
        <v>-0.86372590065002397</v>
      </c>
      <c r="J18">
        <v>-0.33691111207008401</v>
      </c>
      <c r="K18">
        <v>0.4</v>
      </c>
      <c r="L18">
        <v>0</v>
      </c>
      <c r="M18">
        <v>0</v>
      </c>
      <c r="N18" t="s">
        <v>40</v>
      </c>
      <c r="O18" t="s">
        <v>38</v>
      </c>
    </row>
    <row r="19" spans="3:16" x14ac:dyDescent="0.25">
      <c r="D19" t="s">
        <v>39</v>
      </c>
      <c r="E19">
        <v>2.0413408055901501E-3</v>
      </c>
      <c r="F19">
        <v>5.3677611052990001E-2</v>
      </c>
      <c r="G19">
        <v>-0.22552120685577401</v>
      </c>
      <c r="H19">
        <v>-0.44799792766571001</v>
      </c>
      <c r="I19">
        <v>-1.0344259738922099</v>
      </c>
      <c r="J19">
        <v>-0.34386280179023698</v>
      </c>
      <c r="K19">
        <v>0.8</v>
      </c>
      <c r="L19">
        <v>0</v>
      </c>
      <c r="M19">
        <v>0</v>
      </c>
      <c r="N19" t="s">
        <v>40</v>
      </c>
      <c r="O19" t="s">
        <v>38</v>
      </c>
    </row>
    <row r="20" spans="3:16" x14ac:dyDescent="0.25">
      <c r="D20" t="s">
        <v>39</v>
      </c>
      <c r="E20">
        <v>-1.80347869172692E-3</v>
      </c>
      <c r="F20">
        <v>3.06784845888615E-2</v>
      </c>
      <c r="G20">
        <v>-0.130104705691338</v>
      </c>
      <c r="H20">
        <v>-0.345878034830093</v>
      </c>
      <c r="I20">
        <v>-0.53015172481536899</v>
      </c>
      <c r="J20">
        <v>-0.25460425019264199</v>
      </c>
      <c r="K20">
        <v>0</v>
      </c>
      <c r="L20">
        <v>0</v>
      </c>
      <c r="M20">
        <v>0</v>
      </c>
      <c r="N20" t="s">
        <v>40</v>
      </c>
      <c r="O20" t="s">
        <v>38</v>
      </c>
    </row>
    <row r="21" spans="3:16" x14ac:dyDescent="0.25">
      <c r="D21" t="s">
        <v>39</v>
      </c>
      <c r="E21">
        <v>3.3966472838073999E-3</v>
      </c>
      <c r="F21">
        <v>-8.4817789494991302E-2</v>
      </c>
      <c r="G21">
        <v>-3.2525759190321003E-2</v>
      </c>
      <c r="H21">
        <v>-0.186183482408524</v>
      </c>
      <c r="I21">
        <v>-0.290946185588837</v>
      </c>
      <c r="J21">
        <v>0.34101566672325101</v>
      </c>
      <c r="K21">
        <v>0.4</v>
      </c>
      <c r="L21">
        <v>0</v>
      </c>
      <c r="M21">
        <v>0</v>
      </c>
      <c r="N21" t="s">
        <v>40</v>
      </c>
      <c r="O21" t="s">
        <v>38</v>
      </c>
    </row>
    <row r="22" spans="3:16" x14ac:dyDescent="0.25">
      <c r="D22" t="s">
        <v>39</v>
      </c>
      <c r="E22">
        <v>-9.0274820104241404E-4</v>
      </c>
      <c r="F22">
        <v>9.5996417105197906E-2</v>
      </c>
      <c r="G22">
        <v>-8.7546631693839992E-3</v>
      </c>
      <c r="H22">
        <v>-0.111510291695595</v>
      </c>
      <c r="I22">
        <v>-6.3374787569046007E-2</v>
      </c>
      <c r="J22">
        <v>-0.53375589847564697</v>
      </c>
      <c r="K22">
        <v>0.4</v>
      </c>
      <c r="L22">
        <v>0</v>
      </c>
      <c r="M22">
        <v>0</v>
      </c>
      <c r="N22" t="s">
        <v>40</v>
      </c>
      <c r="O22" t="s">
        <v>38</v>
      </c>
    </row>
    <row r="23" spans="3:16" x14ac:dyDescent="0.25">
      <c r="D23" t="s">
        <v>39</v>
      </c>
      <c r="E23">
        <v>7.30549916625023E-4</v>
      </c>
      <c r="F23">
        <v>0.18510913848877</v>
      </c>
      <c r="G23">
        <v>-7.8640699386596694E-2</v>
      </c>
      <c r="H23">
        <v>-0.26385891437530501</v>
      </c>
      <c r="I23">
        <v>-0.69346159696579002</v>
      </c>
      <c r="J23">
        <v>-0.87223374843597401</v>
      </c>
      <c r="K23">
        <v>0</v>
      </c>
      <c r="L23">
        <v>0</v>
      </c>
      <c r="M23">
        <v>0</v>
      </c>
      <c r="N23" t="s">
        <v>40</v>
      </c>
      <c r="O23" t="s">
        <v>38</v>
      </c>
    </row>
    <row r="24" spans="3:16" x14ac:dyDescent="0.25">
      <c r="D24" t="s">
        <v>39</v>
      </c>
      <c r="E24">
        <v>-2.9432689771056201E-3</v>
      </c>
      <c r="F24">
        <v>9.8053239285945906E-2</v>
      </c>
      <c r="G24">
        <v>-7.0226937532424899E-2</v>
      </c>
      <c r="H24">
        <v>-0.235873714089394</v>
      </c>
      <c r="I24">
        <v>-0.46341708302497903</v>
      </c>
      <c r="J24">
        <v>-0.29305437207222002</v>
      </c>
      <c r="K24">
        <v>0.4</v>
      </c>
      <c r="L24">
        <v>0</v>
      </c>
      <c r="M24">
        <v>0</v>
      </c>
      <c r="N24" t="s">
        <v>40</v>
      </c>
      <c r="O24" t="s">
        <v>38</v>
      </c>
    </row>
    <row r="25" spans="3:16" x14ac:dyDescent="0.25">
      <c r="D25" t="s">
        <v>39</v>
      </c>
      <c r="E25">
        <v>-8.9650582522153906E-3</v>
      </c>
      <c r="F25">
        <v>0.193452998995781</v>
      </c>
      <c r="G25">
        <v>-2.2679660469293601E-2</v>
      </c>
      <c r="H25">
        <v>-0.444032043218613</v>
      </c>
      <c r="I25">
        <v>-0.175033524632454</v>
      </c>
      <c r="J25">
        <v>-0.91890478134155296</v>
      </c>
      <c r="K25">
        <v>0.8</v>
      </c>
      <c r="L25">
        <v>0</v>
      </c>
      <c r="M25">
        <v>0</v>
      </c>
      <c r="N25" t="s">
        <v>40</v>
      </c>
      <c r="O25" t="s">
        <v>38</v>
      </c>
    </row>
    <row r="26" spans="3:16" x14ac:dyDescent="0.25">
      <c r="D26" t="s">
        <v>39</v>
      </c>
      <c r="E26">
        <v>3.3966472838073999E-3</v>
      </c>
      <c r="F26">
        <v>-8.4817789494991302E-2</v>
      </c>
      <c r="G26">
        <v>-3.2525759190321003E-2</v>
      </c>
      <c r="H26">
        <v>-0.186183482408524</v>
      </c>
      <c r="I26">
        <v>-0.290946185588837</v>
      </c>
      <c r="J26">
        <v>0.34101566672325101</v>
      </c>
      <c r="K26">
        <v>0</v>
      </c>
      <c r="L26">
        <v>0</v>
      </c>
      <c r="M26">
        <v>0</v>
      </c>
      <c r="N26" t="s">
        <v>40</v>
      </c>
      <c r="O26" t="s">
        <v>38</v>
      </c>
      <c r="P26" t="s">
        <v>45</v>
      </c>
    </row>
    <row r="29" spans="3:16" x14ac:dyDescent="0.25">
      <c r="C29" t="s">
        <v>44</v>
      </c>
      <c r="D29" t="s">
        <v>39</v>
      </c>
      <c r="E29">
        <v>3.3966472838073999E-3</v>
      </c>
      <c r="F29">
        <v>-8.4817789494991302E-2</v>
      </c>
      <c r="G29">
        <v>-3.2525759190321003E-2</v>
      </c>
      <c r="H29">
        <v>-0.186183482408524</v>
      </c>
      <c r="I29">
        <v>-0.290946185588837</v>
      </c>
      <c r="J29">
        <v>0.34101566672325101</v>
      </c>
      <c r="K29">
        <v>0.8</v>
      </c>
      <c r="L29">
        <v>0</v>
      </c>
      <c r="M29">
        <v>0</v>
      </c>
      <c r="N29" t="s">
        <v>38</v>
      </c>
    </row>
    <row r="30" spans="3:16" x14ac:dyDescent="0.25">
      <c r="E30">
        <v>4.7846524976193896E-3</v>
      </c>
      <c r="F30">
        <v>-7.6770626008510603E-2</v>
      </c>
      <c r="G30">
        <v>-3.5355295985937098E-2</v>
      </c>
      <c r="H30">
        <v>-0.16215063631534599</v>
      </c>
      <c r="I30">
        <v>-0.31568014621734602</v>
      </c>
      <c r="J30">
        <v>0.30814045667648299</v>
      </c>
      <c r="K30">
        <v>1.4</v>
      </c>
      <c r="L30">
        <v>0</v>
      </c>
      <c r="M30">
        <v>0</v>
      </c>
      <c r="N30" t="s">
        <v>38</v>
      </c>
    </row>
    <row r="31" spans="3:16" x14ac:dyDescent="0.25">
      <c r="E31">
        <v>1.75101147033274E-3</v>
      </c>
      <c r="F31">
        <v>-7.5815342366695404E-2</v>
      </c>
      <c r="G31">
        <v>-2.92263831943274E-2</v>
      </c>
      <c r="H31">
        <v>-0.15830263495445299</v>
      </c>
      <c r="I31">
        <v>-0.26379287242889399</v>
      </c>
      <c r="J31">
        <v>0.30544507503509499</v>
      </c>
      <c r="K31">
        <v>0.8</v>
      </c>
      <c r="L31">
        <v>0.6</v>
      </c>
      <c r="M31">
        <v>0</v>
      </c>
      <c r="N31" t="s">
        <v>38</v>
      </c>
    </row>
    <row r="32" spans="3:16" x14ac:dyDescent="0.25">
      <c r="E32">
        <v>3.5732281394302802E-3</v>
      </c>
      <c r="F32">
        <v>-9.1100767254829407E-2</v>
      </c>
      <c r="G32">
        <v>-3.1735785305500003E-2</v>
      </c>
      <c r="H32">
        <v>-0.190847843885422</v>
      </c>
      <c r="I32">
        <v>-0.286252111196518</v>
      </c>
      <c r="J32">
        <v>0.37134739756584201</v>
      </c>
      <c r="K32">
        <v>0.8</v>
      </c>
      <c r="L32">
        <v>0</v>
      </c>
      <c r="M32">
        <v>0.6</v>
      </c>
      <c r="N32" t="s">
        <v>40</v>
      </c>
      <c r="O32" t="s">
        <v>38</v>
      </c>
    </row>
    <row r="33" spans="4:15" x14ac:dyDescent="0.25">
      <c r="D33" t="s">
        <v>39</v>
      </c>
      <c r="E33">
        <v>2.92063690721989E-4</v>
      </c>
      <c r="F33">
        <v>-1.4378885738551599E-2</v>
      </c>
      <c r="G33">
        <v>5.1419169176369895E-4</v>
      </c>
      <c r="H33">
        <v>-1.40395248308778E-2</v>
      </c>
      <c r="I33">
        <v>-3.9881169795989999E-3</v>
      </c>
      <c r="J33">
        <v>-0.148137778043747</v>
      </c>
      <c r="K33">
        <v>0</v>
      </c>
      <c r="L33">
        <v>0</v>
      </c>
      <c r="M33">
        <v>0</v>
      </c>
      <c r="N33" t="s">
        <v>38</v>
      </c>
    </row>
    <row r="34" spans="4:15" x14ac:dyDescent="0.25">
      <c r="E34">
        <v>1.5791626647114799E-3</v>
      </c>
      <c r="F34">
        <v>-7.0527084171772003E-3</v>
      </c>
      <c r="G34">
        <v>-2.08050152286887E-3</v>
      </c>
      <c r="H34">
        <v>4.0111662819981601E-3</v>
      </c>
      <c r="I34">
        <v>-2.0677028223872199E-2</v>
      </c>
      <c r="J34">
        <v>-0.17866048216819799</v>
      </c>
      <c r="K34">
        <v>0.6</v>
      </c>
      <c r="L34">
        <v>0</v>
      </c>
      <c r="M34">
        <v>0</v>
      </c>
      <c r="N34" t="s">
        <v>38</v>
      </c>
    </row>
    <row r="35" spans="4:15" x14ac:dyDescent="0.25">
      <c r="E35">
        <v>-1.1583648156374699E-3</v>
      </c>
      <c r="F35">
        <v>-7.1569895371794701E-3</v>
      </c>
      <c r="G35">
        <v>2.9734096024185402E-3</v>
      </c>
      <c r="H35">
        <v>3.6321938969194902E-3</v>
      </c>
      <c r="I35">
        <v>1.1851854622364001E-2</v>
      </c>
      <c r="J35">
        <v>-0.179818570613861</v>
      </c>
      <c r="K35">
        <v>0</v>
      </c>
      <c r="L35">
        <v>0.6</v>
      </c>
      <c r="M35">
        <v>0</v>
      </c>
      <c r="N35" t="s">
        <v>38</v>
      </c>
    </row>
    <row r="36" spans="4:15" x14ac:dyDescent="0.25">
      <c r="E36">
        <v>-3.69136687368155E-5</v>
      </c>
      <c r="F36">
        <v>-2.3585639894008598E-2</v>
      </c>
      <c r="G36">
        <v>1.2023192830383799E-3</v>
      </c>
      <c r="H36">
        <v>-2.5370907038450199E-2</v>
      </c>
      <c r="I36">
        <v>-7.4703618884086598E-4</v>
      </c>
      <c r="J36">
        <v>-0.105594038963318</v>
      </c>
      <c r="K36">
        <v>0</v>
      </c>
      <c r="L36">
        <v>0</v>
      </c>
      <c r="M36">
        <v>0.6</v>
      </c>
      <c r="N36" t="s">
        <v>40</v>
      </c>
      <c r="O36" t="s">
        <v>38</v>
      </c>
    </row>
    <row r="37" spans="4:15" x14ac:dyDescent="0.25">
      <c r="D37" t="s">
        <v>39</v>
      </c>
      <c r="E37">
        <v>2.6918570511043102E-3</v>
      </c>
      <c r="F37">
        <v>-9.7128830850124401E-2</v>
      </c>
      <c r="G37">
        <v>5.0861202180385598E-3</v>
      </c>
      <c r="H37">
        <v>-0.40724512934684798</v>
      </c>
      <c r="I37">
        <v>1.0805079713463801E-2</v>
      </c>
      <c r="J37">
        <v>3.2090678811073303E-2</v>
      </c>
      <c r="K37">
        <v>0.4</v>
      </c>
      <c r="L37">
        <v>0</v>
      </c>
      <c r="M37">
        <v>0</v>
      </c>
      <c r="N37" t="s">
        <v>38</v>
      </c>
    </row>
    <row r="38" spans="4:15" x14ac:dyDescent="0.25">
      <c r="E38">
        <v>7.1417102590203303E-3</v>
      </c>
      <c r="F38">
        <v>-9.1151893138885498E-2</v>
      </c>
      <c r="G38">
        <v>3.7218275247141703E-4</v>
      </c>
      <c r="H38">
        <v>-0.38164517283439597</v>
      </c>
      <c r="I38">
        <v>-2.0746577531099299E-2</v>
      </c>
      <c r="J38">
        <v>2.6900358498096501E-2</v>
      </c>
      <c r="K38">
        <v>1</v>
      </c>
      <c r="L38">
        <v>0</v>
      </c>
      <c r="M38">
        <v>0</v>
      </c>
      <c r="N38" t="s">
        <v>38</v>
      </c>
    </row>
    <row r="39" spans="4:15" x14ac:dyDescent="0.25">
      <c r="E39">
        <v>-9.9307717755436897E-4</v>
      </c>
      <c r="F39">
        <v>-8.8719904422759996E-2</v>
      </c>
      <c r="G39">
        <v>8.5697956383228302E-3</v>
      </c>
      <c r="H39">
        <v>-0.37443938851356501</v>
      </c>
      <c r="I39">
        <v>3.4079838544130298E-2</v>
      </c>
      <c r="J39">
        <v>1.6371488571166999E-2</v>
      </c>
      <c r="K39">
        <v>0.4</v>
      </c>
      <c r="L39">
        <v>0.6</v>
      </c>
      <c r="M39">
        <v>0</v>
      </c>
      <c r="N39" t="s">
        <v>38</v>
      </c>
    </row>
    <row r="40" spans="4:15" x14ac:dyDescent="0.25">
      <c r="E40">
        <v>2.3157137911766798E-3</v>
      </c>
      <c r="F40">
        <v>-9.9095642566680894E-2</v>
      </c>
      <c r="G40">
        <v>5.5827959440648599E-3</v>
      </c>
      <c r="H40">
        <v>-0.41846364736557001</v>
      </c>
      <c r="I40">
        <v>1.31122367456555E-2</v>
      </c>
      <c r="J40">
        <v>3.2927412539720501E-2</v>
      </c>
      <c r="K40">
        <v>0.4</v>
      </c>
      <c r="L40">
        <v>0</v>
      </c>
      <c r="M40">
        <v>0.6</v>
      </c>
      <c r="N40" t="s">
        <v>40</v>
      </c>
      <c r="O40" t="s">
        <v>38</v>
      </c>
    </row>
    <row r="41" spans="4:15" x14ac:dyDescent="0.25">
      <c r="D41" t="s">
        <v>39</v>
      </c>
      <c r="E41">
        <v>1.2694518081843901E-3</v>
      </c>
      <c r="F41">
        <v>-5.2426334470510497E-2</v>
      </c>
      <c r="G41">
        <v>-8.8403537869453402E-2</v>
      </c>
      <c r="H41">
        <v>-0.16237765550613401</v>
      </c>
      <c r="I41">
        <v>-0.67368566989898704</v>
      </c>
      <c r="J41">
        <v>6.8886458873748793E-2</v>
      </c>
      <c r="K41">
        <v>0.4</v>
      </c>
      <c r="L41">
        <v>0</v>
      </c>
      <c r="M41">
        <v>0</v>
      </c>
      <c r="N41" t="s">
        <v>38</v>
      </c>
    </row>
    <row r="42" spans="4:15" x14ac:dyDescent="0.25">
      <c r="E42">
        <v>3.9274767041206403E-3</v>
      </c>
      <c r="F42">
        <v>-4.4000539928674698E-2</v>
      </c>
      <c r="G42">
        <v>-9.5036953687667805E-2</v>
      </c>
      <c r="H42">
        <v>-0.14485144615173301</v>
      </c>
      <c r="I42">
        <v>-0.71704697608947798</v>
      </c>
      <c r="J42">
        <v>4.6903401613235501E-2</v>
      </c>
      <c r="K42">
        <v>1</v>
      </c>
      <c r="L42">
        <v>0</v>
      </c>
      <c r="M42">
        <v>0</v>
      </c>
      <c r="N42" t="s">
        <v>38</v>
      </c>
    </row>
    <row r="43" spans="4:15" x14ac:dyDescent="0.25">
      <c r="E43">
        <v>-9.5364777371287303E-4</v>
      </c>
      <c r="F43">
        <v>-4.5862302184104899E-2</v>
      </c>
      <c r="G43">
        <v>-8.1878006458282498E-2</v>
      </c>
      <c r="H43">
        <v>-0.146904721856117</v>
      </c>
      <c r="I43">
        <v>-0.631952583789825</v>
      </c>
      <c r="J43">
        <v>5.6958615779876702E-2</v>
      </c>
      <c r="K43">
        <v>0.4</v>
      </c>
      <c r="L43">
        <v>0.6</v>
      </c>
      <c r="M43">
        <v>0</v>
      </c>
      <c r="N43" t="s">
        <v>38</v>
      </c>
    </row>
    <row r="44" spans="4:15" x14ac:dyDescent="0.25">
      <c r="E44">
        <v>9.0643670409917799E-4</v>
      </c>
      <c r="F44">
        <v>-6.00174702703953E-2</v>
      </c>
      <c r="G44">
        <v>-8.6739368736743899E-2</v>
      </c>
      <c r="H44">
        <v>-0.18440371751785301</v>
      </c>
      <c r="I44">
        <v>-0.66644299030303999</v>
      </c>
      <c r="J44">
        <v>9.2208802700042697E-2</v>
      </c>
      <c r="K44">
        <v>0.4</v>
      </c>
      <c r="L44">
        <v>0</v>
      </c>
      <c r="M44">
        <v>0.6</v>
      </c>
      <c r="N44" t="s">
        <v>40</v>
      </c>
      <c r="O44" t="s">
        <v>38</v>
      </c>
    </row>
    <row r="45" spans="4:15" x14ac:dyDescent="0.25">
      <c r="D45" t="s">
        <v>39</v>
      </c>
      <c r="E45">
        <v>-2.6597268879413599E-4</v>
      </c>
      <c r="F45">
        <v>8.6320064961910206E-2</v>
      </c>
      <c r="G45">
        <v>-0.15243518352508501</v>
      </c>
      <c r="H45">
        <v>-0.22609874606132499</v>
      </c>
      <c r="I45">
        <v>-0.81293100118637096</v>
      </c>
      <c r="J45">
        <v>-0.47338950634002702</v>
      </c>
      <c r="K45">
        <v>0.8</v>
      </c>
      <c r="L45">
        <v>0</v>
      </c>
      <c r="M45">
        <v>0</v>
      </c>
      <c r="N45" t="s">
        <v>38</v>
      </c>
    </row>
    <row r="46" spans="4:15" x14ac:dyDescent="0.25">
      <c r="E46">
        <v>-3.3348239958286302E-4</v>
      </c>
      <c r="F46">
        <v>8.8781088590621907E-2</v>
      </c>
      <c r="G46">
        <v>-0.16011224687099501</v>
      </c>
      <c r="H46">
        <v>-0.23291090130806</v>
      </c>
      <c r="I46">
        <v>-0.85305935144424405</v>
      </c>
      <c r="J46">
        <v>-0.486432075500488</v>
      </c>
      <c r="K46">
        <v>1.4</v>
      </c>
      <c r="L46">
        <v>0</v>
      </c>
      <c r="M46">
        <v>0</v>
      </c>
      <c r="N46" t="s">
        <v>38</v>
      </c>
    </row>
    <row r="47" spans="4:15" x14ac:dyDescent="0.25">
      <c r="E47">
        <v>1.3329796493053399E-3</v>
      </c>
      <c r="F47">
        <v>8.8260546326637296E-2</v>
      </c>
      <c r="G47">
        <v>-0.137546807527542</v>
      </c>
      <c r="H47">
        <v>-0.200972050428391</v>
      </c>
      <c r="I47">
        <v>-0.74244308471679699</v>
      </c>
      <c r="J47">
        <v>-0.48660367727279702</v>
      </c>
      <c r="K47">
        <v>0.8</v>
      </c>
      <c r="L47">
        <v>0.6</v>
      </c>
      <c r="M47">
        <v>0</v>
      </c>
      <c r="N47" t="s">
        <v>38</v>
      </c>
    </row>
    <row r="48" spans="4:15" x14ac:dyDescent="0.25">
      <c r="E48">
        <v>-1.8139015883207299E-3</v>
      </c>
      <c r="F48">
        <v>7.5751185417175307E-2</v>
      </c>
      <c r="G48">
        <v>-0.144500657916069</v>
      </c>
      <c r="H48">
        <v>-0.191051125526428</v>
      </c>
      <c r="I48">
        <v>-0.77179682254791304</v>
      </c>
      <c r="J48">
        <v>-0.411002337932587</v>
      </c>
      <c r="K48">
        <v>0.8</v>
      </c>
      <c r="L48">
        <v>0</v>
      </c>
      <c r="M48">
        <v>0.6</v>
      </c>
      <c r="N48" t="s">
        <v>40</v>
      </c>
      <c r="O48" t="s">
        <v>38</v>
      </c>
    </row>
    <row r="49" spans="4:15" x14ac:dyDescent="0.25">
      <c r="D49" t="s">
        <v>39</v>
      </c>
      <c r="E49">
        <v>-1.1004870757460601E-3</v>
      </c>
      <c r="F49">
        <v>3.6083325743675197E-2</v>
      </c>
      <c r="G49">
        <v>-0.180290177464485</v>
      </c>
      <c r="H49">
        <v>-0.18137529492378199</v>
      </c>
      <c r="I49">
        <v>-0.99236428737640403</v>
      </c>
      <c r="J49">
        <v>-0.25453394651413003</v>
      </c>
      <c r="K49">
        <v>0.4</v>
      </c>
      <c r="L49">
        <v>0</v>
      </c>
      <c r="M49">
        <v>0</v>
      </c>
      <c r="N49" t="s">
        <v>38</v>
      </c>
    </row>
    <row r="50" spans="4:15" x14ac:dyDescent="0.25">
      <c r="E50">
        <v>-7.9773366451263401E-5</v>
      </c>
      <c r="F50">
        <v>4.05797101557255E-2</v>
      </c>
      <c r="G50">
        <v>-0.19076372683048201</v>
      </c>
      <c r="H50">
        <v>-0.19178026914596599</v>
      </c>
      <c r="I50">
        <v>-1.0544390678405799</v>
      </c>
      <c r="J50">
        <v>-0.286822348833084</v>
      </c>
      <c r="K50">
        <v>1</v>
      </c>
      <c r="L50">
        <v>0</v>
      </c>
      <c r="M50">
        <v>0</v>
      </c>
      <c r="N50" t="s">
        <v>38</v>
      </c>
    </row>
    <row r="51" spans="4:15" x14ac:dyDescent="0.25">
      <c r="E51">
        <v>8.9275650680065196E-5</v>
      </c>
      <c r="F51">
        <v>3.7795923650264698E-2</v>
      </c>
      <c r="G51">
        <v>-0.16816398501396199</v>
      </c>
      <c r="H51">
        <v>-0.16189207136631001</v>
      </c>
      <c r="I51">
        <v>-0.93887907266616799</v>
      </c>
      <c r="J51">
        <v>-0.26899504661560097</v>
      </c>
      <c r="K51">
        <v>0.4</v>
      </c>
      <c r="L51">
        <v>0.6</v>
      </c>
      <c r="M51">
        <v>0</v>
      </c>
      <c r="N51" t="s">
        <v>38</v>
      </c>
    </row>
    <row r="52" spans="4:15" x14ac:dyDescent="0.25">
      <c r="E52">
        <v>-3.0912766233086599E-3</v>
      </c>
      <c r="F52">
        <v>2.5789694860577601E-2</v>
      </c>
      <c r="G52">
        <v>-0.16904753446578999</v>
      </c>
      <c r="H52">
        <v>-0.154843360185623</v>
      </c>
      <c r="I52">
        <v>-0.91853284835815396</v>
      </c>
      <c r="J52">
        <v>-0.17800956964492801</v>
      </c>
      <c r="K52">
        <v>0.4</v>
      </c>
      <c r="L52">
        <v>0</v>
      </c>
      <c r="M52">
        <v>0.6</v>
      </c>
      <c r="N52" t="s">
        <v>40</v>
      </c>
      <c r="O52" t="s">
        <v>38</v>
      </c>
    </row>
    <row r="53" spans="4:15" x14ac:dyDescent="0.25">
      <c r="D53" t="s">
        <v>39</v>
      </c>
      <c r="E53">
        <v>1.21408142149448E-4</v>
      </c>
      <c r="F53">
        <v>6.0930710285902002E-2</v>
      </c>
      <c r="G53">
        <v>-0.19216823577880901</v>
      </c>
      <c r="H53">
        <v>-0.45323920249938998</v>
      </c>
      <c r="I53">
        <v>-0.86372590065002397</v>
      </c>
      <c r="J53">
        <v>-0.33691111207008401</v>
      </c>
      <c r="K53">
        <v>0.4</v>
      </c>
      <c r="L53">
        <v>0</v>
      </c>
      <c r="M53">
        <v>0</v>
      </c>
      <c r="N53" t="s">
        <v>38</v>
      </c>
    </row>
    <row r="54" spans="4:15" x14ac:dyDescent="0.25">
      <c r="E54">
        <v>8.7325181812048002E-4</v>
      </c>
      <c r="F54">
        <v>6.2060352414846399E-2</v>
      </c>
      <c r="G54">
        <v>-0.19772984087467199</v>
      </c>
      <c r="H54">
        <v>-0.469008088111877</v>
      </c>
      <c r="I54">
        <v>-0.88483870029449496</v>
      </c>
      <c r="J54">
        <v>-0.34396547079086298</v>
      </c>
      <c r="K54">
        <v>1</v>
      </c>
      <c r="L54">
        <v>0</v>
      </c>
      <c r="M54">
        <v>0</v>
      </c>
      <c r="N54" t="s">
        <v>38</v>
      </c>
    </row>
    <row r="55" spans="4:15" x14ac:dyDescent="0.25">
      <c r="E55">
        <v>1.88831053674221E-3</v>
      </c>
      <c r="F55">
        <v>6.2279805541038499E-2</v>
      </c>
      <c r="G55">
        <v>-0.17907203733921101</v>
      </c>
      <c r="H55">
        <v>-0.42007511854171797</v>
      </c>
      <c r="I55">
        <v>-0.81610763072967496</v>
      </c>
      <c r="J55">
        <v>-0.34715849161148099</v>
      </c>
      <c r="K55">
        <v>0.4</v>
      </c>
      <c r="L55">
        <v>0.6</v>
      </c>
      <c r="M55">
        <v>0</v>
      </c>
      <c r="N55" t="s">
        <v>38</v>
      </c>
    </row>
    <row r="56" spans="4:15" x14ac:dyDescent="0.25">
      <c r="E56">
        <v>-3.0665383674204402E-3</v>
      </c>
      <c r="F56">
        <v>5.35877235233784E-2</v>
      </c>
      <c r="G56">
        <v>-0.18414069712162001</v>
      </c>
      <c r="H56">
        <v>-0.41851162910461398</v>
      </c>
      <c r="I56">
        <v>-0.82586264610290505</v>
      </c>
      <c r="J56">
        <v>-0.29124367237091098</v>
      </c>
      <c r="K56">
        <v>0.4</v>
      </c>
      <c r="L56">
        <v>0</v>
      </c>
      <c r="M56">
        <v>0.6</v>
      </c>
      <c r="N56" t="s">
        <v>40</v>
      </c>
      <c r="O56" t="s">
        <v>38</v>
      </c>
    </row>
    <row r="57" spans="4:15" x14ac:dyDescent="0.25">
      <c r="D57" t="s">
        <v>39</v>
      </c>
      <c r="E57">
        <v>2.0413408055901501E-3</v>
      </c>
      <c r="F57">
        <v>5.3677611052990001E-2</v>
      </c>
      <c r="G57">
        <v>-0.22552120685577401</v>
      </c>
      <c r="H57">
        <v>-0.44799792766571001</v>
      </c>
      <c r="I57">
        <v>-1.0344259738922099</v>
      </c>
      <c r="J57">
        <v>-0.34386280179023698</v>
      </c>
      <c r="K57">
        <v>0.8</v>
      </c>
      <c r="L57">
        <v>0</v>
      </c>
      <c r="M57">
        <v>0</v>
      </c>
      <c r="N57" t="s">
        <v>38</v>
      </c>
    </row>
    <row r="58" spans="4:15" x14ac:dyDescent="0.25">
      <c r="E58">
        <v>3.1389072537422202E-3</v>
      </c>
      <c r="F58">
        <v>5.4431032389402403E-2</v>
      </c>
      <c r="G58">
        <v>-0.22847892343998</v>
      </c>
      <c r="H58">
        <v>-0.45064568519592302</v>
      </c>
      <c r="I58">
        <v>-1.0473046302795399</v>
      </c>
      <c r="J58">
        <v>-0.34889203310012801</v>
      </c>
      <c r="K58">
        <v>1.4</v>
      </c>
      <c r="L58">
        <v>0</v>
      </c>
      <c r="M58">
        <v>0</v>
      </c>
      <c r="N58" t="s">
        <v>38</v>
      </c>
    </row>
    <row r="59" spans="4:15" x14ac:dyDescent="0.25">
      <c r="E59">
        <v>3.9829285815358197E-3</v>
      </c>
      <c r="F59">
        <v>5.4385308176279103E-2</v>
      </c>
      <c r="G59">
        <v>-0.21008741855621299</v>
      </c>
      <c r="H59">
        <v>-0.41277560591697698</v>
      </c>
      <c r="I59">
        <v>-0.97924649715423595</v>
      </c>
      <c r="J59">
        <v>-0.35082817077636702</v>
      </c>
      <c r="K59">
        <v>0.8</v>
      </c>
      <c r="L59">
        <v>0.6</v>
      </c>
      <c r="M59">
        <v>0</v>
      </c>
      <c r="N59" t="s">
        <v>38</v>
      </c>
    </row>
    <row r="60" spans="4:15" x14ac:dyDescent="0.25">
      <c r="E60">
        <v>-1.69683527201414E-3</v>
      </c>
      <c r="F60">
        <v>4.5837476849555997E-2</v>
      </c>
      <c r="G60">
        <v>-0.21646480262279499</v>
      </c>
      <c r="H60">
        <v>-0.415846437215805</v>
      </c>
      <c r="I60">
        <v>-0.99269974231720004</v>
      </c>
      <c r="J60">
        <v>-0.29139718413353</v>
      </c>
      <c r="K60">
        <v>0.8</v>
      </c>
      <c r="L60">
        <v>0</v>
      </c>
      <c r="M60">
        <v>0.6</v>
      </c>
      <c r="N60" t="s">
        <v>40</v>
      </c>
      <c r="O60" t="s">
        <v>38</v>
      </c>
    </row>
    <row r="61" spans="4:15" x14ac:dyDescent="0.25">
      <c r="D61" t="s">
        <v>39</v>
      </c>
      <c r="E61">
        <v>-1.80347869172692E-3</v>
      </c>
      <c r="F61">
        <v>3.06784845888615E-2</v>
      </c>
      <c r="G61">
        <v>-0.130104705691338</v>
      </c>
      <c r="H61">
        <v>-0.345878034830093</v>
      </c>
      <c r="I61">
        <v>-0.53015172481536899</v>
      </c>
      <c r="J61">
        <v>-0.25460425019264199</v>
      </c>
      <c r="K61">
        <v>0</v>
      </c>
      <c r="L61">
        <v>0</v>
      </c>
      <c r="M61">
        <v>0</v>
      </c>
      <c r="N61" t="s">
        <v>38</v>
      </c>
    </row>
    <row r="62" spans="4:15" x14ac:dyDescent="0.25">
      <c r="E62">
        <v>-5.9032719582319303E-4</v>
      </c>
      <c r="F62">
        <v>3.1845472753047901E-2</v>
      </c>
      <c r="G62">
        <v>-0.136280506849289</v>
      </c>
      <c r="H62">
        <v>-0.36411675810813898</v>
      </c>
      <c r="I62">
        <v>-0.54559373855590798</v>
      </c>
      <c r="J62">
        <v>-0.26172354817390397</v>
      </c>
      <c r="K62">
        <v>0.6</v>
      </c>
      <c r="L62">
        <v>0</v>
      </c>
      <c r="M62">
        <v>0</v>
      </c>
      <c r="N62" t="s">
        <v>38</v>
      </c>
    </row>
    <row r="63" spans="4:15" x14ac:dyDescent="0.25">
      <c r="E63">
        <v>-4.39455267041922E-4</v>
      </c>
      <c r="F63">
        <v>3.1614840030670201E-2</v>
      </c>
      <c r="G63">
        <v>-0.118836537003517</v>
      </c>
      <c r="H63">
        <v>-0.30730828642845198</v>
      </c>
      <c r="I63">
        <v>-0.50484818220138605</v>
      </c>
      <c r="J63">
        <v>-0.26288193464279203</v>
      </c>
      <c r="K63">
        <v>0</v>
      </c>
      <c r="L63">
        <v>0.6</v>
      </c>
      <c r="M63">
        <v>0</v>
      </c>
      <c r="N63" t="s">
        <v>38</v>
      </c>
    </row>
    <row r="64" spans="4:15" x14ac:dyDescent="0.25">
      <c r="E64">
        <v>-5.0033815205097198E-3</v>
      </c>
      <c r="F64">
        <v>2.7182761579752E-2</v>
      </c>
      <c r="G64">
        <v>-0.12567727267742199</v>
      </c>
      <c r="H64">
        <v>-0.32517495751380898</v>
      </c>
      <c r="I64">
        <v>-0.51750469207763705</v>
      </c>
      <c r="J64">
        <v>-0.22978612780571001</v>
      </c>
      <c r="K64">
        <v>0</v>
      </c>
      <c r="L64">
        <v>0</v>
      </c>
      <c r="M64">
        <v>0.6</v>
      </c>
      <c r="N64" t="s">
        <v>40</v>
      </c>
      <c r="O64" t="s">
        <v>38</v>
      </c>
    </row>
    <row r="65" spans="4:15" x14ac:dyDescent="0.25">
      <c r="D65" t="s">
        <v>39</v>
      </c>
      <c r="E65">
        <v>3.3966472838073999E-3</v>
      </c>
      <c r="F65">
        <v>-8.4817789494991302E-2</v>
      </c>
      <c r="G65">
        <v>-3.2525759190321003E-2</v>
      </c>
      <c r="H65">
        <v>-0.186183482408524</v>
      </c>
      <c r="I65">
        <v>-0.290946185588837</v>
      </c>
      <c r="J65">
        <v>0.34101566672325101</v>
      </c>
      <c r="K65">
        <v>0.4</v>
      </c>
      <c r="L65">
        <v>0</v>
      </c>
      <c r="M65">
        <v>0</v>
      </c>
      <c r="N65" t="s">
        <v>38</v>
      </c>
    </row>
    <row r="66" spans="4:15" x14ac:dyDescent="0.25">
      <c r="E66">
        <v>4.7846524976193896E-3</v>
      </c>
      <c r="F66">
        <v>-7.6770626008510603E-2</v>
      </c>
      <c r="G66">
        <v>-3.5355295985937098E-2</v>
      </c>
      <c r="H66">
        <v>-0.16215063631534599</v>
      </c>
      <c r="I66">
        <v>-0.31568014621734602</v>
      </c>
      <c r="J66">
        <v>0.30814045667648299</v>
      </c>
      <c r="K66">
        <v>1</v>
      </c>
      <c r="L66">
        <v>0</v>
      </c>
      <c r="M66">
        <v>0</v>
      </c>
      <c r="N66" t="s">
        <v>38</v>
      </c>
    </row>
    <row r="67" spans="4:15" x14ac:dyDescent="0.25">
      <c r="E67">
        <v>1.75101147033274E-3</v>
      </c>
      <c r="F67">
        <v>-7.5815342366695404E-2</v>
      </c>
      <c r="G67">
        <v>-2.92263831943274E-2</v>
      </c>
      <c r="H67">
        <v>-0.15830263495445299</v>
      </c>
      <c r="I67">
        <v>-0.26379287242889399</v>
      </c>
      <c r="J67">
        <v>0.30544507503509499</v>
      </c>
      <c r="K67">
        <v>0.4</v>
      </c>
      <c r="L67">
        <v>0.6</v>
      </c>
      <c r="M67">
        <v>0</v>
      </c>
      <c r="N67" t="s">
        <v>38</v>
      </c>
    </row>
    <row r="68" spans="4:15" x14ac:dyDescent="0.25">
      <c r="E68">
        <v>3.5732281394302802E-3</v>
      </c>
      <c r="F68">
        <v>-9.1100767254829407E-2</v>
      </c>
      <c r="G68">
        <v>-3.1735785305500003E-2</v>
      </c>
      <c r="H68">
        <v>-0.190847843885422</v>
      </c>
      <c r="I68">
        <v>-0.286252111196518</v>
      </c>
      <c r="J68">
        <v>0.37134739756584201</v>
      </c>
      <c r="K68">
        <v>0.4</v>
      </c>
      <c r="L68">
        <v>0</v>
      </c>
      <c r="M68">
        <v>0.6</v>
      </c>
      <c r="N68" t="s">
        <v>40</v>
      </c>
      <c r="O68" t="s">
        <v>38</v>
      </c>
    </row>
    <row r="69" spans="4:15" x14ac:dyDescent="0.25">
      <c r="D69" t="s">
        <v>39</v>
      </c>
      <c r="E69">
        <v>-9.0274820104241404E-4</v>
      </c>
      <c r="F69">
        <v>9.5996417105197906E-2</v>
      </c>
      <c r="G69">
        <v>-8.7546631693839992E-3</v>
      </c>
      <c r="H69">
        <v>-0.111510291695595</v>
      </c>
      <c r="I69">
        <v>-6.3374787569046007E-2</v>
      </c>
      <c r="J69">
        <v>-0.53375589847564697</v>
      </c>
      <c r="K69">
        <v>0.4</v>
      </c>
      <c r="L69">
        <v>0</v>
      </c>
      <c r="M69">
        <v>0</v>
      </c>
      <c r="N69" t="s">
        <v>38</v>
      </c>
    </row>
    <row r="70" spans="4:15" x14ac:dyDescent="0.25">
      <c r="E70">
        <v>-2.4800330866128202E-3</v>
      </c>
      <c r="F70">
        <v>0.101854160428047</v>
      </c>
      <c r="G70">
        <v>-1.01551841944456E-2</v>
      </c>
      <c r="H70">
        <v>-0.116913236677647</v>
      </c>
      <c r="I70">
        <v>-7.4356511235237094E-2</v>
      </c>
      <c r="J70">
        <v>-0.56326234340667702</v>
      </c>
      <c r="K70">
        <v>1</v>
      </c>
      <c r="L70">
        <v>0</v>
      </c>
      <c r="M70">
        <v>0</v>
      </c>
      <c r="N70" t="s">
        <v>38</v>
      </c>
    </row>
    <row r="71" spans="4:15" x14ac:dyDescent="0.25">
      <c r="E71">
        <v>8.2076713442802397E-4</v>
      </c>
      <c r="F71">
        <v>9.6029371023178101E-2</v>
      </c>
      <c r="G71">
        <v>-6.8005314096808399E-3</v>
      </c>
      <c r="H71">
        <v>-0.10895030945539499</v>
      </c>
      <c r="I71">
        <v>-4.8026587814092601E-2</v>
      </c>
      <c r="J71">
        <v>-0.51695328950882002</v>
      </c>
      <c r="K71">
        <v>0.4</v>
      </c>
      <c r="L71">
        <v>0.6</v>
      </c>
      <c r="M71">
        <v>0</v>
      </c>
      <c r="N71" t="s">
        <v>38</v>
      </c>
    </row>
    <row r="72" spans="4:15" x14ac:dyDescent="0.25">
      <c r="E72">
        <v>-4.8528495244681803E-4</v>
      </c>
      <c r="F72">
        <v>8.2321278750896495E-2</v>
      </c>
      <c r="G72">
        <v>-8.4429755806922895E-3</v>
      </c>
      <c r="H72">
        <v>-8.9639320969581604E-2</v>
      </c>
      <c r="I72">
        <v>-6.3276618719100994E-2</v>
      </c>
      <c r="J72">
        <v>-0.47606992721557601</v>
      </c>
      <c r="K72">
        <v>0.4</v>
      </c>
      <c r="L72">
        <v>0</v>
      </c>
      <c r="M72">
        <v>0.6</v>
      </c>
      <c r="N72" t="s">
        <v>40</v>
      </c>
      <c r="O72" t="s">
        <v>38</v>
      </c>
    </row>
    <row r="73" spans="4:15" x14ac:dyDescent="0.25">
      <c r="D73" t="s">
        <v>39</v>
      </c>
      <c r="E73">
        <v>7.30549916625023E-4</v>
      </c>
      <c r="F73">
        <v>0.18510913848877</v>
      </c>
      <c r="G73">
        <v>-7.8640699386596694E-2</v>
      </c>
      <c r="H73">
        <v>-0.26385891437530501</v>
      </c>
      <c r="I73">
        <v>-0.69346159696579002</v>
      </c>
      <c r="J73">
        <v>-0.87223374843597401</v>
      </c>
      <c r="K73">
        <v>0</v>
      </c>
      <c r="L73">
        <v>0</v>
      </c>
      <c r="M73">
        <v>0</v>
      </c>
      <c r="N73" t="s">
        <v>38</v>
      </c>
    </row>
    <row r="74" spans="4:15" x14ac:dyDescent="0.25">
      <c r="E74">
        <v>-3.1077666208147998E-3</v>
      </c>
      <c r="F74">
        <v>0.187246784567833</v>
      </c>
      <c r="G74">
        <v>-8.2940965890884399E-2</v>
      </c>
      <c r="H74">
        <v>-0.26602244377136203</v>
      </c>
      <c r="I74">
        <v>-0.72528666257858299</v>
      </c>
      <c r="J74">
        <v>-0.88184249401092496</v>
      </c>
      <c r="K74">
        <v>0.6</v>
      </c>
      <c r="L74">
        <v>0</v>
      </c>
      <c r="M74">
        <v>0</v>
      </c>
      <c r="N74" t="s">
        <v>38</v>
      </c>
    </row>
    <row r="75" spans="4:15" x14ac:dyDescent="0.25">
      <c r="E75">
        <v>4.3586762621998804E-3</v>
      </c>
      <c r="F75">
        <v>0.18550981581211101</v>
      </c>
      <c r="G75">
        <v>-7.4075989425182301E-2</v>
      </c>
      <c r="H75">
        <v>-0.26165169477462802</v>
      </c>
      <c r="I75">
        <v>-0.66138935089111295</v>
      </c>
      <c r="J75">
        <v>-0.87556362152099598</v>
      </c>
      <c r="K75">
        <v>0</v>
      </c>
      <c r="L75">
        <v>0.6</v>
      </c>
      <c r="M75">
        <v>0</v>
      </c>
      <c r="N75" t="s">
        <v>38</v>
      </c>
    </row>
    <row r="76" spans="4:15" x14ac:dyDescent="0.25">
      <c r="E76">
        <v>9.03414096683264E-4</v>
      </c>
      <c r="F76">
        <v>0.16870972514152499</v>
      </c>
      <c r="G76">
        <v>-7.7373176813125596E-2</v>
      </c>
      <c r="H76">
        <v>-0.22837942838668801</v>
      </c>
      <c r="I76">
        <v>-0.68642711639404297</v>
      </c>
      <c r="J76">
        <v>-0.80167603492736805</v>
      </c>
      <c r="K76">
        <v>0</v>
      </c>
      <c r="L76">
        <v>0</v>
      </c>
      <c r="M76">
        <v>0.6</v>
      </c>
      <c r="N76" t="s">
        <v>40</v>
      </c>
      <c r="O76" t="s">
        <v>38</v>
      </c>
    </row>
    <row r="77" spans="4:15" x14ac:dyDescent="0.25">
      <c r="D77" t="s">
        <v>39</v>
      </c>
      <c r="E77">
        <v>-2.9432689771056201E-3</v>
      </c>
      <c r="F77">
        <v>9.8053239285945906E-2</v>
      </c>
      <c r="G77">
        <v>-7.0226937532424899E-2</v>
      </c>
      <c r="H77">
        <v>-0.235873714089394</v>
      </c>
      <c r="I77">
        <v>-0.46341708302497903</v>
      </c>
      <c r="J77">
        <v>-0.29305437207222002</v>
      </c>
      <c r="K77">
        <v>0.4</v>
      </c>
      <c r="L77">
        <v>0</v>
      </c>
      <c r="M77">
        <v>0</v>
      </c>
      <c r="N77" t="s">
        <v>38</v>
      </c>
    </row>
    <row r="78" spans="4:15" x14ac:dyDescent="0.25">
      <c r="E78">
        <v>-5.5604549124836896E-3</v>
      </c>
      <c r="F78">
        <v>0.10110595822334301</v>
      </c>
      <c r="G78">
        <v>-7.6301038265228299E-2</v>
      </c>
      <c r="H78">
        <v>-0.24268664419651001</v>
      </c>
      <c r="I78">
        <v>-0.501725673675537</v>
      </c>
      <c r="J78">
        <v>-0.30155980587005599</v>
      </c>
      <c r="K78">
        <v>1</v>
      </c>
      <c r="L78">
        <v>0</v>
      </c>
      <c r="M78">
        <v>0</v>
      </c>
      <c r="N78" t="s">
        <v>38</v>
      </c>
    </row>
    <row r="79" spans="4:15" x14ac:dyDescent="0.25">
      <c r="E79">
        <v>1.5366636216640501E-3</v>
      </c>
      <c r="F79">
        <v>0.10198536515235899</v>
      </c>
      <c r="G79">
        <v>-5.9131160378456102E-2</v>
      </c>
      <c r="H79">
        <v>-0.24258817732334101</v>
      </c>
      <c r="I79">
        <v>-0.39477950334549</v>
      </c>
      <c r="J79">
        <v>-0.30414065718650801</v>
      </c>
      <c r="K79">
        <v>0.4</v>
      </c>
      <c r="L79">
        <v>0.6</v>
      </c>
      <c r="M79">
        <v>0</v>
      </c>
      <c r="N79" t="s">
        <v>38</v>
      </c>
    </row>
    <row r="80" spans="4:15" x14ac:dyDescent="0.25">
      <c r="E80">
        <v>-2.3458977229893199E-3</v>
      </c>
      <c r="F80">
        <v>8.6323104798793807E-2</v>
      </c>
      <c r="G80">
        <v>-6.6620744764804798E-2</v>
      </c>
      <c r="H80">
        <v>-0.197530642151833</v>
      </c>
      <c r="I80">
        <v>-0.44012790918350198</v>
      </c>
      <c r="J80">
        <v>-0.262890994548798</v>
      </c>
      <c r="K80">
        <v>0.4</v>
      </c>
      <c r="L80">
        <v>0</v>
      </c>
      <c r="M80">
        <v>0.6</v>
      </c>
      <c r="N80" t="s">
        <v>40</v>
      </c>
      <c r="O80" t="s">
        <v>38</v>
      </c>
    </row>
    <row r="81" spans="4:15" x14ac:dyDescent="0.25">
      <c r="D81" t="s">
        <v>39</v>
      </c>
      <c r="E81">
        <v>-8.9650582522153906E-3</v>
      </c>
      <c r="F81">
        <v>0.193452998995781</v>
      </c>
      <c r="G81">
        <v>-2.2679660469293601E-2</v>
      </c>
      <c r="H81">
        <v>-0.444032043218613</v>
      </c>
      <c r="I81">
        <v>-0.175033524632454</v>
      </c>
      <c r="J81">
        <v>-0.91890478134155296</v>
      </c>
      <c r="K81">
        <v>0.8</v>
      </c>
      <c r="L81">
        <v>0</v>
      </c>
      <c r="M81">
        <v>0</v>
      </c>
      <c r="N81" t="s">
        <v>38</v>
      </c>
    </row>
    <row r="82" spans="4:15" x14ac:dyDescent="0.25">
      <c r="E82">
        <v>-1.30788292735815E-2</v>
      </c>
      <c r="F82">
        <v>0.19432164728641499</v>
      </c>
      <c r="G82">
        <v>-2.6282684877514801E-2</v>
      </c>
      <c r="H82">
        <v>-0.44682756066322299</v>
      </c>
      <c r="I82">
        <v>-0.198223441839218</v>
      </c>
      <c r="J82">
        <v>-0.91903555393219005</v>
      </c>
      <c r="K82">
        <v>1.4</v>
      </c>
      <c r="L82">
        <v>0</v>
      </c>
      <c r="M82">
        <v>0</v>
      </c>
      <c r="N82" t="s">
        <v>38</v>
      </c>
    </row>
    <row r="83" spans="4:15" x14ac:dyDescent="0.25">
      <c r="E83">
        <v>-3.6557628773152798E-3</v>
      </c>
      <c r="F83">
        <v>0.19395534694194799</v>
      </c>
      <c r="G83">
        <v>-1.7926901578903202E-2</v>
      </c>
      <c r="H83">
        <v>-0.45067426562309298</v>
      </c>
      <c r="I83">
        <v>-0.14391160011291501</v>
      </c>
      <c r="J83">
        <v>-0.90540969371795699</v>
      </c>
      <c r="K83">
        <v>0.8</v>
      </c>
      <c r="L83">
        <v>0.6</v>
      </c>
      <c r="M83">
        <v>0</v>
      </c>
      <c r="N83" t="s">
        <v>38</v>
      </c>
    </row>
    <row r="84" spans="4:15" x14ac:dyDescent="0.25">
      <c r="E84">
        <v>-6.7889746278524399E-3</v>
      </c>
      <c r="F84">
        <v>0.178644955158234</v>
      </c>
      <c r="G84">
        <v>-2.0251551643013999E-2</v>
      </c>
      <c r="H84">
        <v>-0.38894972205161998</v>
      </c>
      <c r="I84">
        <v>-0.16112147271633101</v>
      </c>
      <c r="J84">
        <v>-0.87853527069091797</v>
      </c>
      <c r="K84">
        <v>0.8</v>
      </c>
      <c r="L84">
        <v>0</v>
      </c>
      <c r="M84">
        <v>0.6</v>
      </c>
      <c r="N84" t="s">
        <v>40</v>
      </c>
      <c r="O84" t="s">
        <v>38</v>
      </c>
    </row>
    <row r="85" spans="4:15" x14ac:dyDescent="0.25">
      <c r="D85" t="s">
        <v>39</v>
      </c>
      <c r="E85">
        <v>3.3966472838073999E-3</v>
      </c>
      <c r="F85">
        <v>-8.4817789494991302E-2</v>
      </c>
      <c r="G85">
        <v>-3.2525759190321003E-2</v>
      </c>
      <c r="H85">
        <v>-0.186183482408524</v>
      </c>
      <c r="I85">
        <v>-0.290946185588837</v>
      </c>
      <c r="J85">
        <v>0.34101566672325101</v>
      </c>
      <c r="K85">
        <v>0</v>
      </c>
      <c r="L85">
        <v>0</v>
      </c>
      <c r="M85">
        <v>0</v>
      </c>
      <c r="N85" t="s">
        <v>38</v>
      </c>
    </row>
    <row r="86" spans="4:15" x14ac:dyDescent="0.25">
      <c r="E86">
        <v>4.7846524976193896E-3</v>
      </c>
      <c r="F86">
        <v>-7.6770626008510603E-2</v>
      </c>
      <c r="G86">
        <v>-3.5355295985937098E-2</v>
      </c>
      <c r="H86">
        <v>-0.16215063631534599</v>
      </c>
      <c r="I86">
        <v>-0.31568014621734602</v>
      </c>
      <c r="J86">
        <v>0.30814045667648299</v>
      </c>
      <c r="K86">
        <v>0.6</v>
      </c>
      <c r="L86">
        <v>0</v>
      </c>
      <c r="M86">
        <v>0</v>
      </c>
      <c r="N86" t="s">
        <v>38</v>
      </c>
    </row>
    <row r="87" spans="4:15" x14ac:dyDescent="0.25">
      <c r="E87">
        <v>1.75101147033274E-3</v>
      </c>
      <c r="F87">
        <v>-7.5815342366695404E-2</v>
      </c>
      <c r="G87">
        <v>-2.92263831943274E-2</v>
      </c>
      <c r="H87">
        <v>-0.15830263495445299</v>
      </c>
      <c r="I87">
        <v>-0.26379287242889399</v>
      </c>
      <c r="J87">
        <v>0.30544507503509499</v>
      </c>
      <c r="K87">
        <v>0</v>
      </c>
      <c r="L87">
        <v>0.6</v>
      </c>
      <c r="M87">
        <v>0</v>
      </c>
      <c r="N87" t="s">
        <v>38</v>
      </c>
    </row>
    <row r="88" spans="4:15" x14ac:dyDescent="0.25">
      <c r="E88">
        <v>3.5732281394302802E-3</v>
      </c>
      <c r="F88">
        <v>-9.1100767254829407E-2</v>
      </c>
      <c r="G88">
        <v>-3.1735785305500003E-2</v>
      </c>
      <c r="H88">
        <v>-0.190847843885422</v>
      </c>
      <c r="I88">
        <v>-0.286252111196518</v>
      </c>
      <c r="J88">
        <v>0.37134739756584201</v>
      </c>
      <c r="K88">
        <v>0</v>
      </c>
      <c r="L88">
        <v>0</v>
      </c>
      <c r="M88">
        <v>0.6</v>
      </c>
      <c r="N88" t="s">
        <v>40</v>
      </c>
      <c r="O88" t="s">
        <v>45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</vt:lpstr>
      <vt:lpstr>Distal Validation (no perturb)</vt:lpstr>
      <vt:lpstr>Distal Vali (0.6N perturb)</vt:lpstr>
      <vt:lpstr>Conversion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2025-10-21T22:41:41Z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