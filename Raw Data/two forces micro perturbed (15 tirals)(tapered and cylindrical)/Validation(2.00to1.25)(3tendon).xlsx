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Raw Data/two forces micro perturbed (15 tirals)(tapered and cylindrical)/"/>
    </mc:Choice>
  </mc:AlternateContent>
  <xr:revisionPtr revIDLastSave="3723" documentId="8_{DFFD6B0C-681F-42C8-B2E4-5D4B90AAE966}" xr6:coauthVersionLast="47" xr6:coauthVersionMax="47" xr10:uidLastSave="{C3A95A45-45A6-4717-89D1-86B978217194}"/>
  <bookViews>
    <workbookView xWindow="-120" yWindow="-120" windowWidth="29040" windowHeight="15720" activeTab="2" xr2:uid="{3D16C37F-3C74-4527-A308-796C339DFE9F}"/>
  </bookViews>
  <sheets>
    <sheet name="Proximal Validation" sheetId="12" r:id="rId1"/>
    <sheet name="Distal Validation (no perturb)" sheetId="19" r:id="rId2"/>
    <sheet name="Distal Vali (0.6N perturb)" sheetId="35" r:id="rId3"/>
    <sheet name="Sheet1" sheetId="37" r:id="rId4"/>
    <sheet name="Sheet5" sheetId="36" r:id="rId5"/>
    <sheet name="Conversio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8" i="35" l="1"/>
  <c r="U54" i="35"/>
  <c r="Y52" i="35"/>
  <c r="X52" i="35"/>
  <c r="U52" i="35"/>
  <c r="I78" i="35"/>
  <c r="J78" i="35"/>
  <c r="K78" i="35"/>
  <c r="I79" i="35"/>
  <c r="J79" i="35"/>
  <c r="K79" i="35"/>
  <c r="J77" i="35"/>
  <c r="K77" i="35"/>
  <c r="I77" i="35"/>
  <c r="I74" i="35"/>
  <c r="J74" i="35"/>
  <c r="K74" i="35"/>
  <c r="I75" i="35"/>
  <c r="J75" i="35"/>
  <c r="K75" i="35"/>
  <c r="J73" i="35"/>
  <c r="K73" i="35"/>
  <c r="I73" i="35"/>
  <c r="I70" i="35"/>
  <c r="J70" i="35"/>
  <c r="K70" i="35"/>
  <c r="I71" i="35"/>
  <c r="J71" i="35"/>
  <c r="K71" i="35"/>
  <c r="J69" i="35"/>
  <c r="K69" i="35"/>
  <c r="I69" i="35"/>
  <c r="I66" i="35"/>
  <c r="J66" i="35"/>
  <c r="K66" i="35"/>
  <c r="I67" i="35"/>
  <c r="J67" i="35"/>
  <c r="K67" i="35"/>
  <c r="J65" i="35"/>
  <c r="K65" i="35"/>
  <c r="I65" i="35"/>
  <c r="I62" i="35"/>
  <c r="J62" i="35"/>
  <c r="K62" i="35"/>
  <c r="I63" i="35"/>
  <c r="J63" i="35"/>
  <c r="K63" i="35"/>
  <c r="J61" i="35"/>
  <c r="K61" i="35"/>
  <c r="I61" i="35"/>
  <c r="I58" i="35"/>
  <c r="J58" i="35"/>
  <c r="K58" i="35"/>
  <c r="I59" i="35"/>
  <c r="J59" i="35"/>
  <c r="K59" i="35"/>
  <c r="J57" i="35"/>
  <c r="K57" i="35"/>
  <c r="I57" i="35"/>
  <c r="I54" i="35"/>
  <c r="J54" i="35"/>
  <c r="K54" i="35"/>
  <c r="I55" i="35"/>
  <c r="J55" i="35"/>
  <c r="K55" i="35"/>
  <c r="J53" i="35"/>
  <c r="K53" i="35"/>
  <c r="I53" i="35"/>
  <c r="I50" i="35"/>
  <c r="J50" i="35"/>
  <c r="K50" i="35"/>
  <c r="I51" i="35"/>
  <c r="J51" i="35"/>
  <c r="K51" i="35"/>
  <c r="J49" i="35"/>
  <c r="K49" i="35"/>
  <c r="I49" i="35"/>
  <c r="I46" i="35"/>
  <c r="J46" i="35"/>
  <c r="K46" i="35"/>
  <c r="I47" i="35"/>
  <c r="J47" i="35"/>
  <c r="K47" i="35"/>
  <c r="J45" i="35"/>
  <c r="K45" i="35"/>
  <c r="I45" i="35"/>
  <c r="I42" i="35"/>
  <c r="J42" i="35"/>
  <c r="K42" i="35"/>
  <c r="I43" i="35"/>
  <c r="J43" i="35"/>
  <c r="K43" i="35"/>
  <c r="J41" i="35"/>
  <c r="K41" i="35"/>
  <c r="I41" i="35"/>
  <c r="I38" i="35"/>
  <c r="J38" i="35"/>
  <c r="K38" i="35"/>
  <c r="I39" i="35"/>
  <c r="J39" i="35"/>
  <c r="K39" i="35"/>
  <c r="J37" i="35"/>
  <c r="K37" i="35"/>
  <c r="I37" i="35"/>
  <c r="I34" i="35"/>
  <c r="J34" i="35"/>
  <c r="K34" i="35"/>
  <c r="I35" i="35"/>
  <c r="J35" i="35"/>
  <c r="K35" i="35"/>
  <c r="J33" i="35"/>
  <c r="K33" i="35"/>
  <c r="I33" i="35"/>
  <c r="I30" i="35"/>
  <c r="J30" i="35"/>
  <c r="K30" i="35"/>
  <c r="I31" i="35"/>
  <c r="J31" i="35"/>
  <c r="K31" i="35"/>
  <c r="J29" i="35"/>
  <c r="K29" i="35"/>
  <c r="J28" i="35"/>
  <c r="K28" i="35"/>
  <c r="I29" i="35"/>
  <c r="I26" i="35"/>
  <c r="J26" i="35"/>
  <c r="K26" i="35"/>
  <c r="I27" i="35"/>
  <c r="J27" i="35"/>
  <c r="K27" i="35"/>
  <c r="J25" i="35"/>
  <c r="K25" i="35"/>
  <c r="I25" i="35"/>
  <c r="J24" i="35"/>
  <c r="K24" i="35"/>
  <c r="I22" i="35"/>
  <c r="J22" i="35"/>
  <c r="K22" i="35"/>
  <c r="I23" i="35"/>
  <c r="J23" i="35"/>
  <c r="K23" i="35"/>
  <c r="J21" i="35"/>
  <c r="K21" i="35"/>
  <c r="I21" i="35"/>
  <c r="I76" i="35"/>
  <c r="J76" i="35"/>
  <c r="K76" i="35"/>
  <c r="L76" i="35"/>
  <c r="M76" i="35"/>
  <c r="N76" i="35"/>
  <c r="O76" i="35"/>
  <c r="P76" i="35"/>
  <c r="Q76" i="35"/>
  <c r="I72" i="35"/>
  <c r="J72" i="35"/>
  <c r="K72" i="35"/>
  <c r="L72" i="35"/>
  <c r="M72" i="35"/>
  <c r="N72" i="35"/>
  <c r="O72" i="35"/>
  <c r="P72" i="35"/>
  <c r="Q72" i="35"/>
  <c r="I68" i="35"/>
  <c r="J68" i="35"/>
  <c r="K68" i="35"/>
  <c r="L68" i="35"/>
  <c r="M68" i="35"/>
  <c r="N68" i="35"/>
  <c r="O68" i="35"/>
  <c r="P68" i="35"/>
  <c r="Q68" i="35"/>
  <c r="I64" i="35"/>
  <c r="J64" i="35"/>
  <c r="K64" i="35"/>
  <c r="L64" i="35"/>
  <c r="M64" i="35"/>
  <c r="N64" i="35"/>
  <c r="O64" i="35"/>
  <c r="P64" i="35"/>
  <c r="Q64" i="35"/>
  <c r="I60" i="35"/>
  <c r="J60" i="35"/>
  <c r="K60" i="35"/>
  <c r="L60" i="35"/>
  <c r="M60" i="35"/>
  <c r="N60" i="35"/>
  <c r="O60" i="35"/>
  <c r="P60" i="35"/>
  <c r="Q60" i="35"/>
  <c r="I56" i="35"/>
  <c r="J56" i="35"/>
  <c r="K56" i="35"/>
  <c r="L56" i="35"/>
  <c r="M56" i="35"/>
  <c r="N56" i="35"/>
  <c r="O56" i="35"/>
  <c r="P56" i="35"/>
  <c r="Q56" i="35"/>
  <c r="I52" i="35"/>
  <c r="J52" i="35"/>
  <c r="K52" i="35"/>
  <c r="L52" i="35"/>
  <c r="M52" i="35"/>
  <c r="N52" i="35"/>
  <c r="O52" i="35"/>
  <c r="P52" i="35"/>
  <c r="Q52" i="35"/>
  <c r="I48" i="35"/>
  <c r="J48" i="35"/>
  <c r="K48" i="35"/>
  <c r="L48" i="35"/>
  <c r="M48" i="35"/>
  <c r="N48" i="35"/>
  <c r="O48" i="35"/>
  <c r="P48" i="35"/>
  <c r="Q48" i="35"/>
  <c r="I44" i="35"/>
  <c r="J44" i="35"/>
  <c r="K44" i="35"/>
  <c r="L44" i="35"/>
  <c r="M44" i="35"/>
  <c r="N44" i="35"/>
  <c r="O44" i="35"/>
  <c r="P44" i="35"/>
  <c r="Q44" i="35"/>
  <c r="I40" i="35"/>
  <c r="J40" i="35"/>
  <c r="K40" i="35"/>
  <c r="L40" i="35"/>
  <c r="M40" i="35"/>
  <c r="N40" i="35"/>
  <c r="O40" i="35"/>
  <c r="P40" i="35"/>
  <c r="Q40" i="35"/>
  <c r="I36" i="35"/>
  <c r="J36" i="35"/>
  <c r="K36" i="35"/>
  <c r="L36" i="35"/>
  <c r="M36" i="35"/>
  <c r="N36" i="35"/>
  <c r="O36" i="35"/>
  <c r="P36" i="35"/>
  <c r="Q36" i="35"/>
  <c r="I32" i="35"/>
  <c r="J32" i="35"/>
  <c r="K32" i="35"/>
  <c r="L32" i="35"/>
  <c r="M32" i="35"/>
  <c r="N32" i="35"/>
  <c r="O32" i="35"/>
  <c r="P32" i="35"/>
  <c r="Q32" i="35"/>
  <c r="I28" i="35"/>
  <c r="L28" i="35"/>
  <c r="M28" i="35"/>
  <c r="N28" i="35"/>
  <c r="O28" i="35"/>
  <c r="P28" i="35"/>
  <c r="Q28" i="35"/>
  <c r="I24" i="35"/>
  <c r="L24" i="35"/>
  <c r="M24" i="35"/>
  <c r="N24" i="35"/>
  <c r="O24" i="35"/>
  <c r="P24" i="35"/>
  <c r="Q24" i="35"/>
  <c r="I20" i="35"/>
  <c r="J20" i="35"/>
  <c r="K20" i="35"/>
  <c r="L20" i="35"/>
  <c r="M20" i="35"/>
  <c r="N20" i="35"/>
  <c r="O20" i="35"/>
  <c r="P20" i="35"/>
  <c r="Q20" i="35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N6" i="35"/>
  <c r="M6" i="35"/>
  <c r="L6" i="35"/>
  <c r="H3" i="4"/>
  <c r="I3" i="4"/>
  <c r="J3" i="4"/>
  <c r="K3" i="4"/>
  <c r="L3" i="4"/>
  <c r="M3" i="4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H22" i="4"/>
  <c r="I22" i="4"/>
  <c r="J22" i="4"/>
  <c r="K22" i="4"/>
  <c r="L22" i="4"/>
  <c r="M22" i="4"/>
  <c r="H23" i="4"/>
  <c r="I23" i="4"/>
  <c r="J23" i="4"/>
  <c r="K23" i="4"/>
  <c r="L23" i="4"/>
  <c r="M23" i="4"/>
  <c r="Q17" i="35"/>
  <c r="P17" i="35"/>
  <c r="O17" i="35"/>
  <c r="N17" i="35"/>
  <c r="M17" i="35"/>
  <c r="L17" i="35"/>
  <c r="K17" i="35"/>
  <c r="J17" i="35"/>
  <c r="I17" i="35"/>
  <c r="H17" i="35"/>
  <c r="AH17" i="35" s="1"/>
  <c r="G17" i="35"/>
  <c r="AG17" i="35" s="1"/>
  <c r="F17" i="35"/>
  <c r="AF17" i="35" s="1"/>
  <c r="E17" i="35"/>
  <c r="AE17" i="35" s="1"/>
  <c r="D17" i="35"/>
  <c r="AD17" i="35" s="1"/>
  <c r="C17" i="35"/>
  <c r="AC17" i="35" s="1"/>
  <c r="B17" i="35"/>
  <c r="AB17" i="35" s="1"/>
  <c r="A17" i="35"/>
  <c r="AA17" i="35" s="1"/>
  <c r="Q16" i="35"/>
  <c r="P16" i="35"/>
  <c r="O16" i="35"/>
  <c r="N16" i="35"/>
  <c r="M16" i="35"/>
  <c r="L16" i="35"/>
  <c r="K16" i="35"/>
  <c r="J16" i="35"/>
  <c r="I16" i="35"/>
  <c r="H16" i="35"/>
  <c r="AH16" i="35" s="1"/>
  <c r="G16" i="35"/>
  <c r="AG16" i="35" s="1"/>
  <c r="F16" i="35"/>
  <c r="AF16" i="35" s="1"/>
  <c r="E16" i="35"/>
  <c r="AE16" i="35" s="1"/>
  <c r="D16" i="35"/>
  <c r="AD16" i="35" s="1"/>
  <c r="C16" i="35"/>
  <c r="AC16" i="35" s="1"/>
  <c r="B16" i="35"/>
  <c r="AB16" i="35" s="1"/>
  <c r="A16" i="35"/>
  <c r="AA16" i="35" s="1"/>
  <c r="Q15" i="35"/>
  <c r="P15" i="35"/>
  <c r="O15" i="35"/>
  <c r="N15" i="35"/>
  <c r="M15" i="35"/>
  <c r="L15" i="35"/>
  <c r="K15" i="35"/>
  <c r="J15" i="35"/>
  <c r="I15" i="35"/>
  <c r="H15" i="35"/>
  <c r="AH15" i="35" s="1"/>
  <c r="G15" i="35"/>
  <c r="AG15" i="35" s="1"/>
  <c r="F15" i="35"/>
  <c r="AF15" i="35" s="1"/>
  <c r="E15" i="35"/>
  <c r="AE15" i="35" s="1"/>
  <c r="D15" i="35"/>
  <c r="AD15" i="35" s="1"/>
  <c r="C15" i="35"/>
  <c r="AC15" i="35" s="1"/>
  <c r="B15" i="35"/>
  <c r="AB15" i="35" s="1"/>
  <c r="A15" i="35"/>
  <c r="AA15" i="35" s="1"/>
  <c r="Q14" i="35"/>
  <c r="P14" i="35"/>
  <c r="O14" i="35"/>
  <c r="N14" i="35"/>
  <c r="M14" i="35"/>
  <c r="L14" i="35"/>
  <c r="K14" i="35"/>
  <c r="J14" i="35"/>
  <c r="I14" i="35"/>
  <c r="H14" i="35"/>
  <c r="AH14" i="35" s="1"/>
  <c r="G14" i="35"/>
  <c r="AG14" i="35" s="1"/>
  <c r="F14" i="35"/>
  <c r="AF14" i="35" s="1"/>
  <c r="E14" i="35"/>
  <c r="AE14" i="35" s="1"/>
  <c r="D14" i="35"/>
  <c r="AD14" i="35" s="1"/>
  <c r="C14" i="35"/>
  <c r="AC14" i="35" s="1"/>
  <c r="B14" i="35"/>
  <c r="AB14" i="35" s="1"/>
  <c r="A14" i="35"/>
  <c r="AA14" i="35" s="1"/>
  <c r="Q13" i="35"/>
  <c r="P13" i="35"/>
  <c r="O13" i="35"/>
  <c r="N13" i="35"/>
  <c r="M13" i="35"/>
  <c r="L13" i="35"/>
  <c r="K13" i="35"/>
  <c r="J13" i="35"/>
  <c r="I13" i="35"/>
  <c r="H13" i="35"/>
  <c r="AH13" i="35" s="1"/>
  <c r="G13" i="35"/>
  <c r="AG13" i="35" s="1"/>
  <c r="F13" i="35"/>
  <c r="AF13" i="35" s="1"/>
  <c r="E13" i="35"/>
  <c r="AE13" i="35" s="1"/>
  <c r="D13" i="35"/>
  <c r="AD13" i="35" s="1"/>
  <c r="C13" i="35"/>
  <c r="AC13" i="35" s="1"/>
  <c r="B13" i="35"/>
  <c r="AB13" i="35" s="1"/>
  <c r="A13" i="35"/>
  <c r="AA13" i="35" s="1"/>
  <c r="Q12" i="35"/>
  <c r="P12" i="35"/>
  <c r="O12" i="35"/>
  <c r="N12" i="35"/>
  <c r="M12" i="35"/>
  <c r="L12" i="35"/>
  <c r="K12" i="35"/>
  <c r="J12" i="35"/>
  <c r="I12" i="35"/>
  <c r="H12" i="35"/>
  <c r="AH12" i="35" s="1"/>
  <c r="G12" i="35"/>
  <c r="AG12" i="35" s="1"/>
  <c r="F12" i="35"/>
  <c r="AF12" i="35" s="1"/>
  <c r="E12" i="35"/>
  <c r="AE12" i="35" s="1"/>
  <c r="D12" i="35"/>
  <c r="AD12" i="35" s="1"/>
  <c r="C12" i="35"/>
  <c r="AC12" i="35" s="1"/>
  <c r="B12" i="35"/>
  <c r="AB12" i="35" s="1"/>
  <c r="A12" i="35"/>
  <c r="AA12" i="35" s="1"/>
  <c r="AA11" i="35"/>
  <c r="Q11" i="35"/>
  <c r="P11" i="35"/>
  <c r="O11" i="35"/>
  <c r="N11" i="35"/>
  <c r="M11" i="35"/>
  <c r="L11" i="35"/>
  <c r="K11" i="35"/>
  <c r="J11" i="35"/>
  <c r="I11" i="35"/>
  <c r="H11" i="35"/>
  <c r="AH11" i="35" s="1"/>
  <c r="G11" i="35"/>
  <c r="AG11" i="35" s="1"/>
  <c r="F11" i="35"/>
  <c r="AF11" i="35" s="1"/>
  <c r="E11" i="35"/>
  <c r="AE11" i="35" s="1"/>
  <c r="D11" i="35"/>
  <c r="AD11" i="35" s="1"/>
  <c r="C11" i="35"/>
  <c r="AC11" i="35" s="1"/>
  <c r="B11" i="35"/>
  <c r="AB11" i="35" s="1"/>
  <c r="A11" i="35"/>
  <c r="Q10" i="35"/>
  <c r="P10" i="35"/>
  <c r="O10" i="35"/>
  <c r="N10" i="35"/>
  <c r="M10" i="35"/>
  <c r="L10" i="35"/>
  <c r="K10" i="35"/>
  <c r="J10" i="35"/>
  <c r="I10" i="35"/>
  <c r="H10" i="35"/>
  <c r="AH10" i="35" s="1"/>
  <c r="G10" i="35"/>
  <c r="AG10" i="35" s="1"/>
  <c r="F10" i="35"/>
  <c r="AF10" i="35" s="1"/>
  <c r="E10" i="35"/>
  <c r="AE10" i="35" s="1"/>
  <c r="D10" i="35"/>
  <c r="AD10" i="35" s="1"/>
  <c r="C10" i="35"/>
  <c r="AC10" i="35" s="1"/>
  <c r="B10" i="35"/>
  <c r="AB10" i="35" s="1"/>
  <c r="A10" i="35"/>
  <c r="AA10" i="35" s="1"/>
  <c r="Q9" i="35"/>
  <c r="P9" i="35"/>
  <c r="O9" i="35"/>
  <c r="N9" i="35"/>
  <c r="M9" i="35"/>
  <c r="L9" i="35"/>
  <c r="K9" i="35"/>
  <c r="J9" i="35"/>
  <c r="I9" i="35"/>
  <c r="H9" i="35"/>
  <c r="AH9" i="35" s="1"/>
  <c r="G9" i="35"/>
  <c r="AG9" i="35" s="1"/>
  <c r="F9" i="35"/>
  <c r="AF9" i="35" s="1"/>
  <c r="E9" i="35"/>
  <c r="AE9" i="35" s="1"/>
  <c r="D9" i="35"/>
  <c r="AD9" i="35" s="1"/>
  <c r="C9" i="35"/>
  <c r="AC9" i="35" s="1"/>
  <c r="B9" i="35"/>
  <c r="AB9" i="35" s="1"/>
  <c r="A9" i="35"/>
  <c r="AA9" i="35" s="1"/>
  <c r="Q8" i="35"/>
  <c r="P8" i="35"/>
  <c r="O8" i="35"/>
  <c r="N8" i="35"/>
  <c r="M8" i="35"/>
  <c r="L8" i="35"/>
  <c r="K8" i="35"/>
  <c r="J8" i="35"/>
  <c r="I8" i="35"/>
  <c r="H8" i="35"/>
  <c r="AH8" i="35" s="1"/>
  <c r="G8" i="35"/>
  <c r="AG8" i="35" s="1"/>
  <c r="F8" i="35"/>
  <c r="AF8" i="35" s="1"/>
  <c r="E8" i="35"/>
  <c r="AE8" i="35" s="1"/>
  <c r="D8" i="35"/>
  <c r="AD8" i="35" s="1"/>
  <c r="C8" i="35"/>
  <c r="AC8" i="35" s="1"/>
  <c r="B8" i="35"/>
  <c r="AB8" i="35" s="1"/>
  <c r="A8" i="35"/>
  <c r="AA8" i="35" s="1"/>
  <c r="Q7" i="35"/>
  <c r="P7" i="35"/>
  <c r="O7" i="35"/>
  <c r="N7" i="35"/>
  <c r="M7" i="35"/>
  <c r="L7" i="35"/>
  <c r="K7" i="35"/>
  <c r="J7" i="35"/>
  <c r="I7" i="35"/>
  <c r="H7" i="35"/>
  <c r="AH7" i="35" s="1"/>
  <c r="G7" i="35"/>
  <c r="AG7" i="35" s="1"/>
  <c r="F7" i="35"/>
  <c r="AF7" i="35" s="1"/>
  <c r="E7" i="35"/>
  <c r="AE7" i="35" s="1"/>
  <c r="D7" i="35"/>
  <c r="AD7" i="35" s="1"/>
  <c r="C7" i="35"/>
  <c r="AC7" i="35" s="1"/>
  <c r="B7" i="35"/>
  <c r="AB7" i="35" s="1"/>
  <c r="A7" i="35"/>
  <c r="AA7" i="35" s="1"/>
  <c r="Q6" i="35"/>
  <c r="P6" i="35"/>
  <c r="O6" i="35"/>
  <c r="K6" i="35"/>
  <c r="J6" i="35"/>
  <c r="I6" i="35"/>
  <c r="H6" i="35"/>
  <c r="AH6" i="35" s="1"/>
  <c r="G6" i="35"/>
  <c r="AG6" i="35" s="1"/>
  <c r="F6" i="35"/>
  <c r="AF6" i="35" s="1"/>
  <c r="E6" i="35"/>
  <c r="AE6" i="35" s="1"/>
  <c r="D6" i="35"/>
  <c r="AD6" i="35" s="1"/>
  <c r="C6" i="35"/>
  <c r="AC6" i="35" s="1"/>
  <c r="B6" i="35"/>
  <c r="AB6" i="35" s="1"/>
  <c r="A6" i="35"/>
  <c r="AA6" i="35" s="1"/>
  <c r="Q5" i="35"/>
  <c r="P5" i="35"/>
  <c r="O5" i="35"/>
  <c r="N5" i="35"/>
  <c r="M5" i="35"/>
  <c r="L5" i="35"/>
  <c r="K5" i="35"/>
  <c r="J5" i="35"/>
  <c r="I5" i="35"/>
  <c r="H5" i="35"/>
  <c r="AH5" i="35" s="1"/>
  <c r="G5" i="35"/>
  <c r="AG5" i="35" s="1"/>
  <c r="F5" i="35"/>
  <c r="AF5" i="35" s="1"/>
  <c r="E5" i="35"/>
  <c r="AE5" i="35" s="1"/>
  <c r="D5" i="35"/>
  <c r="AD5" i="35" s="1"/>
  <c r="C5" i="35"/>
  <c r="AC5" i="35" s="1"/>
  <c r="B5" i="35"/>
  <c r="AB5" i="35" s="1"/>
  <c r="A5" i="35"/>
  <c r="AA5" i="35" s="1"/>
  <c r="Q4" i="35"/>
  <c r="P4" i="35"/>
  <c r="O4" i="35"/>
  <c r="N4" i="35"/>
  <c r="M4" i="35"/>
  <c r="L4" i="35"/>
  <c r="K4" i="35"/>
  <c r="J4" i="35"/>
  <c r="I4" i="35"/>
  <c r="H4" i="35"/>
  <c r="AH4" i="35" s="1"/>
  <c r="G4" i="35"/>
  <c r="AG4" i="35" s="1"/>
  <c r="F4" i="35"/>
  <c r="AF4" i="35" s="1"/>
  <c r="E4" i="35"/>
  <c r="AE4" i="35" s="1"/>
  <c r="D4" i="35"/>
  <c r="AD4" i="35" s="1"/>
  <c r="C4" i="35"/>
  <c r="AC4" i="35" s="1"/>
  <c r="B4" i="35"/>
  <c r="AB4" i="35" s="1"/>
  <c r="A4" i="35"/>
  <c r="AA4" i="35" s="1"/>
  <c r="Q3" i="35"/>
  <c r="P3" i="35"/>
  <c r="O3" i="35"/>
  <c r="N3" i="35"/>
  <c r="M3" i="35"/>
  <c r="L3" i="35"/>
  <c r="K3" i="35"/>
  <c r="J3" i="35"/>
  <c r="I3" i="35"/>
  <c r="H3" i="35"/>
  <c r="AH3" i="35" s="1"/>
  <c r="G3" i="35"/>
  <c r="AG3" i="35" s="1"/>
  <c r="F3" i="35"/>
  <c r="AF3" i="35" s="1"/>
  <c r="E3" i="35"/>
  <c r="AE3" i="35" s="1"/>
  <c r="D3" i="35"/>
  <c r="AD3" i="35" s="1"/>
  <c r="C3" i="35"/>
  <c r="AC3" i="35" s="1"/>
  <c r="B3" i="35"/>
  <c r="AB3" i="35" s="1"/>
  <c r="A3" i="35"/>
  <c r="AA3" i="35" s="1"/>
  <c r="AM4" i="35" l="1" a="1"/>
  <c r="AM4" i="35" s="1"/>
  <c r="AN4" i="35" a="1"/>
  <c r="AN4" i="35" s="1"/>
  <c r="AO4" i="35" a="1"/>
  <c r="AO4" i="35" s="1"/>
  <c r="AR4" i="35" a="1"/>
  <c r="AR4" i="35" s="1"/>
  <c r="AL4" i="35" a="1"/>
  <c r="AL4" i="35" s="1"/>
  <c r="AS4" i="35" a="1"/>
  <c r="AS4" i="35" s="1"/>
  <c r="AK17" i="35"/>
  <c r="AQ4" i="35" a="1"/>
  <c r="AQ4" i="35" s="1"/>
  <c r="AP4" i="35" a="1"/>
  <c r="AP4" i="35" s="1"/>
  <c r="AK12" i="35"/>
  <c r="AK8" i="35"/>
  <c r="AI11" i="35"/>
  <c r="AJ16" i="35"/>
  <c r="AK6" i="35"/>
  <c r="AI8" i="35"/>
  <c r="AJ12" i="35"/>
  <c r="AI15" i="35"/>
  <c r="AK4" i="35"/>
  <c r="AI14" i="35"/>
  <c r="AI17" i="35"/>
  <c r="AK15" i="35"/>
  <c r="AJ15" i="35"/>
  <c r="AJ11" i="35"/>
  <c r="AK11" i="35"/>
  <c r="AI10" i="35"/>
  <c r="AJ14" i="35"/>
  <c r="AK14" i="35"/>
  <c r="AI16" i="35"/>
  <c r="AJ9" i="35"/>
  <c r="AI4" i="35"/>
  <c r="AK10" i="35"/>
  <c r="AI13" i="35"/>
  <c r="AJ17" i="35"/>
  <c r="AI7" i="35"/>
  <c r="AJ7" i="35"/>
  <c r="AK7" i="35"/>
  <c r="AK5" i="35"/>
  <c r="AJ4" i="35"/>
  <c r="AJ3" i="35"/>
  <c r="AI5" i="35"/>
  <c r="AI12" i="35"/>
  <c r="AI9" i="35"/>
  <c r="AK3" i="35"/>
  <c r="AI6" i="35"/>
  <c r="AK13" i="35"/>
  <c r="AJ6" i="35"/>
  <c r="AJ10" i="35"/>
  <c r="AI3" i="35"/>
  <c r="AK9" i="35"/>
  <c r="AK16" i="35"/>
  <c r="AJ5" i="35"/>
  <c r="AJ13" i="35"/>
  <c r="AC17" i="12"/>
  <c r="AB17" i="12"/>
  <c r="AA17" i="12"/>
  <c r="Z17" i="12"/>
  <c r="Y17" i="12"/>
  <c r="X17" i="12"/>
  <c r="AC16" i="12"/>
  <c r="AB16" i="12"/>
  <c r="AA16" i="12"/>
  <c r="Z16" i="12"/>
  <c r="Y16" i="12"/>
  <c r="X16" i="12"/>
  <c r="AC15" i="12"/>
  <c r="AB15" i="12"/>
  <c r="AA15" i="12"/>
  <c r="Z15" i="12"/>
  <c r="Y15" i="12"/>
  <c r="X15" i="12"/>
  <c r="AC14" i="12"/>
  <c r="AB14" i="12"/>
  <c r="AA14" i="12"/>
  <c r="Z14" i="12"/>
  <c r="Y14" i="12"/>
  <c r="X14" i="12"/>
  <c r="AC13" i="12"/>
  <c r="AB13" i="12"/>
  <c r="AA13" i="12"/>
  <c r="Z13" i="12"/>
  <c r="Y13" i="12"/>
  <c r="X13" i="12"/>
  <c r="AC12" i="12"/>
  <c r="AB12" i="12"/>
  <c r="AA12" i="12"/>
  <c r="Z12" i="12"/>
  <c r="Y12" i="12"/>
  <c r="X12" i="12"/>
  <c r="AC11" i="12"/>
  <c r="AB11" i="12"/>
  <c r="AA11" i="12"/>
  <c r="Z11" i="12"/>
  <c r="Y11" i="12"/>
  <c r="X11" i="12"/>
  <c r="AC10" i="12"/>
  <c r="AB10" i="12"/>
  <c r="AA10" i="12"/>
  <c r="Z10" i="12"/>
  <c r="Y10" i="12"/>
  <c r="X10" i="12"/>
  <c r="AC9" i="12"/>
  <c r="AB9" i="12"/>
  <c r="AA9" i="12"/>
  <c r="Z9" i="12"/>
  <c r="Y9" i="12"/>
  <c r="X9" i="12"/>
  <c r="AC8" i="12"/>
  <c r="AB8" i="12"/>
  <c r="AA8" i="12"/>
  <c r="Z8" i="12"/>
  <c r="Y8" i="12"/>
  <c r="X8" i="12"/>
  <c r="AC7" i="12"/>
  <c r="AB7" i="12"/>
  <c r="AA7" i="12"/>
  <c r="Z7" i="12"/>
  <c r="Y7" i="12"/>
  <c r="X7" i="12"/>
  <c r="AC6" i="12"/>
  <c r="AB6" i="12"/>
  <c r="AA6" i="12"/>
  <c r="Z6" i="12"/>
  <c r="Y6" i="12"/>
  <c r="X6" i="12"/>
  <c r="AC5" i="12"/>
  <c r="AB5" i="12"/>
  <c r="AA5" i="12"/>
  <c r="Z5" i="12"/>
  <c r="Y5" i="12"/>
  <c r="X5" i="12"/>
  <c r="AC4" i="12"/>
  <c r="AB4" i="12"/>
  <c r="AA4" i="12"/>
  <c r="Z4" i="12"/>
  <c r="Y4" i="12"/>
  <c r="X4" i="12"/>
  <c r="AC3" i="12"/>
  <c r="AB3" i="12"/>
  <c r="AA3" i="12"/>
  <c r="Z3" i="12"/>
  <c r="Y3" i="12"/>
  <c r="X3" i="12"/>
  <c r="AN7" i="35" l="1"/>
  <c r="AL7" i="35"/>
  <c r="AM7" i="35"/>
  <c r="H4" i="12"/>
  <c r="H5" i="12"/>
  <c r="H6" i="12"/>
  <c r="H6" i="19" s="1"/>
  <c r="H7" i="12"/>
  <c r="H7" i="19" s="1"/>
  <c r="H8" i="12"/>
  <c r="H8" i="19" s="1"/>
  <c r="H9" i="12"/>
  <c r="H9" i="19" s="1"/>
  <c r="H10" i="12"/>
  <c r="H11" i="12"/>
  <c r="H12" i="12"/>
  <c r="H12" i="19" s="1"/>
  <c r="H13" i="12"/>
  <c r="H13" i="19" s="1"/>
  <c r="H14" i="12"/>
  <c r="H14" i="19" s="1"/>
  <c r="H15" i="12"/>
  <c r="H15" i="19" s="1"/>
  <c r="H16" i="12"/>
  <c r="H17" i="12"/>
  <c r="D4" i="12"/>
  <c r="D4" i="19" s="1"/>
  <c r="D5" i="12"/>
  <c r="D6" i="12"/>
  <c r="D6" i="19" s="1"/>
  <c r="D7" i="12"/>
  <c r="D7" i="19" s="1"/>
  <c r="D8" i="12"/>
  <c r="D8" i="19" s="1"/>
  <c r="D9" i="12"/>
  <c r="D9" i="19" s="1"/>
  <c r="D10" i="12"/>
  <c r="D10" i="19" s="1"/>
  <c r="D11" i="12"/>
  <c r="D12" i="12"/>
  <c r="D13" i="12"/>
  <c r="D13" i="19" s="1"/>
  <c r="D14" i="12"/>
  <c r="D14" i="19" s="1"/>
  <c r="D15" i="12"/>
  <c r="D15" i="19" s="1"/>
  <c r="D16" i="12"/>
  <c r="D16" i="19" s="1"/>
  <c r="D17" i="12"/>
  <c r="H3" i="12"/>
  <c r="H3" i="19" s="1"/>
  <c r="D3" i="12"/>
  <c r="D3" i="19" s="1"/>
  <c r="A3" i="19"/>
  <c r="B3" i="19"/>
  <c r="C3" i="19"/>
  <c r="E3" i="19"/>
  <c r="F3" i="19"/>
  <c r="G3" i="19"/>
  <c r="I3" i="19"/>
  <c r="J3" i="19"/>
  <c r="K3" i="19"/>
  <c r="L3" i="19"/>
  <c r="M3" i="19"/>
  <c r="N3" i="19"/>
  <c r="O3" i="19"/>
  <c r="A4" i="19"/>
  <c r="B4" i="19"/>
  <c r="C4" i="19"/>
  <c r="E4" i="19"/>
  <c r="F4" i="19"/>
  <c r="G4" i="19"/>
  <c r="H4" i="19"/>
  <c r="I4" i="19"/>
  <c r="J4" i="19"/>
  <c r="K4" i="19"/>
  <c r="L4" i="19"/>
  <c r="M4" i="19"/>
  <c r="N4" i="19"/>
  <c r="O4" i="19"/>
  <c r="A5" i="19"/>
  <c r="B5" i="19"/>
  <c r="C5" i="19"/>
  <c r="D5" i="19"/>
  <c r="E5" i="19"/>
  <c r="F5" i="19"/>
  <c r="G5" i="19"/>
  <c r="H5" i="19"/>
  <c r="I5" i="19"/>
  <c r="J5" i="19"/>
  <c r="K5" i="19"/>
  <c r="L5" i="19"/>
  <c r="M5" i="19"/>
  <c r="N5" i="19"/>
  <c r="O5" i="19"/>
  <c r="A6" i="19"/>
  <c r="B6" i="19"/>
  <c r="C6" i="19"/>
  <c r="E6" i="19"/>
  <c r="F6" i="19"/>
  <c r="G6" i="19"/>
  <c r="I6" i="19"/>
  <c r="J6" i="19"/>
  <c r="K6" i="19"/>
  <c r="L6" i="19"/>
  <c r="M6" i="19"/>
  <c r="N6" i="19"/>
  <c r="O6" i="19"/>
  <c r="A7" i="19"/>
  <c r="B7" i="19"/>
  <c r="C7" i="19"/>
  <c r="E7" i="19"/>
  <c r="F7" i="19"/>
  <c r="G7" i="19"/>
  <c r="I7" i="19"/>
  <c r="J7" i="19"/>
  <c r="K7" i="19"/>
  <c r="L7" i="19"/>
  <c r="M7" i="19"/>
  <c r="N7" i="19"/>
  <c r="O7" i="19"/>
  <c r="A8" i="19"/>
  <c r="B8" i="19"/>
  <c r="C8" i="19"/>
  <c r="E8" i="19"/>
  <c r="F8" i="19"/>
  <c r="G8" i="19"/>
  <c r="I8" i="19"/>
  <c r="J8" i="19"/>
  <c r="K8" i="19"/>
  <c r="L8" i="19"/>
  <c r="M8" i="19"/>
  <c r="N8" i="19"/>
  <c r="O8" i="19"/>
  <c r="A9" i="19"/>
  <c r="B9" i="19"/>
  <c r="C9" i="19"/>
  <c r="E9" i="19"/>
  <c r="F9" i="19"/>
  <c r="G9" i="19"/>
  <c r="I9" i="19"/>
  <c r="J9" i="19"/>
  <c r="K9" i="19"/>
  <c r="L9" i="19"/>
  <c r="M9" i="19"/>
  <c r="N9" i="19"/>
  <c r="O9" i="19"/>
  <c r="A10" i="19"/>
  <c r="B10" i="19"/>
  <c r="C10" i="19"/>
  <c r="E10" i="19"/>
  <c r="F10" i="19"/>
  <c r="G10" i="19"/>
  <c r="H10" i="19"/>
  <c r="I10" i="19"/>
  <c r="J10" i="19"/>
  <c r="K10" i="19"/>
  <c r="L10" i="19"/>
  <c r="M10" i="19"/>
  <c r="N10" i="19"/>
  <c r="O10" i="19"/>
  <c r="A11" i="19"/>
  <c r="B11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A12" i="19"/>
  <c r="B12" i="19"/>
  <c r="C12" i="19"/>
  <c r="D12" i="19"/>
  <c r="E12" i="19"/>
  <c r="F12" i="19"/>
  <c r="G12" i="19"/>
  <c r="I12" i="19"/>
  <c r="J12" i="19"/>
  <c r="K12" i="19"/>
  <c r="L12" i="19"/>
  <c r="M12" i="19"/>
  <c r="N12" i="19"/>
  <c r="O12" i="19"/>
  <c r="A13" i="19"/>
  <c r="B13" i="19"/>
  <c r="C13" i="19"/>
  <c r="E13" i="19"/>
  <c r="F13" i="19"/>
  <c r="G13" i="19"/>
  <c r="I13" i="19"/>
  <c r="J13" i="19"/>
  <c r="K13" i="19"/>
  <c r="L13" i="19"/>
  <c r="M13" i="19"/>
  <c r="N13" i="19"/>
  <c r="O13" i="19"/>
  <c r="A14" i="19"/>
  <c r="B14" i="19"/>
  <c r="C14" i="19"/>
  <c r="E14" i="19"/>
  <c r="F14" i="19"/>
  <c r="G14" i="19"/>
  <c r="I14" i="19"/>
  <c r="J14" i="19"/>
  <c r="K14" i="19"/>
  <c r="L14" i="19"/>
  <c r="M14" i="19"/>
  <c r="N14" i="19"/>
  <c r="O14" i="19"/>
  <c r="A15" i="19"/>
  <c r="B15" i="19"/>
  <c r="C15" i="19"/>
  <c r="E15" i="19"/>
  <c r="F15" i="19"/>
  <c r="G15" i="19"/>
  <c r="I15" i="19"/>
  <c r="J15" i="19"/>
  <c r="K15" i="19"/>
  <c r="L15" i="19"/>
  <c r="M15" i="19"/>
  <c r="N15" i="19"/>
  <c r="O15" i="19"/>
  <c r="A16" i="19"/>
  <c r="B16" i="19"/>
  <c r="C16" i="19"/>
  <c r="E16" i="19"/>
  <c r="F16" i="19"/>
  <c r="G16" i="19"/>
  <c r="H16" i="19"/>
  <c r="I16" i="19"/>
  <c r="J16" i="19"/>
  <c r="K16" i="19"/>
  <c r="L16" i="19"/>
  <c r="M16" i="19"/>
  <c r="N16" i="19"/>
  <c r="O16" i="19"/>
  <c r="A17" i="19"/>
  <c r="B17" i="19"/>
  <c r="C17" i="19"/>
  <c r="D17" i="19"/>
  <c r="E17" i="19"/>
  <c r="F17" i="19"/>
  <c r="G17" i="19"/>
  <c r="H17" i="19"/>
  <c r="I17" i="19"/>
  <c r="J17" i="19"/>
  <c r="K17" i="19"/>
  <c r="L17" i="19"/>
  <c r="M17" i="19"/>
  <c r="N17" i="19"/>
  <c r="O17" i="19"/>
  <c r="P3" i="19"/>
  <c r="Q3" i="19"/>
  <c r="P4" i="19"/>
  <c r="Q4" i="19"/>
  <c r="P5" i="19"/>
  <c r="Q5" i="19"/>
  <c r="P6" i="19"/>
  <c r="Q6" i="19"/>
  <c r="P7" i="19"/>
  <c r="Q7" i="19"/>
  <c r="P8" i="19"/>
  <c r="Q8" i="19"/>
  <c r="P9" i="19"/>
  <c r="Q9" i="19"/>
  <c r="P10" i="19"/>
  <c r="Q10" i="19"/>
  <c r="P11" i="19"/>
  <c r="Q11" i="19"/>
  <c r="P12" i="19"/>
  <c r="Q12" i="19"/>
  <c r="P13" i="19"/>
  <c r="Q13" i="19"/>
  <c r="P14" i="19"/>
  <c r="Q14" i="19"/>
  <c r="P15" i="19"/>
  <c r="Q15" i="19"/>
  <c r="P16" i="19"/>
  <c r="Q16" i="19"/>
  <c r="P17" i="19"/>
  <c r="Q17" i="19"/>
  <c r="AH17" i="19" l="1"/>
  <c r="AG17" i="19"/>
  <c r="AF17" i="19"/>
  <c r="AE17" i="19"/>
  <c r="AD17" i="19"/>
  <c r="AC17" i="19"/>
  <c r="AB17" i="19"/>
  <c r="AA17" i="19"/>
  <c r="AH16" i="19"/>
  <c r="AG16" i="19"/>
  <c r="AF16" i="19"/>
  <c r="AE16" i="19"/>
  <c r="AD16" i="19"/>
  <c r="AC16" i="19"/>
  <c r="AB16" i="19"/>
  <c r="AH15" i="19"/>
  <c r="AG15" i="19"/>
  <c r="AF15" i="19"/>
  <c r="AE15" i="19"/>
  <c r="AD15" i="19"/>
  <c r="AC15" i="19"/>
  <c r="AB15" i="19"/>
  <c r="AH14" i="19"/>
  <c r="AG14" i="19"/>
  <c r="AF14" i="19"/>
  <c r="AE14" i="19"/>
  <c r="AD14" i="19"/>
  <c r="AC14" i="19"/>
  <c r="AB14" i="19"/>
  <c r="AH13" i="19"/>
  <c r="AG13" i="19"/>
  <c r="AF13" i="19"/>
  <c r="AE13" i="19"/>
  <c r="AD13" i="19"/>
  <c r="AC13" i="19"/>
  <c r="AB13" i="19"/>
  <c r="AH12" i="19"/>
  <c r="AG12" i="19"/>
  <c r="AF12" i="19"/>
  <c r="AE12" i="19"/>
  <c r="AD12" i="19"/>
  <c r="AC12" i="19"/>
  <c r="AB12" i="19"/>
  <c r="AH11" i="19"/>
  <c r="AG11" i="19"/>
  <c r="AF11" i="19"/>
  <c r="AE11" i="19"/>
  <c r="AD11" i="19"/>
  <c r="AC11" i="19"/>
  <c r="AB11" i="19"/>
  <c r="AH10" i="19"/>
  <c r="AG10" i="19"/>
  <c r="AF10" i="19"/>
  <c r="AE10" i="19"/>
  <c r="AD10" i="19"/>
  <c r="AC10" i="19"/>
  <c r="AB10" i="19"/>
  <c r="AH9" i="19"/>
  <c r="AG9" i="19"/>
  <c r="AF9" i="19"/>
  <c r="AE9" i="19"/>
  <c r="AD9" i="19"/>
  <c r="AC9" i="19"/>
  <c r="AB9" i="19"/>
  <c r="AH8" i="19"/>
  <c r="AG8" i="19"/>
  <c r="AF8" i="19"/>
  <c r="AE8" i="19"/>
  <c r="AD8" i="19"/>
  <c r="AC8" i="19"/>
  <c r="AB8" i="19"/>
  <c r="AH7" i="19"/>
  <c r="AG7" i="19"/>
  <c r="AF7" i="19"/>
  <c r="AE7" i="19"/>
  <c r="AD7" i="19"/>
  <c r="AC7" i="19"/>
  <c r="AB7" i="19"/>
  <c r="AH6" i="19"/>
  <c r="AG6" i="19"/>
  <c r="AF6" i="19"/>
  <c r="AE6" i="19"/>
  <c r="AD6" i="19"/>
  <c r="AC6" i="19"/>
  <c r="AB6" i="19"/>
  <c r="AH5" i="19"/>
  <c r="AG5" i="19"/>
  <c r="AF5" i="19"/>
  <c r="AE5" i="19"/>
  <c r="AD5" i="19"/>
  <c r="AC5" i="19"/>
  <c r="AB5" i="19"/>
  <c r="AH4" i="19"/>
  <c r="AG4" i="19"/>
  <c r="AF4" i="19"/>
  <c r="AE4" i="19"/>
  <c r="AD4" i="19"/>
  <c r="AC4" i="19"/>
  <c r="AB4" i="19"/>
  <c r="AH3" i="19"/>
  <c r="AG3" i="19"/>
  <c r="AF3" i="19"/>
  <c r="AE3" i="19"/>
  <c r="AD3" i="19"/>
  <c r="AC3" i="19"/>
  <c r="AB3" i="19"/>
  <c r="AN4" i="19" l="1" a="1"/>
  <c r="AN4" i="19" s="1"/>
  <c r="AQ4" i="19" a="1"/>
  <c r="AQ4" i="19" s="1"/>
  <c r="AR4" i="19" a="1"/>
  <c r="AR4" i="19" s="1"/>
  <c r="AP4" i="19" a="1"/>
  <c r="AP4" i="19" s="1"/>
  <c r="AS4" i="19" a="1"/>
  <c r="AS4" i="19" s="1"/>
  <c r="AM4" i="19" a="1"/>
  <c r="AM4" i="19" s="1"/>
  <c r="AO4" i="19" a="1"/>
  <c r="AO4" i="19" s="1"/>
  <c r="AA4" i="19"/>
  <c r="AA11" i="19"/>
  <c r="AI11" i="19" s="1"/>
  <c r="AA9" i="19"/>
  <c r="AI9" i="19" s="1"/>
  <c r="AA16" i="19"/>
  <c r="AI16" i="19" s="1"/>
  <c r="AA5" i="19"/>
  <c r="AI5" i="19" s="1"/>
  <c r="AA12" i="19"/>
  <c r="AI12" i="19" s="1"/>
  <c r="AA6" i="19"/>
  <c r="AI6" i="19" s="1"/>
  <c r="AA7" i="19"/>
  <c r="AI7" i="19" s="1"/>
  <c r="AA14" i="19"/>
  <c r="AI14" i="19" s="1"/>
  <c r="AA3" i="19"/>
  <c r="AA10" i="19"/>
  <c r="AI10" i="19" s="1"/>
  <c r="AA8" i="19"/>
  <c r="AI8" i="19" s="1"/>
  <c r="AA15" i="19"/>
  <c r="AI15" i="19" s="1"/>
  <c r="AA13" i="19"/>
  <c r="AI13" i="19" s="1"/>
  <c r="AJ10" i="19"/>
  <c r="AK16" i="19"/>
  <c r="AK10" i="19"/>
  <c r="AJ3" i="19"/>
  <c r="AI17" i="19"/>
  <c r="AK12" i="19"/>
  <c r="AJ7" i="19"/>
  <c r="AK15" i="19"/>
  <c r="AJ5" i="19"/>
  <c r="AK7" i="19"/>
  <c r="AK5" i="19"/>
  <c r="AK9" i="19"/>
  <c r="AJ16" i="19"/>
  <c r="AK13" i="19"/>
  <c r="AK14" i="19"/>
  <c r="AK6" i="19"/>
  <c r="AK17" i="19"/>
  <c r="AJ11" i="19"/>
  <c r="AJ15" i="19"/>
  <c r="AJ4" i="19"/>
  <c r="AK8" i="19"/>
  <c r="AK4" i="19"/>
  <c r="AJ14" i="19"/>
  <c r="AK11" i="19"/>
  <c r="AJ13" i="19"/>
  <c r="AJ9" i="19"/>
  <c r="AJ17" i="19"/>
  <c r="AJ6" i="19"/>
  <c r="AJ8" i="19"/>
  <c r="AJ12" i="19"/>
  <c r="AK3" i="19"/>
  <c r="AL4" i="19" l="1" a="1"/>
  <c r="AL4" i="19" s="1"/>
  <c r="AL7" i="19" s="1"/>
  <c r="AI3" i="19"/>
  <c r="AI4" i="19"/>
  <c r="AM7" i="19"/>
  <c r="AN7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tc={C1F44FDA-34CB-4C18-8006-ECB0928984DA}</author>
    <author>tc={C8156F83-5C74-4091-8F8C-B8C61A3C8ED0}</author>
  </authors>
  <commentList>
    <comment ref="M21" authorId="0" shapeId="0" xr:uid="{C1F44FDA-34CB-4C18-8006-ECB0928984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Noah Jones:
effective force being applied has gone down so moment goes down. Model assumes same force.</t>
      </text>
    </comment>
    <comment ref="O21" authorId="1" shapeId="0" xr:uid="{C8156F83-5C74-4091-8F8C-B8C61A3C8E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Noah Jones:
tendon curves robot so applied force is directed slightly up decreasing axial force. Model assumes force stays perpendicular and so expects axial force to increase.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<sst xmlns="http://schemas.openxmlformats.org/spreadsheetml/2006/main" count="312" uniqueCount="47">
  <si>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</si>
  <si>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</si>
  <si>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</si>
  <si>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</si>
  <si>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</si>
  <si>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</si>
  <si>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</si>
  <si>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</si>
  <si>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</si>
  <si>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</si>
  <si>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</si>
  <si>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</si>
  <si>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</si>
  <si>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</si>
  <si>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</si>
  <si>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</si>
  <si>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</si>
  <si>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</si>
  <si>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</si>
  <si>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</si>
  <si>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</si>
  <si>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</si>
  <si>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</si>
  <si>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</si>
  <si>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</si>
  <si>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</si>
  <si>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</si>
  <si>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</si>
  <si>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</si>
  <si>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</si>
  <si>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</si>
  <si>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</si>
  <si>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</si>
  <si>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</si>
  <si>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</si>
  <si>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</si>
  <si>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</si>
  <si>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</si>
  <si>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;</t>
  </si>
  <si>
    <t>[</t>
  </si>
  <si>
    <t>]</t>
  </si>
  <si>
    <t>Perturbation</t>
  </si>
  <si>
    <t>Supporting Measurments w Perturbation</t>
  </si>
  <si>
    <t>Trial #</t>
  </si>
  <si>
    <t>{</t>
  </si>
  <si>
    <t>}</t>
  </si>
  <si>
    <t>2.0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</si>
</sst>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  <fill>
      <patternFill patternType="solid">
        <fgColor rgb="FFFFEB9C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9" borderId="0" applyNumberFormat="0" applyBorder="0" applyAlignment="0" applyProtection="0"/>
    <xf numFmtId="0" fontId="5" fillId="11" borderId="0" applyNumberFormat="0" applyBorder="0" applyAlignment="0" applyProtection="0"/>
  </cellStyleXfs>
  <cellXfs count="42">
    <xf numFmtId="0" fontId="0" fillId="0" borderId="0" xfId="0"/>
    <xf numFmtId="0" fontId="1" fillId="6" borderId="1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11" fontId="0" fillId="0" borderId="0" xfId="0" applyNumberFormat="1"/>
    <xf numFmtId="164" fontId="4" fillId="8" borderId="1" xfId="0" applyNumberFormat="1" applyFont="1" applyFill="1" applyBorder="1"/>
    <xf numFmtId="164" fontId="2" fillId="9" borderId="1" xfId="1" applyNumberFormat="1" applyBorder="1"/>
    <xf numFmtId="0" fontId="3" fillId="6" borderId="1" xfId="0" applyFont="1" applyFill="1" applyBorder="1"/>
    <xf numFmtId="0" fontId="0" fillId="0" borderId="1" xfId="0" applyBorder="1"/>
    <xf numFmtId="166" fontId="4" fillId="8" borderId="1" xfId="0" applyNumberFormat="1" applyFont="1" applyFill="1" applyBorder="1"/>
    <xf numFmtId="166" fontId="4" fillId="8" borderId="12" xfId="0" applyNumberFormat="1" applyFont="1" applyFill="1" applyBorder="1"/>
    <xf numFmtId="166" fontId="0" fillId="0" borderId="1" xfId="0" applyNumberFormat="1" applyBorder="1"/>
    <xf numFmtId="165" fontId="4" fillId="8" borderId="1" xfId="0" applyNumberFormat="1" applyFont="1" applyFill="1" applyBorder="1"/>
    <xf numFmtId="166" fontId="0" fillId="0" borderId="0" xfId="0" applyNumberFormat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4" fontId="0" fillId="0" borderId="0" xfId="0" applyNumberFormat="1"/>
    <xf numFmtId="1" fontId="4" fillId="8" borderId="1" xfId="0" applyNumberFormat="1" applyFont="1" applyFill="1" applyBorder="1"/>
    <xf numFmtId="11" fontId="4" fillId="8" borderId="1" xfId="0" applyNumberFormat="1" applyFont="1" applyFill="1" applyBorder="1"/>
    <xf numFmtId="11" fontId="4" fillId="0" borderId="1" xfId="0" applyNumberFormat="1" applyFont="1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2" fillId="9" borderId="0" xfId="1"/>
    <xf numFmtId="0" fontId="5" fillId="11" borderId="0" xfId="2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oah Jones" id="{492DE236-FD31-41B4-AD47-A7E1225D5C01}" userId="S::Noah@familiajones.org::c7736cb5-d3f8-4f6c-bac8-cbab17b7e33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1" dT="2025-10-18T19:30:52.43" personId="{492DE236-FD31-41B4-AD47-A7E1225D5C01}" id="{C1F44FDA-34CB-4C18-8006-ECB0928984DA}">
    <text>Noah Jones:
effective force being applied has gone down so moment goes down. Model assumes same force.</text>
  </threadedComment>
  <threadedComment ref="O21" dT="2025-10-18T19:30:35.42" personId="{492DE236-FD31-41B4-AD47-A7E1225D5C01}" id="{C8156F83-5C74-4091-8F8C-B8C61A3C8ED0}">
    <text>Noah Jones:
tendon curves robot so applied force is directed slightly up decreasing axial force. Model assumes force stays perpendicular and so expects axial force to increase.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18"/>
  <sheetViews>
    <sheetView workbookViewId="0">
      <selection activeCell="A11" sqref="A11:XFD11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140625" bestFit="1" customWidth="1"/>
    <col min="20" max="20" width="7.7109375" bestFit="1" customWidth="1"/>
    <col min="21" max="23" width="6.425781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5.75" x14ac:dyDescent="0.25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6</v>
      </c>
      <c r="M1" s="24"/>
      <c r="N1" s="24"/>
      <c r="O1" s="24"/>
      <c r="P1" s="24"/>
      <c r="Q1" s="24"/>
      <c r="R1" s="25" t="s">
        <v>12</v>
      </c>
      <c r="S1" s="26"/>
      <c r="T1" s="26"/>
      <c r="U1" s="26"/>
      <c r="V1" s="26"/>
      <c r="W1" s="26"/>
      <c r="X1" s="27" t="s">
        <v>14</v>
      </c>
      <c r="Y1" s="28"/>
      <c r="Z1" s="28"/>
      <c r="AA1" s="28"/>
      <c r="AB1" s="28"/>
      <c r="AC1" s="29"/>
    </row>
    <row r="2" spans="1:29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s="5" customFormat="1" x14ac:dyDescent="0.25">
      <c r="A3" s="6">
        <v>0.5</v>
      </c>
      <c r="B3" s="6">
        <v>0.12</v>
      </c>
      <c r="C3" s="6">
        <v>1.57</v>
      </c>
      <c r="D3" s="6">
        <f>PI()/2</f>
        <v>1.5707963267948966</v>
      </c>
      <c r="E3" s="6">
        <v>0.3</v>
      </c>
      <c r="F3" s="6">
        <v>0.02</v>
      </c>
      <c r="G3" s="6">
        <v>3.1419999999999999</v>
      </c>
      <c r="H3" s="6">
        <f>PI()/2</f>
        <v>1.5707963267948966</v>
      </c>
      <c r="I3" s="6">
        <v>0.8</v>
      </c>
      <c r="J3" s="6">
        <v>0</v>
      </c>
      <c r="K3" s="6">
        <v>0</v>
      </c>
      <c r="L3" s="5">
        <v>3.8069719448685603E-4</v>
      </c>
      <c r="M3" s="5">
        <v>-9.6344932913780199E-2</v>
      </c>
      <c r="N3" s="5">
        <v>-3.3478599041700398E-2</v>
      </c>
      <c r="O3" s="5">
        <v>-8.2021892070770305E-2</v>
      </c>
      <c r="P3" s="5">
        <v>-0.28456717729568498</v>
      </c>
      <c r="Q3" s="5">
        <v>0.41270199418067899</v>
      </c>
      <c r="R3" s="5">
        <v>8.7917114897432039E-4</v>
      </c>
      <c r="S3" s="5">
        <v>-0.10405197151226589</v>
      </c>
      <c r="T3" s="5">
        <v>-3.2777474567449325E-2</v>
      </c>
      <c r="U3" s="5">
        <v>-8.746634616541886E-2</v>
      </c>
      <c r="V3" s="5">
        <v>-0.30046979213339664</v>
      </c>
      <c r="W3" s="5">
        <v>0.49207696976153875</v>
      </c>
      <c r="X3" s="5">
        <f>L3-R3</f>
        <v>-4.9847395448746436E-4</v>
      </c>
      <c r="Y3" s="5">
        <f t="shared" ref="Y3:AC3" si="0">M3-S3</f>
        <v>7.707038598485691E-3</v>
      </c>
      <c r="Z3" s="5">
        <f t="shared" si="0"/>
        <v>-7.0112447425107333E-4</v>
      </c>
      <c r="AA3" s="5">
        <f t="shared" si="0"/>
        <v>5.4444540946485542E-3</v>
      </c>
      <c r="AB3" s="5">
        <f t="shared" si="0"/>
        <v>1.5902614837711659E-2</v>
      </c>
      <c r="AC3" s="5">
        <f t="shared" si="0"/>
        <v>-7.9374975580859763E-2</v>
      </c>
    </row>
    <row r="4" spans="1:29" s="5" customFormat="1" x14ac:dyDescent="0.25">
      <c r="A4" s="6">
        <v>0.5</v>
      </c>
      <c r="B4" s="6">
        <v>0.12</v>
      </c>
      <c r="C4" s="6">
        <v>1.57</v>
      </c>
      <c r="D4" s="6">
        <f t="shared" ref="D4:D17" si="1">PI()/2</f>
        <v>1.5707963267948966</v>
      </c>
      <c r="E4" s="6">
        <v>0.7</v>
      </c>
      <c r="F4" s="6">
        <v>0.06</v>
      </c>
      <c r="G4" s="6">
        <v>4.7119999999999997</v>
      </c>
      <c r="H4" s="6">
        <f t="shared" ref="H4:H17" si="2">PI()/2</f>
        <v>1.5707963267948966</v>
      </c>
      <c r="I4" s="6">
        <v>0</v>
      </c>
      <c r="J4" s="6">
        <v>0</v>
      </c>
      <c r="K4" s="6">
        <v>0</v>
      </c>
      <c r="L4" s="5">
        <v>-8.1903394311666499E-4</v>
      </c>
      <c r="M4" s="5">
        <v>-5.3245900198817296E-3</v>
      </c>
      <c r="N4" s="5">
        <v>-2.3375959135592001E-3</v>
      </c>
      <c r="O4" s="5">
        <v>-2.4775806814432101E-3</v>
      </c>
      <c r="P4" s="5">
        <v>-3.4357905387878401E-3</v>
      </c>
      <c r="Q4" s="5">
        <v>-0.190968692302704</v>
      </c>
      <c r="R4" s="5">
        <v>-1.3823731304939978E-14</v>
      </c>
      <c r="S4" s="5">
        <v>1.4285633241884629E-4</v>
      </c>
      <c r="T4" s="5">
        <v>4.258433244353693E-5</v>
      </c>
      <c r="U4" s="5">
        <v>-1.3684032100021636E-2</v>
      </c>
      <c r="V4" s="5">
        <v>1.2410346698097643E-4</v>
      </c>
      <c r="W4" s="5">
        <v>-0.20181289013082201</v>
      </c>
      <c r="X4" s="5">
        <f t="shared" ref="X4:X17" si="3">L4-R4</f>
        <v>-8.1903394310284131E-4</v>
      </c>
      <c r="Y4" s="5">
        <f t="shared" ref="Y4:Y17" si="4">M4-S4</f>
        <v>-5.4674463523005758E-3</v>
      </c>
      <c r="Z4" s="5">
        <f t="shared" ref="Z4:Z17" si="5">N4-T4</f>
        <v>-2.3801802460027372E-3</v>
      </c>
      <c r="AA4" s="5">
        <f t="shared" ref="AA4:AA17" si="6">O4-U4</f>
        <v>1.1206451418578425E-2</v>
      </c>
      <c r="AB4" s="5">
        <f t="shared" ref="AB4:AB17" si="7">P4-V4</f>
        <v>-3.5598940057688165E-3</v>
      </c>
      <c r="AC4" s="5">
        <f t="shared" ref="AC4:AC17" si="8">Q4-W4</f>
        <v>1.0844197828118018E-2</v>
      </c>
    </row>
    <row r="5" spans="1:29" s="5" customFormat="1" x14ac:dyDescent="0.25">
      <c r="A5" s="6">
        <v>0.8</v>
      </c>
      <c r="B5" s="6">
        <v>0.18</v>
      </c>
      <c r="C5" s="6">
        <v>1.57</v>
      </c>
      <c r="D5" s="6">
        <f t="shared" si="1"/>
        <v>1.5707963267948966</v>
      </c>
      <c r="E5" s="6">
        <v>0.4</v>
      </c>
      <c r="F5" s="6">
        <v>0.08</v>
      </c>
      <c r="G5" s="6">
        <v>4.7119999999999997</v>
      </c>
      <c r="H5" s="6">
        <f t="shared" si="2"/>
        <v>1.5707963267948966</v>
      </c>
      <c r="I5" s="6">
        <v>0.4</v>
      </c>
      <c r="J5" s="6">
        <v>0</v>
      </c>
      <c r="K5" s="6">
        <v>0</v>
      </c>
      <c r="L5" s="5">
        <v>3.4113688161596699E-4</v>
      </c>
      <c r="M5" s="5">
        <v>-0.14381006360053999</v>
      </c>
      <c r="N5" s="5">
        <v>-3.4647369757294698E-3</v>
      </c>
      <c r="O5" s="5">
        <v>-0.43965020775795</v>
      </c>
      <c r="P5" s="5">
        <v>-3.7686526775360099E-3</v>
      </c>
      <c r="Q5" s="5">
        <v>0.28356426954269398</v>
      </c>
      <c r="R5" s="5">
        <v>1.7927865135725343E-3</v>
      </c>
      <c r="S5" s="5">
        <v>-0.12503456905107735</v>
      </c>
      <c r="T5" s="5">
        <v>-2.4335725114643024E-4</v>
      </c>
      <c r="U5" s="5">
        <v>-0.37350224143121419</v>
      </c>
      <c r="V5" s="5">
        <v>-5.5078117193210633E-3</v>
      </c>
      <c r="W5" s="5">
        <v>0.24571879157572538</v>
      </c>
      <c r="X5" s="5">
        <f t="shared" si="3"/>
        <v>-1.4516496319565673E-3</v>
      </c>
      <c r="Y5" s="5">
        <f t="shared" si="4"/>
        <v>-1.8775494549462646E-2</v>
      </c>
      <c r="Z5" s="5">
        <f t="shared" si="5"/>
        <v>-3.2213797245830397E-3</v>
      </c>
      <c r="AA5" s="5">
        <f t="shared" si="6"/>
        <v>-6.6147966326735808E-2</v>
      </c>
      <c r="AB5" s="5">
        <f t="shared" si="7"/>
        <v>1.7391590417850534E-3</v>
      </c>
      <c r="AC5" s="5">
        <f t="shared" si="8"/>
        <v>3.7845477966968605E-2</v>
      </c>
    </row>
    <row r="6" spans="1:29" s="5" customFormat="1" x14ac:dyDescent="0.25">
      <c r="A6" s="6">
        <v>0.3</v>
      </c>
      <c r="B6" s="6">
        <v>0.2</v>
      </c>
      <c r="C6" s="6">
        <v>1.57</v>
      </c>
      <c r="D6" s="6">
        <f t="shared" si="1"/>
        <v>1.5707963267948966</v>
      </c>
      <c r="E6" s="6">
        <v>0.7</v>
      </c>
      <c r="F6" s="6">
        <v>0.04</v>
      </c>
      <c r="G6" s="6">
        <v>3.1419999999999999</v>
      </c>
      <c r="H6" s="6">
        <f t="shared" si="2"/>
        <v>1.5707963267948966</v>
      </c>
      <c r="I6" s="6">
        <v>0.4</v>
      </c>
      <c r="J6" s="6">
        <v>0</v>
      </c>
      <c r="K6" s="6">
        <v>0</v>
      </c>
      <c r="L6" s="5">
        <v>-2.8536887839436499E-4</v>
      </c>
      <c r="M6" s="5">
        <v>-6.3574254512786907E-2</v>
      </c>
      <c r="N6" s="5">
        <v>-9.0447112917900099E-2</v>
      </c>
      <c r="O6" s="5">
        <v>-8.5884019732475295E-2</v>
      </c>
      <c r="P6" s="5">
        <v>-0.67203629016876198</v>
      </c>
      <c r="Q6" s="5">
        <v>0.13295280933380099</v>
      </c>
      <c r="R6" s="5">
        <v>9.7767751070120521E-4</v>
      </c>
      <c r="S6" s="5">
        <v>-8.3235738947145879E-2</v>
      </c>
      <c r="T6" s="5">
        <v>-9.064880170653869E-2</v>
      </c>
      <c r="U6" s="5">
        <v>-0.11826660314603241</v>
      </c>
      <c r="V6" s="5">
        <v>-0.69929382719376265</v>
      </c>
      <c r="W6" s="5">
        <v>0.27937250129761859</v>
      </c>
      <c r="X6" s="5">
        <f t="shared" si="3"/>
        <v>-1.2630463890955703E-3</v>
      </c>
      <c r="Y6" s="5">
        <f t="shared" si="4"/>
        <v>1.9661484434358972E-2</v>
      </c>
      <c r="Z6" s="5">
        <f t="shared" si="5"/>
        <v>2.0168878863859041E-4</v>
      </c>
      <c r="AA6" s="5">
        <f t="shared" si="6"/>
        <v>3.2382583413557112E-2</v>
      </c>
      <c r="AB6" s="5">
        <f t="shared" si="7"/>
        <v>2.7257537025000667E-2</v>
      </c>
      <c r="AC6" s="5">
        <f t="shared" si="8"/>
        <v>-0.1464196919638176</v>
      </c>
    </row>
    <row r="7" spans="1:29" s="5" customFormat="1" x14ac:dyDescent="0.25">
      <c r="A7" s="6">
        <v>0.3</v>
      </c>
      <c r="B7" s="6">
        <v>0.1</v>
      </c>
      <c r="C7" s="6">
        <v>3.1419999999999999</v>
      </c>
      <c r="D7" s="6">
        <f t="shared" si="1"/>
        <v>1.5707963267948966</v>
      </c>
      <c r="E7" s="6">
        <v>0.8</v>
      </c>
      <c r="F7" s="6">
        <v>0.08</v>
      </c>
      <c r="G7" s="6">
        <v>3.927</v>
      </c>
      <c r="H7" s="6">
        <f t="shared" si="2"/>
        <v>1.5707963267948966</v>
      </c>
      <c r="I7" s="6">
        <v>0.8</v>
      </c>
      <c r="J7" s="6">
        <v>0</v>
      </c>
      <c r="K7" s="6">
        <v>0</v>
      </c>
      <c r="L7" s="5">
        <v>-1.37211009860039E-3</v>
      </c>
      <c r="M7" s="5">
        <v>8.7113633751869202E-2</v>
      </c>
      <c r="N7" s="5">
        <v>-0.16279363632202101</v>
      </c>
      <c r="O7" s="5">
        <v>-9.0744964778423295E-2</v>
      </c>
      <c r="P7" s="5">
        <v>-0.87937128543853804</v>
      </c>
      <c r="Q7" s="5">
        <v>-0.48219949007034302</v>
      </c>
      <c r="R7" s="5">
        <v>3.3176637488038759E-5</v>
      </c>
      <c r="S7" s="5">
        <v>9.5752021472302384E-2</v>
      </c>
      <c r="T7" s="5">
        <v>-0.15243226081979466</v>
      </c>
      <c r="U7" s="5">
        <v>-0.12459057409844905</v>
      </c>
      <c r="V7" s="5">
        <v>-0.85915383042647642</v>
      </c>
      <c r="W7" s="5">
        <v>-0.56202764154615259</v>
      </c>
      <c r="X7" s="5">
        <f t="shared" si="3"/>
        <v>-1.4052867360884287E-3</v>
      </c>
      <c r="Y7" s="5">
        <f t="shared" si="4"/>
        <v>-8.6383877204331827E-3</v>
      </c>
      <c r="Z7" s="5">
        <f t="shared" si="5"/>
        <v>-1.036137550222635E-2</v>
      </c>
      <c r="AA7" s="5">
        <f t="shared" si="6"/>
        <v>3.3845609320025755E-2</v>
      </c>
      <c r="AB7" s="5">
        <f t="shared" si="7"/>
        <v>-2.0217455012061625E-2</v>
      </c>
      <c r="AC7" s="5">
        <f t="shared" si="8"/>
        <v>7.9828151475809572E-2</v>
      </c>
    </row>
    <row r="8" spans="1:29" s="5" customFormat="1" x14ac:dyDescent="0.25">
      <c r="A8" s="6">
        <v>0.7</v>
      </c>
      <c r="B8" s="6">
        <v>0.1</v>
      </c>
      <c r="C8" s="6">
        <v>3.1419999999999999</v>
      </c>
      <c r="D8" s="6">
        <f t="shared" si="1"/>
        <v>1.5707963267948966</v>
      </c>
      <c r="E8" s="6">
        <v>0.4</v>
      </c>
      <c r="F8" s="6">
        <v>0.04</v>
      </c>
      <c r="G8" s="6">
        <v>3.927</v>
      </c>
      <c r="H8" s="6">
        <f t="shared" si="2"/>
        <v>1.5707963267948966</v>
      </c>
      <c r="I8" s="6">
        <v>0.4</v>
      </c>
      <c r="J8" s="6">
        <v>0</v>
      </c>
      <c r="K8" s="6">
        <v>0</v>
      </c>
      <c r="L8" s="5">
        <v>-1.4753518626093899E-3</v>
      </c>
      <c r="M8" s="5">
        <v>3.1907491385936702E-2</v>
      </c>
      <c r="N8" s="5">
        <v>-0.19490382075309801</v>
      </c>
      <c r="O8" s="5">
        <v>-0.17070601880550401</v>
      </c>
      <c r="P8" s="5">
        <v>-1.0707256793975799</v>
      </c>
      <c r="Q8" s="5">
        <v>-0.22229230403900099</v>
      </c>
      <c r="R8" s="5">
        <v>2.2079077224307743E-4</v>
      </c>
      <c r="S8" s="5">
        <v>3.6698296792343273E-2</v>
      </c>
      <c r="T8" s="5">
        <v>-0.16885527933448097</v>
      </c>
      <c r="U8" s="5">
        <v>-0.12120745967266004</v>
      </c>
      <c r="V8" s="5">
        <v>-0.97516655006197905</v>
      </c>
      <c r="W8" s="5">
        <v>-0.28267572145677594</v>
      </c>
      <c r="X8" s="5">
        <f t="shared" si="3"/>
        <v>-1.6961426348524673E-3</v>
      </c>
      <c r="Y8" s="5">
        <f t="shared" si="4"/>
        <v>-4.7908054064065703E-3</v>
      </c>
      <c r="Z8" s="5">
        <f t="shared" si="5"/>
        <v>-2.6048541418617038E-2</v>
      </c>
      <c r="AA8" s="5">
        <f t="shared" si="6"/>
        <v>-4.9498559132843969E-2</v>
      </c>
      <c r="AB8" s="5">
        <f t="shared" si="7"/>
        <v>-9.5559129335600845E-2</v>
      </c>
      <c r="AC8" s="5">
        <f t="shared" si="8"/>
        <v>6.0383417417774948E-2</v>
      </c>
    </row>
    <row r="9" spans="1:29" s="5" customFormat="1" x14ac:dyDescent="0.25">
      <c r="A9" s="6">
        <v>0.5</v>
      </c>
      <c r="B9" s="6">
        <v>0.14000000000000001</v>
      </c>
      <c r="C9" s="6">
        <v>3.1419999999999999</v>
      </c>
      <c r="D9" s="6">
        <f t="shared" si="1"/>
        <v>1.5707963267948966</v>
      </c>
      <c r="E9" s="6">
        <v>0.7</v>
      </c>
      <c r="F9" s="6">
        <v>0.08</v>
      </c>
      <c r="G9" s="6">
        <v>3.927</v>
      </c>
      <c r="H9" s="6">
        <f t="shared" si="2"/>
        <v>1.5707963267948966</v>
      </c>
      <c r="I9" s="6">
        <v>0.4</v>
      </c>
      <c r="J9" s="6">
        <v>0</v>
      </c>
      <c r="K9" s="6">
        <v>0</v>
      </c>
      <c r="L9" s="5">
        <v>-2.8121247887611398E-3</v>
      </c>
      <c r="M9" s="5">
        <v>7.0382751524448395E-2</v>
      </c>
      <c r="N9" s="5">
        <v>-0.20890267193317399</v>
      </c>
      <c r="O9" s="5">
        <v>-0.326402246952057</v>
      </c>
      <c r="P9" s="5">
        <v>-0.97189968824386597</v>
      </c>
      <c r="Q9" s="5">
        <v>-0.380674779415131</v>
      </c>
      <c r="R9" s="5">
        <v>2.9578986711131301E-4</v>
      </c>
      <c r="S9" s="5">
        <v>8.311523894978648E-2</v>
      </c>
      <c r="T9" s="5">
        <v>-0.19551009540994824</v>
      </c>
      <c r="U9" s="5">
        <v>-0.26459097741457432</v>
      </c>
      <c r="V9" s="5">
        <v>-0.96342144906533544</v>
      </c>
      <c r="W9" s="5">
        <v>-0.4860959255026201</v>
      </c>
      <c r="X9" s="5">
        <f t="shared" si="3"/>
        <v>-3.107914655872453E-3</v>
      </c>
      <c r="Y9" s="5">
        <f t="shared" si="4"/>
        <v>-1.2732487425338085E-2</v>
      </c>
      <c r="Z9" s="5">
        <f t="shared" si="5"/>
        <v>-1.3392576523225758E-2</v>
      </c>
      <c r="AA9" s="5">
        <f t="shared" si="6"/>
        <v>-6.1811269537482671E-2</v>
      </c>
      <c r="AB9" s="5">
        <f t="shared" si="7"/>
        <v>-8.4782391785305222E-3</v>
      </c>
      <c r="AC9" s="5">
        <f t="shared" si="8"/>
        <v>0.10542114608748909</v>
      </c>
    </row>
    <row r="10" spans="1:29" s="5" customFormat="1" x14ac:dyDescent="0.25">
      <c r="A10" s="6">
        <v>0.7</v>
      </c>
      <c r="B10" s="6">
        <v>0.14000000000000001</v>
      </c>
      <c r="C10" s="6">
        <v>3.1419999999999999</v>
      </c>
      <c r="D10" s="6">
        <f t="shared" si="1"/>
        <v>1.5707963267948966</v>
      </c>
      <c r="E10" s="6">
        <v>0.5</v>
      </c>
      <c r="F10" s="6">
        <v>0.06</v>
      </c>
      <c r="G10" s="6">
        <v>3.927</v>
      </c>
      <c r="H10" s="6">
        <f t="shared" si="2"/>
        <v>1.5707963267948966</v>
      </c>
      <c r="I10" s="6">
        <v>0.8</v>
      </c>
      <c r="J10" s="6">
        <v>0</v>
      </c>
      <c r="K10" s="6">
        <v>0</v>
      </c>
      <c r="L10" s="5">
        <v>-1.88843719661236E-3</v>
      </c>
      <c r="M10" s="5">
        <v>4.87664639949799E-2</v>
      </c>
      <c r="N10" s="5">
        <v>-0.220894455909729</v>
      </c>
      <c r="O10" s="5">
        <v>-0.32184326648712203</v>
      </c>
      <c r="P10" s="5">
        <v>-1.01222968101501</v>
      </c>
      <c r="Q10" s="5">
        <v>-0.296476870775223</v>
      </c>
      <c r="R10" s="5">
        <v>9.7454531853692779E-4</v>
      </c>
      <c r="S10" s="5">
        <v>5.2603301918673892E-2</v>
      </c>
      <c r="T10" s="5">
        <v>-0.20967304035706516</v>
      </c>
      <c r="U10" s="5">
        <v>-0.27595867236626487</v>
      </c>
      <c r="V10" s="5">
        <v>-1.0164548538140239</v>
      </c>
      <c r="W10" s="5">
        <v>-0.35089205711972976</v>
      </c>
      <c r="X10" s="5">
        <f t="shared" si="3"/>
        <v>-2.8629825151492878E-3</v>
      </c>
      <c r="Y10" s="5">
        <f t="shared" si="4"/>
        <v>-3.836837923693992E-3</v>
      </c>
      <c r="Z10" s="5">
        <f t="shared" si="5"/>
        <v>-1.1221415552663844E-2</v>
      </c>
      <c r="AA10" s="5">
        <f t="shared" si="6"/>
        <v>-4.5884594120857158E-2</v>
      </c>
      <c r="AB10" s="5">
        <f t="shared" si="7"/>
        <v>4.2251727990139099E-3</v>
      </c>
      <c r="AC10" s="5">
        <f t="shared" si="8"/>
        <v>5.4415186344506761E-2</v>
      </c>
    </row>
    <row r="11" spans="1:29" s="5" customFormat="1" x14ac:dyDescent="0.25">
      <c r="A11" s="6">
        <v>0.4</v>
      </c>
      <c r="B11" s="6">
        <v>0.18</v>
      </c>
      <c r="C11" s="6">
        <v>3.1419999999999999</v>
      </c>
      <c r="D11" s="6">
        <f t="shared" si="1"/>
        <v>1.5707963267948966</v>
      </c>
      <c r="E11" s="6">
        <v>0.4</v>
      </c>
      <c r="F11" s="6">
        <v>0.02</v>
      </c>
      <c r="G11" s="6">
        <v>3.927</v>
      </c>
      <c r="H11" s="6">
        <f t="shared" si="2"/>
        <v>1.5707963267948966</v>
      </c>
      <c r="I11" s="6">
        <v>0</v>
      </c>
      <c r="J11" s="6">
        <v>0</v>
      </c>
      <c r="K11" s="6">
        <v>0</v>
      </c>
      <c r="L11" s="5">
        <v>-2.59150564670563E-3</v>
      </c>
      <c r="M11" s="5">
        <v>2.7324184775352499E-2</v>
      </c>
      <c r="N11" s="5">
        <v>-0.13145609200000799</v>
      </c>
      <c r="O11" s="5">
        <v>-0.136582016944885</v>
      </c>
      <c r="P11" s="5">
        <v>-0.61641645431518599</v>
      </c>
      <c r="Q11" s="5">
        <v>-0.23403739929199199</v>
      </c>
      <c r="R11" s="5">
        <v>8.4515915399221662E-12</v>
      </c>
      <c r="S11" s="5">
        <v>3.0958315616069709E-2</v>
      </c>
      <c r="T11" s="5">
        <v>-0.13556172852709875</v>
      </c>
      <c r="U11" s="5">
        <v>-0.15334216563096006</v>
      </c>
      <c r="V11" s="5">
        <v>-0.65714749974095021</v>
      </c>
      <c r="W11" s="5">
        <v>-0.28274148829935469</v>
      </c>
      <c r="X11" s="5">
        <f t="shared" si="3"/>
        <v>-2.5915056551572215E-3</v>
      </c>
      <c r="Y11" s="5">
        <f t="shared" si="4"/>
        <v>-3.6341308407172104E-3</v>
      </c>
      <c r="Z11" s="5">
        <f t="shared" si="5"/>
        <v>4.1056365270907558E-3</v>
      </c>
      <c r="AA11" s="5">
        <f t="shared" si="6"/>
        <v>1.676014868607506E-2</v>
      </c>
      <c r="AB11" s="5">
        <f t="shared" si="7"/>
        <v>4.0731045425764223E-2</v>
      </c>
      <c r="AC11" s="5">
        <f t="shared" si="8"/>
        <v>4.87040890073627E-2</v>
      </c>
    </row>
    <row r="12" spans="1:29" s="5" customFormat="1" x14ac:dyDescent="0.25">
      <c r="A12" s="6">
        <v>0.7</v>
      </c>
      <c r="B12" s="6">
        <v>0.18</v>
      </c>
      <c r="C12" s="6">
        <v>3.1419999999999999</v>
      </c>
      <c r="D12" s="6">
        <f t="shared" si="1"/>
        <v>1.5707963267948966</v>
      </c>
      <c r="E12" s="6">
        <v>0.8</v>
      </c>
      <c r="F12" s="6">
        <v>0.04</v>
      </c>
      <c r="G12" s="6">
        <v>3.927</v>
      </c>
      <c r="H12" s="6">
        <f t="shared" si="2"/>
        <v>1.5707963267948966</v>
      </c>
      <c r="I12" s="6">
        <v>0.4</v>
      </c>
      <c r="J12" s="6">
        <v>0</v>
      </c>
      <c r="K12" s="6">
        <v>0</v>
      </c>
      <c r="L12" s="5">
        <v>-2.8818771243095398E-3</v>
      </c>
      <c r="M12" s="5">
        <v>6.48805126547813E-2</v>
      </c>
      <c r="N12" s="5">
        <v>-0.26836296916008001</v>
      </c>
      <c r="O12" s="5">
        <v>-0.61091923713684104</v>
      </c>
      <c r="P12" s="5">
        <v>-1.14929687976837</v>
      </c>
      <c r="Q12" s="5">
        <v>-0.46333062648773199</v>
      </c>
      <c r="R12" s="5">
        <v>9.6703958181991565E-4</v>
      </c>
      <c r="S12" s="5">
        <v>7.290917017934373E-2</v>
      </c>
      <c r="T12" s="5">
        <v>-0.24514892852481732</v>
      </c>
      <c r="U12" s="5">
        <v>-0.49398520616861508</v>
      </c>
      <c r="V12" s="5">
        <v>-1.1364824436371699</v>
      </c>
      <c r="W12" s="5">
        <v>-0.5620901815106365</v>
      </c>
      <c r="X12" s="5">
        <f t="shared" si="3"/>
        <v>-3.8489167061294552E-3</v>
      </c>
      <c r="Y12" s="5">
        <f t="shared" si="4"/>
        <v>-8.0286575245624298E-3</v>
      </c>
      <c r="Z12" s="5">
        <f t="shared" si="5"/>
        <v>-2.3214040635262695E-2</v>
      </c>
      <c r="AA12" s="5">
        <f t="shared" si="6"/>
        <v>-0.11693403096822597</v>
      </c>
      <c r="AB12" s="5">
        <f t="shared" si="7"/>
        <v>-1.2814436131200146E-2</v>
      </c>
      <c r="AC12" s="5">
        <f t="shared" si="8"/>
        <v>9.875955502290451E-2</v>
      </c>
    </row>
    <row r="13" spans="1:29" s="5" customFormat="1" x14ac:dyDescent="0.25">
      <c r="A13" s="6">
        <v>0.3</v>
      </c>
      <c r="B13" s="6">
        <v>0.12</v>
      </c>
      <c r="C13" s="6">
        <v>4.7119999999999997</v>
      </c>
      <c r="D13" s="6">
        <f t="shared" si="1"/>
        <v>1.5707963267948966</v>
      </c>
      <c r="E13" s="6">
        <v>0.3</v>
      </c>
      <c r="F13" s="6">
        <v>0.04</v>
      </c>
      <c r="G13" s="6">
        <v>4.7119999999999997</v>
      </c>
      <c r="H13" s="6">
        <f t="shared" si="2"/>
        <v>1.5707963267948966</v>
      </c>
      <c r="I13" s="6">
        <v>0.4</v>
      </c>
      <c r="J13" s="6">
        <v>0</v>
      </c>
      <c r="K13" s="6">
        <v>0</v>
      </c>
      <c r="L13" s="5">
        <v>-1.0846329387277399E-3</v>
      </c>
      <c r="M13" s="5">
        <v>0.105407744646072</v>
      </c>
      <c r="N13" s="5">
        <v>-7.5431093573570304E-3</v>
      </c>
      <c r="O13" s="5">
        <v>-4.4421639293432201E-2</v>
      </c>
      <c r="P13" s="5">
        <v>-5.3632915019989E-2</v>
      </c>
      <c r="Q13" s="5">
        <v>-0.59106355905532804</v>
      </c>
      <c r="R13" s="5">
        <v>-2.851883266485259E-4</v>
      </c>
      <c r="S13" s="5">
        <v>0.10175917360240379</v>
      </c>
      <c r="T13" s="5">
        <v>-4.4451006653355396E-5</v>
      </c>
      <c r="U13" s="5">
        <v>-4.2191472381847055E-2</v>
      </c>
      <c r="V13" s="5">
        <v>-3.8628722346079633E-4</v>
      </c>
      <c r="W13" s="5">
        <v>-0.59837103880851894</v>
      </c>
      <c r="X13" s="5">
        <f t="shared" si="3"/>
        <v>-7.9944461207921398E-4</v>
      </c>
      <c r="Y13" s="5">
        <f t="shared" si="4"/>
        <v>3.6485710436682112E-3</v>
      </c>
      <c r="Z13" s="5">
        <f t="shared" si="5"/>
        <v>-7.4986583507036754E-3</v>
      </c>
      <c r="AA13" s="5">
        <f t="shared" si="6"/>
        <v>-2.2301669115851463E-3</v>
      </c>
      <c r="AB13" s="5">
        <f t="shared" si="7"/>
        <v>-5.3246627796528202E-2</v>
      </c>
      <c r="AC13" s="5">
        <f t="shared" si="8"/>
        <v>7.3074797531909041E-3</v>
      </c>
    </row>
    <row r="14" spans="1:29" s="5" customFormat="1" x14ac:dyDescent="0.25">
      <c r="A14" s="6">
        <v>0.8</v>
      </c>
      <c r="B14" s="6">
        <v>0.12</v>
      </c>
      <c r="C14" s="6">
        <v>4.7119999999999997</v>
      </c>
      <c r="D14" s="6">
        <f t="shared" si="1"/>
        <v>1.5707963267948966</v>
      </c>
      <c r="E14" s="6">
        <v>0.7</v>
      </c>
      <c r="F14" s="6">
        <v>0.02</v>
      </c>
      <c r="G14" s="6">
        <v>3.1419999999999999</v>
      </c>
      <c r="H14" s="6">
        <f t="shared" si="2"/>
        <v>1.5707963267948966</v>
      </c>
      <c r="I14" s="6">
        <v>0</v>
      </c>
      <c r="J14" s="6">
        <v>0</v>
      </c>
      <c r="K14" s="6">
        <v>0</v>
      </c>
      <c r="L14" s="5">
        <v>-1.21277570724487E-3</v>
      </c>
      <c r="M14" s="5">
        <v>0.189176306128502</v>
      </c>
      <c r="N14" s="5">
        <v>-8.0510884523391696E-2</v>
      </c>
      <c r="O14" s="5">
        <v>-0.25100401043891901</v>
      </c>
      <c r="P14" s="5">
        <v>-0.70138603448867798</v>
      </c>
      <c r="Q14" s="5">
        <v>-0.86990654468536399</v>
      </c>
      <c r="R14" s="5">
        <v>-4.0541495750573006E-11</v>
      </c>
      <c r="S14" s="5">
        <v>0.16506377934660432</v>
      </c>
      <c r="T14" s="5">
        <v>-7.6550233474060203E-2</v>
      </c>
      <c r="U14" s="5">
        <v>-0.2013032944294959</v>
      </c>
      <c r="V14" s="5">
        <v>-0.69944973864928461</v>
      </c>
      <c r="W14" s="5">
        <v>-0.77520020652693566</v>
      </c>
      <c r="X14" s="5">
        <f t="shared" si="3"/>
        <v>-1.2127756667033743E-3</v>
      </c>
      <c r="Y14" s="5">
        <f t="shared" si="4"/>
        <v>2.4112526781897681E-2</v>
      </c>
      <c r="Z14" s="5">
        <f t="shared" si="5"/>
        <v>-3.9606510493314928E-3</v>
      </c>
      <c r="AA14" s="5">
        <f t="shared" si="6"/>
        <v>-4.9700716009423107E-2</v>
      </c>
      <c r="AB14" s="5">
        <f t="shared" si="7"/>
        <v>-1.9362958393933649E-3</v>
      </c>
      <c r="AC14" s="5">
        <f t="shared" si="8"/>
        <v>-9.4706338158428327E-2</v>
      </c>
    </row>
    <row r="15" spans="1:29" s="5" customFormat="1" x14ac:dyDescent="0.25">
      <c r="A15" s="6">
        <v>0.4</v>
      </c>
      <c r="B15" s="6">
        <v>0.18</v>
      </c>
      <c r="C15" s="6">
        <v>4.7119999999999997</v>
      </c>
      <c r="D15" s="6">
        <f t="shared" si="1"/>
        <v>1.5707963267948966</v>
      </c>
      <c r="E15" s="6">
        <v>0.5</v>
      </c>
      <c r="F15" s="6">
        <v>0.06</v>
      </c>
      <c r="G15" s="6">
        <v>3.1419999999999999</v>
      </c>
      <c r="H15" s="6">
        <f t="shared" si="2"/>
        <v>1.5707963267948966</v>
      </c>
      <c r="I15" s="6">
        <v>0.4</v>
      </c>
      <c r="J15" s="6">
        <v>0</v>
      </c>
      <c r="K15" s="6">
        <v>0</v>
      </c>
      <c r="L15" s="5">
        <v>-2.4155117571353899E-3</v>
      </c>
      <c r="M15" s="5">
        <v>0.104980133473873</v>
      </c>
      <c r="N15" s="5">
        <v>-7.43569061160088E-2</v>
      </c>
      <c r="O15" s="5">
        <v>-0.116804644465446</v>
      </c>
      <c r="P15" s="5">
        <v>-0.49594429135322599</v>
      </c>
      <c r="Q15" s="5">
        <v>-0.37272521853446999</v>
      </c>
      <c r="R15" s="5">
        <v>-9.3220122603601392E-4</v>
      </c>
      <c r="S15" s="5">
        <v>0.10512541671079115</v>
      </c>
      <c r="T15" s="5">
        <v>-7.4605758986772241E-2</v>
      </c>
      <c r="U15" s="5">
        <v>-0.14391045298782262</v>
      </c>
      <c r="V15" s="5">
        <v>-0.49770097986941075</v>
      </c>
      <c r="W15" s="5">
        <v>-0.37749985622847287</v>
      </c>
      <c r="X15" s="5">
        <f t="shared" si="3"/>
        <v>-1.4833105310993761E-3</v>
      </c>
      <c r="Y15" s="5">
        <f t="shared" si="4"/>
        <v>-1.4528323691814782E-4</v>
      </c>
      <c r="Z15" s="5">
        <f t="shared" si="5"/>
        <v>2.4885287076344131E-4</v>
      </c>
      <c r="AA15" s="5">
        <f t="shared" si="6"/>
        <v>2.7105808522376623E-2</v>
      </c>
      <c r="AB15" s="5">
        <f t="shared" si="7"/>
        <v>1.7566885161847678E-3</v>
      </c>
      <c r="AC15" s="5">
        <f t="shared" si="8"/>
        <v>4.7746376940028812E-3</v>
      </c>
    </row>
    <row r="16" spans="1:29" s="5" customFormat="1" x14ac:dyDescent="0.25">
      <c r="A16" s="6">
        <v>0.5</v>
      </c>
      <c r="B16" s="6">
        <v>0.2</v>
      </c>
      <c r="C16" s="6">
        <v>4.7119999999999997</v>
      </c>
      <c r="D16" s="6">
        <f t="shared" si="1"/>
        <v>1.5707963267948966</v>
      </c>
      <c r="E16" s="6">
        <v>0.7</v>
      </c>
      <c r="F16" s="6">
        <v>0.02</v>
      </c>
      <c r="G16" s="6">
        <v>4.7119999999999997</v>
      </c>
      <c r="H16" s="6">
        <f t="shared" si="2"/>
        <v>1.5707963267948966</v>
      </c>
      <c r="I16" s="6">
        <v>0.8</v>
      </c>
      <c r="J16" s="6">
        <v>0</v>
      </c>
      <c r="K16" s="6">
        <v>0</v>
      </c>
      <c r="L16" s="5">
        <v>-7.0373835042119E-3</v>
      </c>
      <c r="M16" s="5">
        <v>0.19658188521861999</v>
      </c>
      <c r="N16" s="5">
        <v>-9.0219676494598406E-3</v>
      </c>
      <c r="O16" s="5">
        <v>-0.253807783126831</v>
      </c>
      <c r="P16" s="5">
        <v>-4.6346724033355699E-2</v>
      </c>
      <c r="Q16" s="5">
        <v>-1.05074739456177</v>
      </c>
      <c r="R16" s="5">
        <v>-3.1724967713484967E-3</v>
      </c>
      <c r="S16" s="5">
        <v>0.21067024354659994</v>
      </c>
      <c r="T16" s="5">
        <v>-2.5092496207002426E-4</v>
      </c>
      <c r="U16" s="5">
        <v>-0.29015748510568024</v>
      </c>
      <c r="V16" s="5">
        <v>-6.8498046565334076E-3</v>
      </c>
      <c r="W16" s="5">
        <v>-1.1329427416082298</v>
      </c>
      <c r="X16" s="5">
        <f t="shared" si="3"/>
        <v>-3.8648867328634033E-3</v>
      </c>
      <c r="Y16" s="5">
        <f t="shared" si="4"/>
        <v>-1.4088358327979944E-2</v>
      </c>
      <c r="Z16" s="5">
        <f t="shared" si="5"/>
        <v>-8.7710426873898167E-3</v>
      </c>
      <c r="AA16" s="5">
        <f t="shared" si="6"/>
        <v>3.6349701978849236E-2</v>
      </c>
      <c r="AB16" s="5">
        <f t="shared" si="7"/>
        <v>-3.9496919376822294E-2</v>
      </c>
      <c r="AC16" s="5">
        <f t="shared" si="8"/>
        <v>8.219534704645981E-2</v>
      </c>
    </row>
    <row r="17" spans="1:29" s="5" customFormat="1" x14ac:dyDescent="0.25">
      <c r="A17" s="6">
        <v>0.7</v>
      </c>
      <c r="B17" s="6">
        <v>0.2</v>
      </c>
      <c r="C17" s="6">
        <v>4.7119999999999997</v>
      </c>
      <c r="D17" s="6">
        <f t="shared" si="1"/>
        <v>1.5707963267948966</v>
      </c>
      <c r="E17" s="6">
        <v>0.3</v>
      </c>
      <c r="F17" s="6">
        <v>0.08</v>
      </c>
      <c r="G17" s="6">
        <v>3.1419999999999999</v>
      </c>
      <c r="H17" s="6">
        <f t="shared" si="2"/>
        <v>1.5707963267948966</v>
      </c>
      <c r="I17" s="6">
        <v>0</v>
      </c>
      <c r="J17" s="6">
        <v>0</v>
      </c>
      <c r="K17" s="6">
        <v>0</v>
      </c>
      <c r="L17" s="5">
        <v>-1.45209429319948E-3</v>
      </c>
      <c r="M17" s="5">
        <v>0.158558174967766</v>
      </c>
      <c r="N17" s="5">
        <v>-4.6406555920839303E-2</v>
      </c>
      <c r="O17" s="5">
        <v>-0.53051334619522095</v>
      </c>
      <c r="P17" s="5">
        <v>-0.25099590420723</v>
      </c>
      <c r="Q17" s="5">
        <v>-0.37296327948570301</v>
      </c>
      <c r="R17" s="5">
        <v>-1.2322466502524189E-10</v>
      </c>
      <c r="S17" s="5">
        <v>0.17078730368810613</v>
      </c>
      <c r="T17" s="5">
        <v>-4.9180872820253026E-2</v>
      </c>
      <c r="U17" s="5">
        <v>-0.50274448162238849</v>
      </c>
      <c r="V17" s="5">
        <v>-0.284376864681404</v>
      </c>
      <c r="W17" s="5">
        <v>-0.49649489558210669</v>
      </c>
      <c r="X17" s="5">
        <f t="shared" si="3"/>
        <v>-1.4520941699748149E-3</v>
      </c>
      <c r="Y17" s="5">
        <f t="shared" si="4"/>
        <v>-1.2229128720340127E-2</v>
      </c>
      <c r="Z17" s="5">
        <f t="shared" si="5"/>
        <v>2.7743168994137229E-3</v>
      </c>
      <c r="AA17" s="5">
        <f t="shared" si="6"/>
        <v>-2.7768864572832452E-2</v>
      </c>
      <c r="AB17" s="5">
        <f t="shared" si="7"/>
        <v>3.3380960474173993E-2</v>
      </c>
      <c r="AC17" s="5">
        <f t="shared" si="8"/>
        <v>0.12353161609640367</v>
      </c>
    </row>
    <row r="18" spans="1:29" x14ac:dyDescent="0.25">
      <c r="X18" s="17"/>
      <c r="Y18" s="17"/>
      <c r="Z18" s="17"/>
      <c r="AA18" s="17"/>
      <c r="AB18" s="17"/>
      <c r="AC18" s="17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S17"/>
  <sheetViews>
    <sheetView topLeftCell="P1" workbookViewId="0">
      <pane ySplit="2" topLeftCell="A3" activePane="bottomLeft" state="frozen"/>
      <selection activeCell="K1" sqref="K1"/>
      <selection pane="bottomLeft" activeCell="R22" sqref="R2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8" bestFit="1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6</v>
      </c>
      <c r="M1" s="24"/>
      <c r="N1" s="24"/>
      <c r="O1" s="24"/>
      <c r="P1" s="24"/>
      <c r="Q1" s="24"/>
      <c r="R1" s="33" t="s">
        <v>7</v>
      </c>
      <c r="S1" s="34"/>
      <c r="T1" s="34"/>
      <c r="U1" s="34"/>
      <c r="V1" s="34"/>
      <c r="W1" s="34"/>
      <c r="X1" s="34"/>
      <c r="Y1" s="34"/>
      <c r="Z1" s="34"/>
      <c r="AA1" s="31" t="s">
        <v>13</v>
      </c>
      <c r="AB1" s="31"/>
      <c r="AC1" s="31"/>
      <c r="AD1" s="31"/>
      <c r="AE1" s="31"/>
      <c r="AF1" s="31"/>
      <c r="AG1" s="31"/>
      <c r="AH1" s="31"/>
      <c r="AI1" s="32" t="s">
        <v>36</v>
      </c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30" t="s">
        <v>31</v>
      </c>
      <c r="AM2" s="30"/>
      <c r="AN2" s="30"/>
      <c r="AO2" s="30"/>
      <c r="AP2" s="30"/>
      <c r="AQ2" s="30"/>
      <c r="AR2" s="30"/>
      <c r="AS2" s="30"/>
    </row>
    <row r="3" spans="1:45" ht="15.75" x14ac:dyDescent="0.25">
      <c r="A3" s="5">
        <f>'Proximal Validation'!A3</f>
        <v>0.5</v>
      </c>
      <c r="B3" s="5">
        <f>'Proximal Validation'!B3</f>
        <v>0.12</v>
      </c>
      <c r="C3" s="5">
        <f>'Proximal Validation'!C3</f>
        <v>1.57</v>
      </c>
      <c r="D3" s="5">
        <f>'Proximal Validation'!D3</f>
        <v>1.5707963267948966</v>
      </c>
      <c r="E3" s="5">
        <f>'Proximal Validation'!E3</f>
        <v>0.3</v>
      </c>
      <c r="F3" s="5">
        <f>'Proximal Validation'!F3</f>
        <v>0.02</v>
      </c>
      <c r="G3" s="5">
        <f>'Proximal Validation'!G3</f>
        <v>3.1419999999999999</v>
      </c>
      <c r="H3" s="5">
        <f>'Proximal Validation'!H3</f>
        <v>1.5707963267948966</v>
      </c>
      <c r="I3" s="5">
        <f>'Proximal Validation'!I3</f>
        <v>0.8</v>
      </c>
      <c r="J3" s="5">
        <f>'Proximal Validation'!J3</f>
        <v>0</v>
      </c>
      <c r="K3" s="5">
        <f>'Proximal Validation'!K3</f>
        <v>0</v>
      </c>
      <c r="L3" s="5">
        <f>'Proximal Validation'!L3</f>
        <v>3.8069719448685603E-4</v>
      </c>
      <c r="M3" s="5">
        <f>'Proximal Validation'!M3</f>
        <v>-9.6344932913780199E-2</v>
      </c>
      <c r="N3" s="5">
        <f>'Proximal Validation'!N3</f>
        <v>-3.3478599041700398E-2</v>
      </c>
      <c r="O3" s="5">
        <f>'Proximal Validation'!O3</f>
        <v>-8.2021892070770305E-2</v>
      </c>
      <c r="P3" s="5">
        <f>'Proximal Validation'!P3</f>
        <v>-0.28456717729568498</v>
      </c>
      <c r="Q3" s="5">
        <f>'Proximal Validation'!Q3</f>
        <v>0.41270199418067899</v>
      </c>
      <c r="R3" s="5">
        <v>0.75348612182948604</v>
      </c>
      <c r="S3" s="5">
        <v>8.9198916894983105E-2</v>
      </c>
      <c r="T3" s="5">
        <v>1.5985880260153829</v>
      </c>
      <c r="U3" s="5">
        <v>1.5707963267948966</v>
      </c>
      <c r="V3" s="5">
        <v>0.42586190452079686</v>
      </c>
      <c r="W3" s="5">
        <v>2.3589396210390533E-2</v>
      </c>
      <c r="X3" s="5">
        <v>4.0469512525596834</v>
      </c>
      <c r="Y3" s="5">
        <v>1.5707963267948966</v>
      </c>
      <c r="Z3" s="19">
        <v>5.7404208881877696E-9</v>
      </c>
      <c r="AA3" s="5">
        <f t="shared" ref="AA3:AA17" si="0">R3-A3</f>
        <v>0.25348612182948604</v>
      </c>
      <c r="AB3" s="5">
        <f t="shared" ref="AB3:AB17" si="1">S3-B3</f>
        <v>-3.0801083105016891E-2</v>
      </c>
      <c r="AC3" s="5">
        <f t="shared" ref="AC3:AC17" si="2">T3-C3</f>
        <v>2.8588026015382795E-2</v>
      </c>
      <c r="AD3" s="5">
        <f t="shared" ref="AD3:AD17" si="3">U3-D3</f>
        <v>0</v>
      </c>
      <c r="AE3" s="5">
        <f t="shared" ref="AE3:AE17" si="4">V3-E3</f>
        <v>0.12586190452079687</v>
      </c>
      <c r="AF3" s="5">
        <f t="shared" ref="AF3:AF17" si="5">W3-F3</f>
        <v>3.589396210390533E-3</v>
      </c>
      <c r="AG3" s="5">
        <f t="shared" ref="AG3:AG17" si="6">X3-G3</f>
        <v>0.90495125255968345</v>
      </c>
      <c r="AH3" s="5">
        <f t="shared" ref="AH3:AH17" si="7">Y3-H3</f>
        <v>0</v>
      </c>
      <c r="AI3" s="9">
        <f>AVERAGE(ABS(AA3),ABS(AE3))</f>
        <v>0.18967401317514146</v>
      </c>
      <c r="AJ3" s="9">
        <f t="shared" ref="AJ3:AK17" si="8">AVERAGE(ABS(AB3),ABS(AF3))</f>
        <v>1.7195239657703712E-2</v>
      </c>
      <c r="AK3" s="9">
        <f t="shared" si="8"/>
        <v>0.46676963928753312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14">
        <f>'Proximal Validation'!A4</f>
        <v>0.5</v>
      </c>
      <c r="B4" s="14">
        <f>'Proximal Validation'!B4</f>
        <v>0.12</v>
      </c>
      <c r="C4" s="14">
        <f>'Proximal Validation'!C4</f>
        <v>1.57</v>
      </c>
      <c r="D4" s="14">
        <f>'Proximal Validation'!D4</f>
        <v>1.5707963267948966</v>
      </c>
      <c r="E4" s="14">
        <f>'Proximal Validation'!E4</f>
        <v>0.7</v>
      </c>
      <c r="F4" s="14">
        <f>'Proximal Validation'!F4</f>
        <v>0.06</v>
      </c>
      <c r="G4" s="14">
        <f>'Proximal Validation'!G4</f>
        <v>4.7119999999999997</v>
      </c>
      <c r="H4" s="14">
        <f>'Proximal Validation'!H4</f>
        <v>1.5707963267948966</v>
      </c>
      <c r="I4" s="14">
        <f>'Proximal Validation'!I4</f>
        <v>0</v>
      </c>
      <c r="J4" s="14">
        <f>'Proximal Validation'!J4</f>
        <v>0</v>
      </c>
      <c r="K4" s="14">
        <f>'Proximal Validation'!K4</f>
        <v>0</v>
      </c>
      <c r="L4" s="14">
        <f>'Proximal Validation'!L4</f>
        <v>-8.1903394311666499E-4</v>
      </c>
      <c r="M4" s="14">
        <f>'Proximal Validation'!M4</f>
        <v>-5.3245900198817296E-3</v>
      </c>
      <c r="N4" s="14">
        <f>'Proximal Validation'!N4</f>
        <v>-2.3375959135592001E-3</v>
      </c>
      <c r="O4" s="14">
        <f>'Proximal Validation'!O4</f>
        <v>-2.4775806814432101E-3</v>
      </c>
      <c r="P4" s="14">
        <f>'Proximal Validation'!P4</f>
        <v>-3.4357905387878401E-3</v>
      </c>
      <c r="Q4" s="14">
        <f>'Proximal Validation'!Q4</f>
        <v>-0.190968692302704</v>
      </c>
      <c r="R4" s="14">
        <v>0.61501210728840638</v>
      </c>
      <c r="S4" s="14">
        <v>7.3854109951049199E-2</v>
      </c>
      <c r="T4" s="14">
        <v>1.6370270376824019</v>
      </c>
      <c r="U4" s="14">
        <v>1.5707963267948966</v>
      </c>
      <c r="V4" s="14">
        <v>0.80438641517548459</v>
      </c>
      <c r="W4" s="14">
        <v>2.8884891143172491E-2</v>
      </c>
      <c r="X4" s="14">
        <v>4.7586045080823576</v>
      </c>
      <c r="Y4" s="14">
        <v>1.5707963267948966</v>
      </c>
      <c r="Z4" s="20">
        <v>1.4900725370779261E-7</v>
      </c>
      <c r="AA4" s="14">
        <f t="shared" si="0"/>
        <v>0.11501210728840638</v>
      </c>
      <c r="AB4" s="14">
        <f t="shared" si="1"/>
        <v>-4.6145890048950797E-2</v>
      </c>
      <c r="AC4" s="14">
        <f t="shared" si="2"/>
        <v>6.7027037682401813E-2</v>
      </c>
      <c r="AD4" s="14">
        <f t="shared" si="3"/>
        <v>0</v>
      </c>
      <c r="AE4" s="14">
        <f t="shared" si="4"/>
        <v>0.10438641517548464</v>
      </c>
      <c r="AF4" s="14">
        <f t="shared" si="5"/>
        <v>-3.1115108856827507E-2</v>
      </c>
      <c r="AG4" s="14">
        <f t="shared" si="6"/>
        <v>4.6604508082357832E-2</v>
      </c>
      <c r="AH4" s="14">
        <f t="shared" si="7"/>
        <v>0</v>
      </c>
      <c r="AI4" s="16">
        <f t="shared" ref="AI4:AI17" si="9">AVERAGE(ABS(AA4),ABS(AE4))</f>
        <v>0.10969926123194551</v>
      </c>
      <c r="AJ4" s="16">
        <f t="shared" si="8"/>
        <v>3.8630499452889155E-2</v>
      </c>
      <c r="AK4" s="16">
        <f t="shared" si="8"/>
        <v>5.6815772882379822E-2</v>
      </c>
      <c r="AL4" s="8" cm="1">
        <f t="array" ref="AL4">AVERAGE(ABS(AA3:AA17))</f>
        <v>0.20415321834156522</v>
      </c>
      <c r="AM4" s="8" cm="1">
        <f t="array" ref="AM4">AVERAGE(ABS(AB3:AB17))</f>
        <v>2.7095625896879045E-2</v>
      </c>
      <c r="AN4" s="8" cm="1">
        <f t="array" ref="AN4">AVERAGE(ABS(AC3:AC17))</f>
        <v>0.19243521547032769</v>
      </c>
      <c r="AO4" s="8" cm="1">
        <f t="array" ref="AO4">AVERAGE(ABS(AD3:AD17))</f>
        <v>0</v>
      </c>
      <c r="AP4" s="8" cm="1">
        <f t="array" ref="AP4">AVERAGE(ABS(AE3:AE17))</f>
        <v>0.1248551571503513</v>
      </c>
      <c r="AQ4" s="8" cm="1">
        <f t="array" ref="AQ4">AVERAGE(ABS(AF3:AF17))</f>
        <v>2.4544251932337287E-2</v>
      </c>
      <c r="AR4" s="8" cm="1">
        <f t="array" ref="AR4">AVERAGE(ABS(AG3:AG17))</f>
        <v>0.48429377346619396</v>
      </c>
      <c r="AS4" s="8" cm="1">
        <f t="array" ref="AS4">AVERAGE(ABS(AH3:AH17))</f>
        <v>0</v>
      </c>
    </row>
    <row r="5" spans="1:45" x14ac:dyDescent="0.25">
      <c r="A5" s="5">
        <f>'Proximal Validation'!A5</f>
        <v>0.8</v>
      </c>
      <c r="B5" s="5">
        <f>'Proximal Validation'!B5</f>
        <v>0.18</v>
      </c>
      <c r="C5" s="5">
        <f>'Proximal Validation'!C5</f>
        <v>1.57</v>
      </c>
      <c r="D5" s="5">
        <f>'Proximal Validation'!D5</f>
        <v>1.5707963267948966</v>
      </c>
      <c r="E5" s="5">
        <f>'Proximal Validation'!E5</f>
        <v>0.4</v>
      </c>
      <c r="F5" s="5">
        <f>'Proximal Validation'!F5</f>
        <v>0.08</v>
      </c>
      <c r="G5" s="5">
        <f>'Proximal Validation'!G5</f>
        <v>4.7119999999999997</v>
      </c>
      <c r="H5" s="5">
        <f>'Proximal Validation'!H5</f>
        <v>1.5707963267948966</v>
      </c>
      <c r="I5" s="5">
        <f>'Proximal Validation'!I5</f>
        <v>0.4</v>
      </c>
      <c r="J5" s="5">
        <f>'Proximal Validation'!J5</f>
        <v>0</v>
      </c>
      <c r="K5" s="5">
        <f>'Proximal Validation'!K5</f>
        <v>0</v>
      </c>
      <c r="L5" s="5">
        <f>'Proximal Validation'!L5</f>
        <v>3.4113688161596699E-4</v>
      </c>
      <c r="M5" s="5">
        <f>'Proximal Validation'!M5</f>
        <v>-0.14381006360053999</v>
      </c>
      <c r="N5" s="5">
        <f>'Proximal Validation'!N5</f>
        <v>-3.4647369757294698E-3</v>
      </c>
      <c r="O5" s="5">
        <f>'Proximal Validation'!O5</f>
        <v>-0.43965020775795</v>
      </c>
      <c r="P5" s="5">
        <f>'Proximal Validation'!P5</f>
        <v>-3.7686526775360099E-3</v>
      </c>
      <c r="Q5" s="5">
        <f>'Proximal Validation'!Q5</f>
        <v>0.28356426954269398</v>
      </c>
      <c r="R5" s="5">
        <v>0.8019280299229431</v>
      </c>
      <c r="S5" s="5">
        <v>0.17603228319492448</v>
      </c>
      <c r="T5" s="5">
        <v>1.6027352862005662</v>
      </c>
      <c r="U5" s="5">
        <v>1.5707963267948966</v>
      </c>
      <c r="V5" s="5">
        <v>0.35017019559090157</v>
      </c>
      <c r="W5" s="5">
        <v>4.0320914123000137E-2</v>
      </c>
      <c r="X5" s="5">
        <v>4.7766012548779964</v>
      </c>
      <c r="Y5" s="5">
        <v>1.5707963267948966</v>
      </c>
      <c r="Z5" s="19">
        <v>9.55455386291835E-10</v>
      </c>
      <c r="AA5" s="5">
        <f t="shared" si="0"/>
        <v>1.9280299229430531E-3</v>
      </c>
      <c r="AB5" s="5">
        <f t="shared" si="1"/>
        <v>-3.9677168050755163E-3</v>
      </c>
      <c r="AC5" s="5">
        <f t="shared" si="2"/>
        <v>3.2735286200566094E-2</v>
      </c>
      <c r="AD5" s="5">
        <f t="shared" si="3"/>
        <v>0</v>
      </c>
      <c r="AE5" s="5">
        <f t="shared" si="4"/>
        <v>-4.9829804409098455E-2</v>
      </c>
      <c r="AF5" s="5">
        <f t="shared" si="5"/>
        <v>-3.9679085876999864E-2</v>
      </c>
      <c r="AG5" s="5">
        <f t="shared" si="6"/>
        <v>6.4601254877996617E-2</v>
      </c>
      <c r="AH5" s="5">
        <f t="shared" si="7"/>
        <v>0</v>
      </c>
      <c r="AI5" s="9">
        <f t="shared" si="9"/>
        <v>2.5878917166020754E-2</v>
      </c>
      <c r="AJ5" s="9">
        <f t="shared" si="8"/>
        <v>2.182340134103769E-2</v>
      </c>
      <c r="AK5" s="9">
        <f t="shared" si="8"/>
        <v>4.8668270539281355E-2</v>
      </c>
      <c r="AL5" s="30" t="s">
        <v>32</v>
      </c>
      <c r="AM5" s="30"/>
      <c r="AN5" s="30"/>
      <c r="AO5" s="30"/>
      <c r="AP5" s="30"/>
      <c r="AQ5" s="30"/>
      <c r="AR5" s="30"/>
      <c r="AS5" s="30"/>
    </row>
    <row r="6" spans="1:45" x14ac:dyDescent="0.25">
      <c r="A6" s="5">
        <f>'Proximal Validation'!A6</f>
        <v>0.3</v>
      </c>
      <c r="B6" s="5">
        <f>'Proximal Validation'!B6</f>
        <v>0.2</v>
      </c>
      <c r="C6" s="5">
        <f>'Proximal Validation'!C6</f>
        <v>1.57</v>
      </c>
      <c r="D6" s="5">
        <f>'Proximal Validation'!D6</f>
        <v>1.5707963267948966</v>
      </c>
      <c r="E6" s="5">
        <f>'Proximal Validation'!E6</f>
        <v>0.7</v>
      </c>
      <c r="F6" s="5">
        <f>'Proximal Validation'!F6</f>
        <v>0.04</v>
      </c>
      <c r="G6" s="5">
        <f>'Proximal Validation'!G6</f>
        <v>3.1419999999999999</v>
      </c>
      <c r="H6" s="5">
        <f>'Proximal Validation'!H6</f>
        <v>1.5707963267948966</v>
      </c>
      <c r="I6" s="5">
        <f>'Proximal Validation'!I6</f>
        <v>0.4</v>
      </c>
      <c r="J6" s="5">
        <f>'Proximal Validation'!J6</f>
        <v>0</v>
      </c>
      <c r="K6" s="5">
        <f>'Proximal Validation'!K6</f>
        <v>0</v>
      </c>
      <c r="L6" s="5">
        <f>'Proximal Validation'!L6</f>
        <v>-2.8536887839436499E-4</v>
      </c>
      <c r="M6" s="5">
        <f>'Proximal Validation'!M6</f>
        <v>-6.3574254512786907E-2</v>
      </c>
      <c r="N6" s="5">
        <f>'Proximal Validation'!N6</f>
        <v>-9.0447112917900099E-2</v>
      </c>
      <c r="O6" s="5">
        <f>'Proximal Validation'!O6</f>
        <v>-8.5884019732475295E-2</v>
      </c>
      <c r="P6" s="5">
        <f>'Proximal Validation'!P6</f>
        <v>-0.67203629016876198</v>
      </c>
      <c r="Q6" s="5">
        <f>'Proximal Validation'!Q6</f>
        <v>0.13295280933380099</v>
      </c>
      <c r="R6" s="5">
        <v>0.420466972470177</v>
      </c>
      <c r="S6" s="5">
        <v>0.14460775500964243</v>
      </c>
      <c r="T6" s="5">
        <v>1.8162797445222869</v>
      </c>
      <c r="U6" s="5">
        <v>1.5707963267948966</v>
      </c>
      <c r="V6" s="5">
        <v>0.63046312251809544</v>
      </c>
      <c r="W6" s="5">
        <v>2.7212856945557005E-2</v>
      </c>
      <c r="X6" s="5">
        <v>3.5761369619358865</v>
      </c>
      <c r="Y6" s="5">
        <v>1.5707963267948966</v>
      </c>
      <c r="Z6" s="19">
        <v>6.6253941111062855E-10</v>
      </c>
      <c r="AA6" s="5">
        <f t="shared" si="0"/>
        <v>0.12046697247017701</v>
      </c>
      <c r="AB6" s="5">
        <f t="shared" si="1"/>
        <v>-5.5392244990357581E-2</v>
      </c>
      <c r="AC6" s="5">
        <f t="shared" si="2"/>
        <v>0.24627974452228685</v>
      </c>
      <c r="AD6" s="5">
        <f t="shared" si="3"/>
        <v>0</v>
      </c>
      <c r="AE6" s="5">
        <f t="shared" si="4"/>
        <v>-6.9536877481904513E-2</v>
      </c>
      <c r="AF6" s="5">
        <f t="shared" si="5"/>
        <v>-1.2787143054442996E-2</v>
      </c>
      <c r="AG6" s="5">
        <f t="shared" si="6"/>
        <v>0.43413696193588658</v>
      </c>
      <c r="AH6" s="5">
        <f t="shared" si="7"/>
        <v>0</v>
      </c>
      <c r="AI6" s="9">
        <f t="shared" si="9"/>
        <v>9.5001924976040764E-2</v>
      </c>
      <c r="AJ6" s="9">
        <f t="shared" si="8"/>
        <v>3.4089694022400287E-2</v>
      </c>
      <c r="AK6" s="9">
        <f t="shared" si="8"/>
        <v>0.34020835322908671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25">
      <c r="A7" s="5">
        <f>'Proximal Validation'!A7</f>
        <v>0.3</v>
      </c>
      <c r="B7" s="5">
        <f>'Proximal Validation'!B7</f>
        <v>0.1</v>
      </c>
      <c r="C7" s="5">
        <f>'Proximal Validation'!C7</f>
        <v>3.1419999999999999</v>
      </c>
      <c r="D7" s="5">
        <f>'Proximal Validation'!D7</f>
        <v>1.5707963267948966</v>
      </c>
      <c r="E7" s="5">
        <f>'Proximal Validation'!E7</f>
        <v>0.8</v>
      </c>
      <c r="F7" s="5">
        <f>'Proximal Validation'!F7</f>
        <v>0.08</v>
      </c>
      <c r="G7" s="5">
        <f>'Proximal Validation'!G7</f>
        <v>3.927</v>
      </c>
      <c r="H7" s="5">
        <f>'Proximal Validation'!H7</f>
        <v>1.5707963267948966</v>
      </c>
      <c r="I7" s="5">
        <f>'Proximal Validation'!I7</f>
        <v>0.8</v>
      </c>
      <c r="J7" s="5">
        <f>'Proximal Validation'!J7</f>
        <v>0</v>
      </c>
      <c r="K7" s="5">
        <f>'Proximal Validation'!K7</f>
        <v>0</v>
      </c>
      <c r="L7" s="5">
        <f>'Proximal Validation'!L7</f>
        <v>-1.37211009860039E-3</v>
      </c>
      <c r="M7" s="5">
        <f>'Proximal Validation'!M7</f>
        <v>8.7113633751869202E-2</v>
      </c>
      <c r="N7" s="5">
        <f>'Proximal Validation'!N7</f>
        <v>-0.16279363632202101</v>
      </c>
      <c r="O7" s="5">
        <f>'Proximal Validation'!O7</f>
        <v>-9.0744964778423295E-2</v>
      </c>
      <c r="P7" s="5">
        <f>'Proximal Validation'!P7</f>
        <v>-0.87937128543853804</v>
      </c>
      <c r="Q7" s="5">
        <f>'Proximal Validation'!Q7</f>
        <v>-0.48219949007034302</v>
      </c>
      <c r="R7" s="5">
        <v>0.60707540853132202</v>
      </c>
      <c r="S7" s="5">
        <v>9.1008946053146314E-2</v>
      </c>
      <c r="T7" s="5">
        <v>2.9864978806336673</v>
      </c>
      <c r="U7" s="5">
        <v>1.5707963267948966</v>
      </c>
      <c r="V7" s="5">
        <v>0.66197406831519079</v>
      </c>
      <c r="W7" s="5">
        <v>8.6409605139190701E-2</v>
      </c>
      <c r="X7" s="5">
        <v>4.2357289252120864</v>
      </c>
      <c r="Y7" s="5">
        <v>1.5707963267948966</v>
      </c>
      <c r="Z7" s="19">
        <v>5.2607573499500193E-6</v>
      </c>
      <c r="AA7" s="5">
        <f t="shared" si="0"/>
        <v>0.30707540853132204</v>
      </c>
      <c r="AB7" s="5">
        <f t="shared" si="1"/>
        <v>-8.9910539468536915E-3</v>
      </c>
      <c r="AC7" s="5">
        <f t="shared" si="2"/>
        <v>-0.15550211936633263</v>
      </c>
      <c r="AD7" s="5">
        <f t="shared" si="3"/>
        <v>0</v>
      </c>
      <c r="AE7" s="5">
        <f t="shared" si="4"/>
        <v>-0.13802593168480926</v>
      </c>
      <c r="AF7" s="5">
        <f t="shared" si="5"/>
        <v>6.4096051391906994E-3</v>
      </c>
      <c r="AG7" s="5">
        <f t="shared" si="6"/>
        <v>0.30872892521208639</v>
      </c>
      <c r="AH7" s="5">
        <f t="shared" si="7"/>
        <v>0</v>
      </c>
      <c r="AI7" s="9">
        <f t="shared" si="9"/>
        <v>0.22255067010806565</v>
      </c>
      <c r="AJ7" s="9">
        <f t="shared" si="8"/>
        <v>7.7003295430221955E-3</v>
      </c>
      <c r="AK7" s="9">
        <f t="shared" si="8"/>
        <v>0.23211552228920951</v>
      </c>
      <c r="AL7" s="11">
        <f>AVERAGE(AL4,AP4)</f>
        <v>0.16450418774595826</v>
      </c>
      <c r="AM7" s="11">
        <f t="shared" ref="AM7:AN7" si="10">AVERAGE(AM4,AQ4)</f>
        <v>2.5819938914608168E-2</v>
      </c>
      <c r="AN7" s="11">
        <f t="shared" si="10"/>
        <v>0.33836449446826083</v>
      </c>
      <c r="AO7" s="8"/>
      <c r="AP7" s="8"/>
      <c r="AQ7" s="8"/>
      <c r="AR7" s="8"/>
      <c r="AS7" s="8"/>
    </row>
    <row r="8" spans="1:45" x14ac:dyDescent="0.25">
      <c r="A8" s="5">
        <f>'Proximal Validation'!A8</f>
        <v>0.7</v>
      </c>
      <c r="B8" s="5">
        <f>'Proximal Validation'!B8</f>
        <v>0.1</v>
      </c>
      <c r="C8" s="5">
        <f>'Proximal Validation'!C8</f>
        <v>3.1419999999999999</v>
      </c>
      <c r="D8" s="5">
        <f>'Proximal Validation'!D8</f>
        <v>1.5707963267948966</v>
      </c>
      <c r="E8" s="5">
        <f>'Proximal Validation'!E8</f>
        <v>0.4</v>
      </c>
      <c r="F8" s="5">
        <f>'Proximal Validation'!F8</f>
        <v>0.04</v>
      </c>
      <c r="G8" s="5">
        <f>'Proximal Validation'!G8</f>
        <v>3.927</v>
      </c>
      <c r="H8" s="5">
        <f>'Proximal Validation'!H8</f>
        <v>1.5707963267948966</v>
      </c>
      <c r="I8" s="5">
        <f>'Proximal Validation'!I8</f>
        <v>0.4</v>
      </c>
      <c r="J8" s="5">
        <f>'Proximal Validation'!J8</f>
        <v>0</v>
      </c>
      <c r="K8" s="5">
        <f>'Proximal Validation'!K8</f>
        <v>0</v>
      </c>
      <c r="L8" s="5">
        <f>'Proximal Validation'!L8</f>
        <v>-1.4753518626093899E-3</v>
      </c>
      <c r="M8" s="5">
        <f>'Proximal Validation'!M8</f>
        <v>3.1907491385936702E-2</v>
      </c>
      <c r="N8" s="5">
        <f>'Proximal Validation'!N8</f>
        <v>-0.19490382075309801</v>
      </c>
      <c r="O8" s="5">
        <f>'Proximal Validation'!O8</f>
        <v>-0.17070601880550401</v>
      </c>
      <c r="P8" s="5">
        <f>'Proximal Validation'!P8</f>
        <v>-1.0707256793975799</v>
      </c>
      <c r="Q8" s="5">
        <f>'Proximal Validation'!Q8</f>
        <v>-0.22229230403900099</v>
      </c>
      <c r="R8" s="5">
        <v>0.15312984346615566</v>
      </c>
      <c r="S8" s="5">
        <v>0.158812840670088</v>
      </c>
      <c r="T8" s="5">
        <v>2.6353326541999564</v>
      </c>
      <c r="U8" s="5">
        <v>1.5707963267948966</v>
      </c>
      <c r="V8" s="5">
        <v>0.99998512033524956</v>
      </c>
      <c r="W8" s="5">
        <v>8.0562070070799754E-2</v>
      </c>
      <c r="X8" s="5">
        <v>3.4427387429561418</v>
      </c>
      <c r="Y8" s="5">
        <v>1.5707963267948966</v>
      </c>
      <c r="Z8" s="19">
        <v>1.9521376173681426E-7</v>
      </c>
      <c r="AA8" s="5">
        <f t="shared" si="0"/>
        <v>-0.5468701565338443</v>
      </c>
      <c r="AB8" s="5">
        <f t="shared" si="1"/>
        <v>5.881284067008799E-2</v>
      </c>
      <c r="AC8" s="5">
        <f t="shared" si="2"/>
        <v>-0.50666734580004347</v>
      </c>
      <c r="AD8" s="5">
        <f t="shared" si="3"/>
        <v>0</v>
      </c>
      <c r="AE8" s="5">
        <f t="shared" si="4"/>
        <v>0.59998512033524953</v>
      </c>
      <c r="AF8" s="5">
        <f t="shared" si="5"/>
        <v>4.0562070070799754E-2</v>
      </c>
      <c r="AG8" s="5">
        <f t="shared" si="6"/>
        <v>-0.48426125704385825</v>
      </c>
      <c r="AH8" s="5">
        <f t="shared" si="7"/>
        <v>0</v>
      </c>
      <c r="AI8" s="10">
        <f t="shared" si="9"/>
        <v>0.57342763843454692</v>
      </c>
      <c r="AJ8" s="10">
        <f t="shared" si="8"/>
        <v>4.9687455370443875E-2</v>
      </c>
      <c r="AK8" s="10">
        <f t="shared" si="8"/>
        <v>0.49546430142195086</v>
      </c>
    </row>
    <row r="9" spans="1:45" x14ac:dyDescent="0.25">
      <c r="A9" s="5">
        <f>'Proximal Validation'!A9</f>
        <v>0.5</v>
      </c>
      <c r="B9" s="5">
        <f>'Proximal Validation'!B9</f>
        <v>0.14000000000000001</v>
      </c>
      <c r="C9" s="5">
        <f>'Proximal Validation'!C9</f>
        <v>3.1419999999999999</v>
      </c>
      <c r="D9" s="5">
        <f>'Proximal Validation'!D9</f>
        <v>1.5707963267948966</v>
      </c>
      <c r="E9" s="5">
        <f>'Proximal Validation'!E9</f>
        <v>0.7</v>
      </c>
      <c r="F9" s="5">
        <f>'Proximal Validation'!F9</f>
        <v>0.08</v>
      </c>
      <c r="G9" s="5">
        <f>'Proximal Validation'!G9</f>
        <v>3.927</v>
      </c>
      <c r="H9" s="5">
        <f>'Proximal Validation'!H9</f>
        <v>1.5707963267948966</v>
      </c>
      <c r="I9" s="5">
        <f>'Proximal Validation'!I9</f>
        <v>0.4</v>
      </c>
      <c r="J9" s="5">
        <f>'Proximal Validation'!J9</f>
        <v>0</v>
      </c>
      <c r="K9" s="5">
        <f>'Proximal Validation'!K9</f>
        <v>0</v>
      </c>
      <c r="L9" s="5">
        <f>'Proximal Validation'!L9</f>
        <v>-2.8121247887611398E-3</v>
      </c>
      <c r="M9" s="5">
        <f>'Proximal Validation'!M9</f>
        <v>7.0382751524448395E-2</v>
      </c>
      <c r="N9" s="5">
        <f>'Proximal Validation'!N9</f>
        <v>-0.20890267193317399</v>
      </c>
      <c r="O9" s="5">
        <f>'Proximal Validation'!O9</f>
        <v>-0.326402246952057</v>
      </c>
      <c r="P9" s="5">
        <f>'Proximal Validation'!P9</f>
        <v>-0.97189968824386597</v>
      </c>
      <c r="Q9" s="5">
        <f>'Proximal Validation'!Q9</f>
        <v>-0.380674779415131</v>
      </c>
      <c r="R9" s="5">
        <v>0.59153808171597488</v>
      </c>
      <c r="S9" s="5">
        <v>0.13314790650593747</v>
      </c>
      <c r="T9" s="5">
        <v>2.9154405279629465</v>
      </c>
      <c r="U9" s="5">
        <v>1.5707963267948966</v>
      </c>
      <c r="V9" s="5">
        <v>0.68888684753855101</v>
      </c>
      <c r="W9" s="5">
        <v>0.10293202867129436</v>
      </c>
      <c r="X9" s="5">
        <v>4.0087739037391907</v>
      </c>
      <c r="Y9" s="5">
        <v>1.5707963267948966</v>
      </c>
      <c r="Z9" s="19">
        <v>1.0436398774810899E-8</v>
      </c>
      <c r="AA9" s="5">
        <f t="shared" si="0"/>
        <v>9.1538081715974884E-2</v>
      </c>
      <c r="AB9" s="5">
        <f t="shared" si="1"/>
        <v>-6.8520934940625444E-3</v>
      </c>
      <c r="AC9" s="5">
        <f t="shared" si="2"/>
        <v>-0.2265594720370534</v>
      </c>
      <c r="AD9" s="5">
        <f t="shared" si="3"/>
        <v>0</v>
      </c>
      <c r="AE9" s="5">
        <f t="shared" si="4"/>
        <v>-1.111315246144895E-2</v>
      </c>
      <c r="AF9" s="5">
        <f t="shared" si="5"/>
        <v>2.2932028671294361E-2</v>
      </c>
      <c r="AG9" s="5">
        <f t="shared" si="6"/>
        <v>8.177390373919069E-2</v>
      </c>
      <c r="AH9" s="5">
        <f t="shared" si="7"/>
        <v>0</v>
      </c>
      <c r="AI9" s="9">
        <f t="shared" si="9"/>
        <v>5.1325617088711917E-2</v>
      </c>
      <c r="AJ9" s="9">
        <f t="shared" si="8"/>
        <v>1.4892061082678452E-2</v>
      </c>
      <c r="AK9" s="9">
        <f t="shared" si="8"/>
        <v>0.15416668788812204</v>
      </c>
      <c r="AL9" s="13"/>
      <c r="AM9" s="13"/>
      <c r="AN9" s="13"/>
    </row>
    <row r="10" spans="1:45" x14ac:dyDescent="0.25">
      <c r="A10" s="5">
        <f>'Proximal Validation'!A10</f>
        <v>0.7</v>
      </c>
      <c r="B10" s="5">
        <f>'Proximal Validation'!B10</f>
        <v>0.14000000000000001</v>
      </c>
      <c r="C10" s="5">
        <f>'Proximal Validation'!C10</f>
        <v>3.1419999999999999</v>
      </c>
      <c r="D10" s="5">
        <f>'Proximal Validation'!D10</f>
        <v>1.5707963267948966</v>
      </c>
      <c r="E10" s="5">
        <f>'Proximal Validation'!E10</f>
        <v>0.5</v>
      </c>
      <c r="F10" s="5">
        <f>'Proximal Validation'!F10</f>
        <v>0.06</v>
      </c>
      <c r="G10" s="5">
        <f>'Proximal Validation'!G10</f>
        <v>3.927</v>
      </c>
      <c r="H10" s="5">
        <f>'Proximal Validation'!H10</f>
        <v>1.5707963267948966</v>
      </c>
      <c r="I10" s="5">
        <f>'Proximal Validation'!I10</f>
        <v>0.8</v>
      </c>
      <c r="J10" s="5">
        <f>'Proximal Validation'!J10</f>
        <v>0</v>
      </c>
      <c r="K10" s="5">
        <f>'Proximal Validation'!K10</f>
        <v>0</v>
      </c>
      <c r="L10" s="5">
        <f>'Proximal Validation'!L10</f>
        <v>-1.88843719661236E-3</v>
      </c>
      <c r="M10" s="5">
        <f>'Proximal Validation'!M10</f>
        <v>4.87664639949799E-2</v>
      </c>
      <c r="N10" s="5">
        <f>'Proximal Validation'!N10</f>
        <v>-0.220894455909729</v>
      </c>
      <c r="O10" s="5">
        <f>'Proximal Validation'!O10</f>
        <v>-0.32184326648712203</v>
      </c>
      <c r="P10" s="5">
        <f>'Proximal Validation'!P10</f>
        <v>-1.01222968101501</v>
      </c>
      <c r="Q10" s="5">
        <f>'Proximal Validation'!Q10</f>
        <v>-0.296476870775223</v>
      </c>
      <c r="R10" s="5">
        <v>0.77150886662211471</v>
      </c>
      <c r="S10" s="5">
        <v>0.13141799449895897</v>
      </c>
      <c r="T10" s="5">
        <v>2.8261691241517952</v>
      </c>
      <c r="U10" s="5">
        <v>1.5707963267948966</v>
      </c>
      <c r="V10" s="5">
        <v>0.63741601380028268</v>
      </c>
      <c r="W10" s="5">
        <v>9.9296152032712609E-2</v>
      </c>
      <c r="X10" s="5">
        <v>4.1544849611370465</v>
      </c>
      <c r="Y10" s="5">
        <v>1.5707963267948966</v>
      </c>
      <c r="Z10" s="19">
        <v>3.8361133017192555E-7</v>
      </c>
      <c r="AA10" s="5">
        <f t="shared" si="0"/>
        <v>7.1508866622114753E-2</v>
      </c>
      <c r="AB10" s="5">
        <f t="shared" si="1"/>
        <v>-8.5820055010410456E-3</v>
      </c>
      <c r="AC10" s="5">
        <f t="shared" si="2"/>
        <v>-0.31583087584820468</v>
      </c>
      <c r="AD10" s="5">
        <f t="shared" si="3"/>
        <v>0</v>
      </c>
      <c r="AE10" s="5">
        <f t="shared" si="4"/>
        <v>0.13741601380028268</v>
      </c>
      <c r="AF10" s="5">
        <f t="shared" si="5"/>
        <v>3.9296152032712611E-2</v>
      </c>
      <c r="AG10" s="5">
        <f t="shared" si="6"/>
        <v>0.22748496113704642</v>
      </c>
      <c r="AH10" s="5">
        <f t="shared" si="7"/>
        <v>0</v>
      </c>
      <c r="AI10" s="9">
        <f t="shared" si="9"/>
        <v>0.10446244021119871</v>
      </c>
      <c r="AJ10" s="9">
        <f t="shared" si="8"/>
        <v>2.3939078766876828E-2</v>
      </c>
      <c r="AK10" s="9">
        <f t="shared" si="8"/>
        <v>0.27165791849262555</v>
      </c>
    </row>
    <row r="11" spans="1:45" x14ac:dyDescent="0.25">
      <c r="A11" s="5">
        <f>'Proximal Validation'!A11</f>
        <v>0.4</v>
      </c>
      <c r="B11" s="5">
        <f>'Proximal Validation'!B11</f>
        <v>0.18</v>
      </c>
      <c r="C11" s="5">
        <f>'Proximal Validation'!C11</f>
        <v>3.1419999999999999</v>
      </c>
      <c r="D11" s="5">
        <f>'Proximal Validation'!D11</f>
        <v>1.5707963267948966</v>
      </c>
      <c r="E11" s="5">
        <f>'Proximal Validation'!E11</f>
        <v>0.4</v>
      </c>
      <c r="F11" s="5">
        <f>'Proximal Validation'!F11</f>
        <v>0.02</v>
      </c>
      <c r="G11" s="5">
        <f>'Proximal Validation'!G11</f>
        <v>3.927</v>
      </c>
      <c r="H11" s="5">
        <f>'Proximal Validation'!H11</f>
        <v>1.5707963267948966</v>
      </c>
      <c r="I11" s="5">
        <f>'Proximal Validation'!I11</f>
        <v>0</v>
      </c>
      <c r="J11" s="5">
        <f>'Proximal Validation'!J11</f>
        <v>0</v>
      </c>
      <c r="K11" s="5">
        <f>'Proximal Validation'!K11</f>
        <v>0</v>
      </c>
      <c r="L11" s="5">
        <f>'Proximal Validation'!L11</f>
        <v>-2.59150564670563E-3</v>
      </c>
      <c r="M11" s="5">
        <f>'Proximal Validation'!M11</f>
        <v>2.7324184775352499E-2</v>
      </c>
      <c r="N11" s="5">
        <f>'Proximal Validation'!N11</f>
        <v>-0.13145609200000799</v>
      </c>
      <c r="O11" s="5">
        <f>'Proximal Validation'!O11</f>
        <v>-0.136582016944885</v>
      </c>
      <c r="P11" s="5">
        <f>'Proximal Validation'!P11</f>
        <v>-0.61641645431518599</v>
      </c>
      <c r="Q11" s="5">
        <f>'Proximal Validation'!Q11</f>
        <v>-0.23403739929199199</v>
      </c>
      <c r="R11" s="5">
        <v>0.2641148139595752</v>
      </c>
      <c r="S11" s="5">
        <v>0.18202031217043588</v>
      </c>
      <c r="T11" s="5">
        <v>2.4192451452119119</v>
      </c>
      <c r="U11" s="5">
        <v>1.5707963267948966</v>
      </c>
      <c r="V11" s="5">
        <v>0.59373935599664018</v>
      </c>
      <c r="W11" s="5">
        <v>9.3598741733366173E-2</v>
      </c>
      <c r="X11" s="5">
        <v>3.8958881173858528</v>
      </c>
      <c r="Y11" s="5">
        <v>1.5707963267948966</v>
      </c>
      <c r="Z11" s="19">
        <v>5.2798407825688896E-9</v>
      </c>
      <c r="AA11" s="5">
        <f t="shared" si="0"/>
        <v>-0.13588518604042482</v>
      </c>
      <c r="AB11" s="5">
        <f t="shared" si="1"/>
        <v>2.020312170435884E-3</v>
      </c>
      <c r="AC11" s="5">
        <f t="shared" si="2"/>
        <v>-0.72275485478808799</v>
      </c>
      <c r="AD11" s="5">
        <f t="shared" si="3"/>
        <v>0</v>
      </c>
      <c r="AE11" s="5">
        <f t="shared" si="4"/>
        <v>0.19373935599664016</v>
      </c>
      <c r="AF11" s="5">
        <f t="shared" si="5"/>
        <v>7.3598741733366169E-2</v>
      </c>
      <c r="AG11" s="5">
        <f t="shared" si="6"/>
        <v>-3.1111882614147213E-2</v>
      </c>
      <c r="AH11" s="5">
        <f t="shared" si="7"/>
        <v>0</v>
      </c>
      <c r="AI11" s="9">
        <f t="shared" si="9"/>
        <v>0.16481227101853249</v>
      </c>
      <c r="AJ11" s="9">
        <f t="shared" si="8"/>
        <v>3.7809526951901026E-2</v>
      </c>
      <c r="AK11" s="9">
        <f t="shared" si="8"/>
        <v>0.3769333687011176</v>
      </c>
      <c r="AL11" s="13"/>
      <c r="AM11" s="13"/>
      <c r="AN11" s="13"/>
    </row>
    <row r="12" spans="1:45" x14ac:dyDescent="0.25">
      <c r="A12" s="5">
        <f>'Proximal Validation'!A12</f>
        <v>0.7</v>
      </c>
      <c r="B12" s="5">
        <f>'Proximal Validation'!B12</f>
        <v>0.18</v>
      </c>
      <c r="C12" s="5">
        <f>'Proximal Validation'!C12</f>
        <v>3.1419999999999999</v>
      </c>
      <c r="D12" s="5">
        <f>'Proximal Validation'!D12</f>
        <v>1.5707963267948966</v>
      </c>
      <c r="E12" s="5">
        <f>'Proximal Validation'!E12</f>
        <v>0.8</v>
      </c>
      <c r="F12" s="5">
        <f>'Proximal Validation'!F12</f>
        <v>0.04</v>
      </c>
      <c r="G12" s="5">
        <f>'Proximal Validation'!G12</f>
        <v>3.927</v>
      </c>
      <c r="H12" s="5">
        <f>'Proximal Validation'!H12</f>
        <v>1.5707963267948966</v>
      </c>
      <c r="I12" s="5">
        <f>'Proximal Validation'!I12</f>
        <v>0.4</v>
      </c>
      <c r="J12" s="5">
        <f>'Proximal Validation'!J12</f>
        <v>0</v>
      </c>
      <c r="K12" s="5">
        <f>'Proximal Validation'!K12</f>
        <v>0</v>
      </c>
      <c r="L12" s="5">
        <f>'Proximal Validation'!L12</f>
        <v>-2.8818771243095398E-3</v>
      </c>
      <c r="M12" s="5">
        <f>'Proximal Validation'!M12</f>
        <v>6.48805126547813E-2</v>
      </c>
      <c r="N12" s="5">
        <f>'Proximal Validation'!N12</f>
        <v>-0.26836296916008001</v>
      </c>
      <c r="O12" s="5">
        <f>'Proximal Validation'!O12</f>
        <v>-0.61091923713684104</v>
      </c>
      <c r="P12" s="5">
        <f>'Proximal Validation'!P12</f>
        <v>-1.14929687976837</v>
      </c>
      <c r="Q12" s="5">
        <f>'Proximal Validation'!Q12</f>
        <v>-0.46333062648773199</v>
      </c>
      <c r="R12" s="5">
        <v>0.74443735012885348</v>
      </c>
      <c r="S12" s="5">
        <v>0.16739676127741501</v>
      </c>
      <c r="T12" s="5">
        <v>2.905499374475716</v>
      </c>
      <c r="U12" s="5">
        <v>1.5707963267948966</v>
      </c>
      <c r="V12" s="5">
        <v>0.86835712261845432</v>
      </c>
      <c r="W12" s="5">
        <v>8.2162012403960274E-2</v>
      </c>
      <c r="X12" s="5">
        <v>3.9663755649672563</v>
      </c>
      <c r="Y12" s="5">
        <v>1.5707963267948966</v>
      </c>
      <c r="Z12" s="19">
        <v>1.735818570121724E-7</v>
      </c>
      <c r="AA12" s="5">
        <f t="shared" si="0"/>
        <v>4.4437350128853526E-2</v>
      </c>
      <c r="AB12" s="5">
        <f t="shared" si="1"/>
        <v>-1.2603238722584981E-2</v>
      </c>
      <c r="AC12" s="5">
        <f t="shared" si="2"/>
        <v>-0.23650062552428386</v>
      </c>
      <c r="AD12" s="5">
        <f t="shared" si="3"/>
        <v>0</v>
      </c>
      <c r="AE12" s="5">
        <f t="shared" si="4"/>
        <v>6.835712261845428E-2</v>
      </c>
      <c r="AF12" s="5">
        <f t="shared" si="5"/>
        <v>4.2162012403960274E-2</v>
      </c>
      <c r="AG12" s="5">
        <f t="shared" si="6"/>
        <v>3.9375564967256249E-2</v>
      </c>
      <c r="AH12" s="5">
        <f t="shared" si="7"/>
        <v>0</v>
      </c>
      <c r="AI12" s="9">
        <f t="shared" si="9"/>
        <v>5.6397236373653903E-2</v>
      </c>
      <c r="AJ12" s="9">
        <f t="shared" si="8"/>
        <v>2.7382625563272627E-2</v>
      </c>
      <c r="AK12" s="9">
        <f t="shared" si="8"/>
        <v>0.13793809524577005</v>
      </c>
    </row>
    <row r="13" spans="1:45" x14ac:dyDescent="0.25">
      <c r="A13" s="5">
        <f>'Proximal Validation'!A13</f>
        <v>0.3</v>
      </c>
      <c r="B13" s="5">
        <f>'Proximal Validation'!B13</f>
        <v>0.12</v>
      </c>
      <c r="C13" s="5">
        <f>'Proximal Validation'!C13</f>
        <v>4.7119999999999997</v>
      </c>
      <c r="D13" s="5">
        <f>'Proximal Validation'!D13</f>
        <v>1.5707963267948966</v>
      </c>
      <c r="E13" s="5">
        <f>'Proximal Validation'!E13</f>
        <v>0.3</v>
      </c>
      <c r="F13" s="5">
        <f>'Proximal Validation'!F13</f>
        <v>0.04</v>
      </c>
      <c r="G13" s="5">
        <f>'Proximal Validation'!G13</f>
        <v>4.7119999999999997</v>
      </c>
      <c r="H13" s="5">
        <f>'Proximal Validation'!H13</f>
        <v>1.5707963267948966</v>
      </c>
      <c r="I13" s="5">
        <f>'Proximal Validation'!I13</f>
        <v>0.4</v>
      </c>
      <c r="J13" s="5">
        <f>'Proximal Validation'!J13</f>
        <v>0</v>
      </c>
      <c r="K13" s="5">
        <f>'Proximal Validation'!K13</f>
        <v>0</v>
      </c>
      <c r="L13" s="5">
        <f>'Proximal Validation'!L13</f>
        <v>-1.0846329387277399E-3</v>
      </c>
      <c r="M13" s="5">
        <f>'Proximal Validation'!M13</f>
        <v>0.105407744646072</v>
      </c>
      <c r="N13" s="5">
        <f>'Proximal Validation'!N13</f>
        <v>-7.5431093573570304E-3</v>
      </c>
      <c r="O13" s="5">
        <f>'Proximal Validation'!O13</f>
        <v>-4.4421639293432201E-2</v>
      </c>
      <c r="P13" s="5">
        <f>'Proximal Validation'!P13</f>
        <v>-5.3632915019989E-2</v>
      </c>
      <c r="Q13" s="5">
        <f>'Proximal Validation'!Q13</f>
        <v>-0.59106355905532804</v>
      </c>
      <c r="R13" s="5">
        <v>0.85056815635664629</v>
      </c>
      <c r="S13" s="5">
        <v>7.7557827187846623E-2</v>
      </c>
      <c r="T13" s="5">
        <v>4.7205624614308261</v>
      </c>
      <c r="U13" s="5">
        <v>1.5707963267948966</v>
      </c>
      <c r="V13" s="5">
        <v>0.26360679350106492</v>
      </c>
      <c r="W13" s="5">
        <v>5.4148218840250145E-2</v>
      </c>
      <c r="X13" s="5">
        <v>1.8021127564263479</v>
      </c>
      <c r="Y13" s="5">
        <v>1.5707963267948966</v>
      </c>
      <c r="Z13" s="19">
        <v>3.7672500991470073E-8</v>
      </c>
      <c r="AA13" s="5">
        <f t="shared" si="0"/>
        <v>0.55056815635664624</v>
      </c>
      <c r="AB13" s="5">
        <f t="shared" si="1"/>
        <v>-4.2442172812153373E-2</v>
      </c>
      <c r="AC13" s="5">
        <f t="shared" si="2"/>
        <v>8.5624614308263958E-3</v>
      </c>
      <c r="AD13" s="5">
        <f t="shared" si="3"/>
        <v>0</v>
      </c>
      <c r="AE13" s="5">
        <f t="shared" si="4"/>
        <v>-3.6393206498935071E-2</v>
      </c>
      <c r="AF13" s="5">
        <f t="shared" si="5"/>
        <v>1.4148218840250144E-2</v>
      </c>
      <c r="AG13" s="5">
        <f t="shared" si="6"/>
        <v>-2.9098872435736518</v>
      </c>
      <c r="AH13" s="5">
        <f t="shared" si="7"/>
        <v>0</v>
      </c>
      <c r="AI13" s="9">
        <f t="shared" si="9"/>
        <v>0.29348068142779066</v>
      </c>
      <c r="AJ13" s="9">
        <f t="shared" si="8"/>
        <v>2.8295195826201758E-2</v>
      </c>
      <c r="AK13" s="9">
        <f t="shared" si="8"/>
        <v>1.4592248525022391</v>
      </c>
      <c r="AL13" s="13"/>
      <c r="AM13" s="13"/>
      <c r="AN13" s="13"/>
    </row>
    <row r="14" spans="1:45" x14ac:dyDescent="0.25">
      <c r="A14" s="5">
        <f>'Proximal Validation'!A14</f>
        <v>0.8</v>
      </c>
      <c r="B14" s="5">
        <f>'Proximal Validation'!B14</f>
        <v>0.12</v>
      </c>
      <c r="C14" s="5">
        <f>'Proximal Validation'!C14</f>
        <v>4.7119999999999997</v>
      </c>
      <c r="D14" s="5">
        <f>'Proximal Validation'!D14</f>
        <v>1.5707963267948966</v>
      </c>
      <c r="E14" s="5">
        <f>'Proximal Validation'!E14</f>
        <v>0.7</v>
      </c>
      <c r="F14" s="5">
        <f>'Proximal Validation'!F14</f>
        <v>0.02</v>
      </c>
      <c r="G14" s="5">
        <f>'Proximal Validation'!G14</f>
        <v>3.1419999999999999</v>
      </c>
      <c r="H14" s="5">
        <f>'Proximal Validation'!H14</f>
        <v>1.5707963267948966</v>
      </c>
      <c r="I14" s="5">
        <f>'Proximal Validation'!I14</f>
        <v>0</v>
      </c>
      <c r="J14" s="5">
        <f>'Proximal Validation'!J14</f>
        <v>0</v>
      </c>
      <c r="K14" s="5">
        <f>'Proximal Validation'!K14</f>
        <v>0</v>
      </c>
      <c r="L14" s="5">
        <f>'Proximal Validation'!L14</f>
        <v>-1.21277570724487E-3</v>
      </c>
      <c r="M14" s="5">
        <f>'Proximal Validation'!M14</f>
        <v>0.189176306128502</v>
      </c>
      <c r="N14" s="5">
        <f>'Proximal Validation'!N14</f>
        <v>-8.0510884523391696E-2</v>
      </c>
      <c r="O14" s="5">
        <f>'Proximal Validation'!O14</f>
        <v>-0.25100401043891901</v>
      </c>
      <c r="P14" s="5">
        <f>'Proximal Validation'!P14</f>
        <v>-0.70138603448867798</v>
      </c>
      <c r="Q14" s="5">
        <f>'Proximal Validation'!Q14</f>
        <v>-0.86990654468536399</v>
      </c>
      <c r="R14" s="5">
        <v>0.96313294184985332</v>
      </c>
      <c r="S14" s="5">
        <v>0.11573459996829016</v>
      </c>
      <c r="T14" s="5">
        <v>4.67188229418998</v>
      </c>
      <c r="U14" s="5">
        <v>1.5707963267948966</v>
      </c>
      <c r="V14" s="5">
        <v>0.66503572447894166</v>
      </c>
      <c r="W14" s="5">
        <v>2.0203519249011218E-2</v>
      </c>
      <c r="X14" s="5">
        <v>3.0673489601123038</v>
      </c>
      <c r="Y14" s="5">
        <v>1.5707963267948966</v>
      </c>
      <c r="Z14" s="19">
        <v>5.8574947019272704E-7</v>
      </c>
      <c r="AA14" s="5">
        <f t="shared" si="0"/>
        <v>0.16313294184985327</v>
      </c>
      <c r="AB14" s="5">
        <f t="shared" si="1"/>
        <v>-4.2654000317098317E-3</v>
      </c>
      <c r="AC14" s="5">
        <f t="shared" si="2"/>
        <v>-4.0117705810019721E-2</v>
      </c>
      <c r="AD14" s="5">
        <f t="shared" si="3"/>
        <v>0</v>
      </c>
      <c r="AE14" s="5">
        <f t="shared" si="4"/>
        <v>-3.4964275521058297E-2</v>
      </c>
      <c r="AF14" s="5">
        <f t="shared" si="5"/>
        <v>2.0351924901121712E-4</v>
      </c>
      <c r="AG14" s="5">
        <f t="shared" si="6"/>
        <v>-7.4651039887696058E-2</v>
      </c>
      <c r="AH14" s="5">
        <f t="shared" si="7"/>
        <v>0</v>
      </c>
      <c r="AI14" s="9">
        <f t="shared" si="9"/>
        <v>9.9048608685455786E-2</v>
      </c>
      <c r="AJ14" s="9">
        <f t="shared" si="8"/>
        <v>2.2344596403605244E-3</v>
      </c>
      <c r="AK14" s="9">
        <f t="shared" si="8"/>
        <v>5.738437284885789E-2</v>
      </c>
    </row>
    <row r="15" spans="1:45" x14ac:dyDescent="0.25">
      <c r="A15" s="5">
        <f>'Proximal Validation'!A15</f>
        <v>0.4</v>
      </c>
      <c r="B15" s="5">
        <f>'Proximal Validation'!B15</f>
        <v>0.18</v>
      </c>
      <c r="C15" s="5">
        <f>'Proximal Validation'!C15</f>
        <v>4.7119999999999997</v>
      </c>
      <c r="D15" s="5">
        <f>'Proximal Validation'!D15</f>
        <v>1.5707963267948966</v>
      </c>
      <c r="E15" s="5">
        <f>'Proximal Validation'!E15</f>
        <v>0.5</v>
      </c>
      <c r="F15" s="5">
        <f>'Proximal Validation'!F15</f>
        <v>0.06</v>
      </c>
      <c r="G15" s="5">
        <f>'Proximal Validation'!G15</f>
        <v>3.1419999999999999</v>
      </c>
      <c r="H15" s="5">
        <f>'Proximal Validation'!H15</f>
        <v>1.5707963267948966</v>
      </c>
      <c r="I15" s="5">
        <f>'Proximal Validation'!I15</f>
        <v>0.4</v>
      </c>
      <c r="J15" s="5">
        <f>'Proximal Validation'!J15</f>
        <v>0</v>
      </c>
      <c r="K15" s="5">
        <f>'Proximal Validation'!K15</f>
        <v>0</v>
      </c>
      <c r="L15" s="5">
        <f>'Proximal Validation'!L15</f>
        <v>-2.4155117571353899E-3</v>
      </c>
      <c r="M15" s="5">
        <f>'Proximal Validation'!M15</f>
        <v>0.104980133473873</v>
      </c>
      <c r="N15" s="5">
        <f>'Proximal Validation'!N15</f>
        <v>-7.43569061160088E-2</v>
      </c>
      <c r="O15" s="5">
        <f>'Proximal Validation'!O15</f>
        <v>-0.116804644465446</v>
      </c>
      <c r="P15" s="5">
        <f>'Proximal Validation'!P15</f>
        <v>-0.49594429135322599</v>
      </c>
      <c r="Q15" s="5">
        <f>'Proximal Validation'!Q15</f>
        <v>-0.37272521853446999</v>
      </c>
      <c r="R15" s="5">
        <v>0.79908970812182323</v>
      </c>
      <c r="S15" s="5">
        <v>0.10679225625647949</v>
      </c>
      <c r="T15" s="5">
        <v>4.463986983253486</v>
      </c>
      <c r="U15" s="5">
        <v>1.5707963267948966</v>
      </c>
      <c r="V15" s="5">
        <v>0.49357078732614001</v>
      </c>
      <c r="W15" s="5">
        <v>2.9187507496642305E-2</v>
      </c>
      <c r="X15" s="5">
        <v>2.2319726513904712</v>
      </c>
      <c r="Y15" s="5">
        <v>1.5707963267948966</v>
      </c>
      <c r="Z15" s="19">
        <v>3.0441949527082943E-8</v>
      </c>
      <c r="AA15" s="5">
        <f t="shared" si="0"/>
        <v>0.39908970812182321</v>
      </c>
      <c r="AB15" s="5">
        <f t="shared" si="1"/>
        <v>-7.3207743743520501E-2</v>
      </c>
      <c r="AC15" s="5">
        <f t="shared" si="2"/>
        <v>-0.24801301674651377</v>
      </c>
      <c r="AD15" s="5">
        <f t="shared" si="3"/>
        <v>0</v>
      </c>
      <c r="AE15" s="5">
        <f t="shared" si="4"/>
        <v>-6.4292126738599853E-3</v>
      </c>
      <c r="AF15" s="5">
        <f t="shared" si="5"/>
        <v>-3.0812492503357693E-2</v>
      </c>
      <c r="AG15" s="5">
        <f t="shared" si="6"/>
        <v>-0.91002734860952872</v>
      </c>
      <c r="AH15" s="5">
        <f t="shared" si="7"/>
        <v>0</v>
      </c>
      <c r="AI15" s="9">
        <f t="shared" si="9"/>
        <v>0.2027594603978416</v>
      </c>
      <c r="AJ15" s="9">
        <f t="shared" si="8"/>
        <v>5.20101181234391E-2</v>
      </c>
      <c r="AK15" s="9">
        <f t="shared" si="8"/>
        <v>0.57902018267802124</v>
      </c>
    </row>
    <row r="16" spans="1:45" x14ac:dyDescent="0.25">
      <c r="A16" s="5">
        <f>'Proximal Validation'!A16</f>
        <v>0.5</v>
      </c>
      <c r="B16" s="5">
        <f>'Proximal Validation'!B16</f>
        <v>0.2</v>
      </c>
      <c r="C16" s="5">
        <f>'Proximal Validation'!C16</f>
        <v>4.7119999999999997</v>
      </c>
      <c r="D16" s="5">
        <f>'Proximal Validation'!D16</f>
        <v>1.5707963267948966</v>
      </c>
      <c r="E16" s="5">
        <f>'Proximal Validation'!E16</f>
        <v>0.7</v>
      </c>
      <c r="F16" s="5">
        <f>'Proximal Validation'!F16</f>
        <v>0.02</v>
      </c>
      <c r="G16" s="5">
        <f>'Proximal Validation'!G16</f>
        <v>4.7119999999999997</v>
      </c>
      <c r="H16" s="5">
        <f>'Proximal Validation'!H16</f>
        <v>1.5707963267948966</v>
      </c>
      <c r="I16" s="5">
        <f>'Proximal Validation'!I16</f>
        <v>0.8</v>
      </c>
      <c r="J16" s="5">
        <f>'Proximal Validation'!J16</f>
        <v>0</v>
      </c>
      <c r="K16" s="5">
        <f>'Proximal Validation'!K16</f>
        <v>0</v>
      </c>
      <c r="L16" s="5">
        <f>'Proximal Validation'!L16</f>
        <v>-7.0373835042119E-3</v>
      </c>
      <c r="M16" s="5">
        <f>'Proximal Validation'!M16</f>
        <v>0.19658188521861999</v>
      </c>
      <c r="N16" s="5">
        <f>'Proximal Validation'!N16</f>
        <v>-9.0219676494598406E-3</v>
      </c>
      <c r="O16" s="5">
        <f>'Proximal Validation'!O16</f>
        <v>-0.253807783126831</v>
      </c>
      <c r="P16" s="5">
        <f>'Proximal Validation'!P16</f>
        <v>-4.6346724033355699E-2</v>
      </c>
      <c r="Q16" s="5">
        <f>'Proximal Validation'!Q16</f>
        <v>-1.05074739456177</v>
      </c>
      <c r="R16" s="5">
        <v>0.61153017761496586</v>
      </c>
      <c r="S16" s="5">
        <v>0.15908244702698321</v>
      </c>
      <c r="T16" s="5">
        <v>4.6633997241134617</v>
      </c>
      <c r="U16" s="5">
        <v>1.5707963267948966</v>
      </c>
      <c r="V16" s="5">
        <v>0.45827334574417955</v>
      </c>
      <c r="W16" s="5">
        <v>2.0000000002754374E-2</v>
      </c>
      <c r="X16" s="5">
        <v>4.6784400757844065</v>
      </c>
      <c r="Y16" s="5">
        <v>1.5707963267948966</v>
      </c>
      <c r="Z16" s="19">
        <v>1.3411288788974802E-6</v>
      </c>
      <c r="AA16" s="5">
        <f t="shared" si="0"/>
        <v>0.11153017761496586</v>
      </c>
      <c r="AB16" s="5">
        <f t="shared" si="1"/>
        <v>-4.0917552973016802E-2</v>
      </c>
      <c r="AC16" s="5">
        <f t="shared" si="2"/>
        <v>-4.8600275886538036E-2</v>
      </c>
      <c r="AD16" s="5">
        <f t="shared" si="3"/>
        <v>0</v>
      </c>
      <c r="AE16" s="5">
        <f t="shared" si="4"/>
        <v>-0.24172665425582041</v>
      </c>
      <c r="AF16" s="5">
        <f t="shared" si="5"/>
        <v>2.7543731184742626E-12</v>
      </c>
      <c r="AG16" s="5">
        <f t="shared" si="6"/>
        <v>-3.3559924215593284E-2</v>
      </c>
      <c r="AH16" s="5">
        <f t="shared" si="7"/>
        <v>0</v>
      </c>
      <c r="AI16" s="9">
        <f t="shared" si="9"/>
        <v>0.17662841593539313</v>
      </c>
      <c r="AJ16" s="9">
        <f t="shared" si="8"/>
        <v>2.0458776487885588E-2</v>
      </c>
      <c r="AK16" s="9">
        <f t="shared" si="8"/>
        <v>4.108010005106566E-2</v>
      </c>
    </row>
    <row r="17" spans="1:37" x14ac:dyDescent="0.25">
      <c r="A17" s="5">
        <f>'Proximal Validation'!A17</f>
        <v>0.7</v>
      </c>
      <c r="B17" s="5">
        <f>'Proximal Validation'!B17</f>
        <v>0.2</v>
      </c>
      <c r="C17" s="5">
        <f>'Proximal Validation'!C17</f>
        <v>4.7119999999999997</v>
      </c>
      <c r="D17" s="5">
        <f>'Proximal Validation'!D17</f>
        <v>1.5707963267948966</v>
      </c>
      <c r="E17" s="5">
        <f>'Proximal Validation'!E17</f>
        <v>0.3</v>
      </c>
      <c r="F17" s="5">
        <f>'Proximal Validation'!F17</f>
        <v>0.08</v>
      </c>
      <c r="G17" s="5">
        <f>'Proximal Validation'!G17</f>
        <v>3.1419999999999999</v>
      </c>
      <c r="H17" s="5">
        <f>'Proximal Validation'!H17</f>
        <v>1.5707963267948966</v>
      </c>
      <c r="I17" s="5">
        <f>'Proximal Validation'!I17</f>
        <v>0</v>
      </c>
      <c r="J17" s="5">
        <f>'Proximal Validation'!J17</f>
        <v>0</v>
      </c>
      <c r="K17" s="5">
        <f>'Proximal Validation'!K17</f>
        <v>0</v>
      </c>
      <c r="L17" s="5">
        <f>'Proximal Validation'!L17</f>
        <v>-1.45209429319948E-3</v>
      </c>
      <c r="M17" s="5">
        <f>'Proximal Validation'!M17</f>
        <v>0.158558174967766</v>
      </c>
      <c r="N17" s="5">
        <f>'Proximal Validation'!N17</f>
        <v>-4.6406555920839303E-2</v>
      </c>
      <c r="O17" s="5">
        <f>'Proximal Validation'!O17</f>
        <v>-0.53051334619522095</v>
      </c>
      <c r="P17" s="5">
        <f>'Proximal Validation'!P17</f>
        <v>-0.25099590420723</v>
      </c>
      <c r="Q17" s="5">
        <f>'Proximal Validation'!Q17</f>
        <v>-0.37296327948570301</v>
      </c>
      <c r="R17" s="5">
        <v>0.84976901009664274</v>
      </c>
      <c r="S17" s="5">
        <v>0.18856696056168176</v>
      </c>
      <c r="T17" s="5">
        <v>4.7092106156036255</v>
      </c>
      <c r="U17" s="5">
        <v>1.5707963267948966</v>
      </c>
      <c r="V17" s="5">
        <v>0.35506230982142589</v>
      </c>
      <c r="W17" s="5">
        <v>9.0868204339701164E-2</v>
      </c>
      <c r="X17" s="5">
        <v>2.4287494264630705</v>
      </c>
      <c r="Y17" s="5">
        <v>1.5707963267948966</v>
      </c>
      <c r="Z17" s="19">
        <v>4.6937917074889984E-8</v>
      </c>
      <c r="AA17" s="5">
        <f t="shared" si="0"/>
        <v>0.14976901009664279</v>
      </c>
      <c r="AB17" s="5">
        <f t="shared" si="1"/>
        <v>-1.1433039438318249E-2</v>
      </c>
      <c r="AC17" s="5">
        <f t="shared" si="2"/>
        <v>-2.7893843963742171E-3</v>
      </c>
      <c r="AD17" s="5">
        <f t="shared" si="3"/>
        <v>0</v>
      </c>
      <c r="AE17" s="5">
        <f t="shared" si="4"/>
        <v>5.5062309821425903E-2</v>
      </c>
      <c r="AF17" s="5">
        <f t="shared" si="5"/>
        <v>1.0868204339701162E-2</v>
      </c>
      <c r="AG17" s="5">
        <f t="shared" si="6"/>
        <v>-0.71325057353692944</v>
      </c>
      <c r="AH17" s="5">
        <f t="shared" si="7"/>
        <v>0</v>
      </c>
      <c r="AI17" s="9">
        <f t="shared" si="9"/>
        <v>0.10241565995903434</v>
      </c>
      <c r="AJ17" s="9">
        <f t="shared" si="8"/>
        <v>1.1150621889009706E-2</v>
      </c>
      <c r="AK17" s="9">
        <f t="shared" si="8"/>
        <v>0.35801997896665183</v>
      </c>
    </row>
  </sheetData>
  <mergeCells count="7">
    <mergeCell ref="AL5:AS5"/>
    <mergeCell ref="A1:K1"/>
    <mergeCell ref="L1:Q1"/>
    <mergeCell ref="AA1:AH1"/>
    <mergeCell ref="AI1:AS1"/>
    <mergeCell ref="AL2:AS2"/>
    <mergeCell ref="R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694B-5559-4F77-AE8E-F8C359B8D2F6}">
  <dimension ref="A1:AS79"/>
  <sheetViews>
    <sheetView tabSelected="1" topLeftCell="P1" workbookViewId="0">
      <pane ySplit="2" topLeftCell="A3" activePane="bottomLeft" state="frozen"/>
      <selection activeCell="K1" sqref="K1"/>
      <selection pane="bottomLeft" activeCell="AL23" sqref="AL23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1" bestFit="1" customWidth="1"/>
    <col min="36" max="36" width="13.85546875" bestFit="1" customWidth="1"/>
    <col min="37" max="37" width="11.140625" bestFit="1" customWidth="1"/>
    <col min="38" max="38" width="11" bestFit="1" customWidth="1"/>
    <col min="39" max="39" width="13.85546875" bestFit="1" customWidth="1"/>
    <col min="40" max="40" width="11.140625" bestFit="1" customWidth="1"/>
  </cols>
  <sheetData>
    <row r="1" spans="1:45" ht="15.75" x14ac:dyDescent="0.25">
      <c r="A1" s="21" t="s">
        <v>11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6</v>
      </c>
      <c r="M1" s="24"/>
      <c r="N1" s="24"/>
      <c r="O1" s="24"/>
      <c r="P1" s="24"/>
      <c r="Q1" s="24"/>
      <c r="R1" s="33" t="s">
        <v>7</v>
      </c>
      <c r="S1" s="34"/>
      <c r="T1" s="34"/>
      <c r="U1" s="34"/>
      <c r="V1" s="34"/>
      <c r="W1" s="34"/>
      <c r="X1" s="34"/>
      <c r="Y1" s="34"/>
      <c r="Z1" s="34"/>
      <c r="AA1" s="31" t="s">
        <v>13</v>
      </c>
      <c r="AB1" s="31"/>
      <c r="AC1" s="31"/>
      <c r="AD1" s="31"/>
      <c r="AE1" s="31"/>
      <c r="AF1" s="31"/>
      <c r="AG1" s="31"/>
      <c r="AH1" s="31"/>
      <c r="AI1" s="32" t="s">
        <v>36</v>
      </c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spans="1:45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7" t="s">
        <v>33</v>
      </c>
      <c r="AJ2" s="7" t="s">
        <v>34</v>
      </c>
      <c r="AK2" s="7" t="s">
        <v>35</v>
      </c>
      <c r="AL2" s="30" t="s">
        <v>31</v>
      </c>
      <c r="AM2" s="30"/>
      <c r="AN2" s="30"/>
      <c r="AO2" s="30"/>
      <c r="AP2" s="30"/>
      <c r="AQ2" s="30"/>
      <c r="AR2" s="30"/>
      <c r="AS2" s="30"/>
    </row>
    <row r="3" spans="1:45" ht="15.75" x14ac:dyDescent="0.25">
      <c r="A3" s="5">
        <f>'Proximal Validation'!A3</f>
        <v>0.5</v>
      </c>
      <c r="B3" s="5">
        <f>'Proximal Validation'!B3</f>
        <v>0.12</v>
      </c>
      <c r="C3" s="5">
        <f>'Proximal Validation'!C3</f>
        <v>1.57</v>
      </c>
      <c r="D3" s="5">
        <f>'Proximal Validation'!D3</f>
        <v>1.5707963267948966</v>
      </c>
      <c r="E3" s="5">
        <f>'Proximal Validation'!E3</f>
        <v>0.3</v>
      </c>
      <c r="F3" s="5">
        <f>'Proximal Validation'!F3</f>
        <v>0.02</v>
      </c>
      <c r="G3" s="5">
        <f>'Proximal Validation'!G3</f>
        <v>3.1419999999999999</v>
      </c>
      <c r="H3" s="5">
        <f>'Proximal Validation'!H3</f>
        <v>1.5707963267948966</v>
      </c>
      <c r="I3" s="5">
        <f>'Proximal Validation'!I3</f>
        <v>0.8</v>
      </c>
      <c r="J3" s="5">
        <f>'Proximal Validation'!J3</f>
        <v>0</v>
      </c>
      <c r="K3" s="5">
        <f>'Proximal Validation'!K3</f>
        <v>0</v>
      </c>
      <c r="L3" s="5">
        <f>'Proximal Validation'!L3</f>
        <v>3.8069719448685603E-4</v>
      </c>
      <c r="M3" s="5">
        <f>'Proximal Validation'!M3</f>
        <v>-9.6344932913780199E-2</v>
      </c>
      <c r="N3" s="5">
        <f>'Proximal Validation'!N3</f>
        <v>-3.3478599041700398E-2</v>
      </c>
      <c r="O3" s="5">
        <f>'Proximal Validation'!O3</f>
        <v>-8.2021892070770305E-2</v>
      </c>
      <c r="P3" s="5">
        <f>'Proximal Validation'!P3</f>
        <v>-0.28456717729568498</v>
      </c>
      <c r="Q3" s="5">
        <f>'Proximal Validation'!Q3</f>
        <v>0.41270199418067899</v>
      </c>
      <c r="R3" s="5">
        <v>0.46494919406425178</v>
      </c>
      <c r="S3" s="5">
        <v>0.12939584928923337</v>
      </c>
      <c r="T3" s="5">
        <v>1.6190715077517868</v>
      </c>
      <c r="U3" s="5">
        <v>1.5707963267948966</v>
      </c>
      <c r="V3" s="5">
        <v>0.26409831164704506</v>
      </c>
      <c r="W3" s="5">
        <v>2.0009487707417728E-2</v>
      </c>
      <c r="X3" s="5">
        <v>3.3050218707657288</v>
      </c>
      <c r="Y3" s="5">
        <v>1.5707963267948966</v>
      </c>
      <c r="Z3" s="12">
        <v>5.5579083927524182E-6</v>
      </c>
      <c r="AA3" s="5">
        <f t="shared" ref="AA3:AH17" si="0">R3-A3</f>
        <v>-3.5050805935748219E-2</v>
      </c>
      <c r="AB3" s="5">
        <f t="shared" si="0"/>
        <v>9.3958492892333711E-3</v>
      </c>
      <c r="AC3" s="5">
        <f t="shared" si="0"/>
        <v>4.9071507751786703E-2</v>
      </c>
      <c r="AD3" s="5">
        <f t="shared" si="0"/>
        <v>0</v>
      </c>
      <c r="AE3" s="5">
        <f t="shared" si="0"/>
        <v>-3.590168835295493E-2</v>
      </c>
      <c r="AF3" s="5">
        <f t="shared" si="0"/>
        <v>9.4877074177275589E-6</v>
      </c>
      <c r="AG3" s="5">
        <f t="shared" si="0"/>
        <v>0.16302187076572894</v>
      </c>
      <c r="AH3" s="5">
        <f t="shared" si="0"/>
        <v>0</v>
      </c>
      <c r="AI3" s="9">
        <f>AVERAGE(ABS(AA3),ABS(AE3))</f>
        <v>3.5476247144351575E-2</v>
      </c>
      <c r="AJ3" s="9">
        <f t="shared" ref="AJ3:AK17" si="1">AVERAGE(ABS(AB3),ABS(AF3))</f>
        <v>4.7026684983255494E-3</v>
      </c>
      <c r="AK3" s="9">
        <f t="shared" si="1"/>
        <v>0.10604668925875782</v>
      </c>
      <c r="AL3" s="1" t="s">
        <v>23</v>
      </c>
      <c r="AM3" s="1" t="s">
        <v>24</v>
      </c>
      <c r="AN3" s="1" t="s">
        <v>25</v>
      </c>
      <c r="AO3" s="1" t="s">
        <v>29</v>
      </c>
      <c r="AP3" s="1" t="s">
        <v>26</v>
      </c>
      <c r="AQ3" s="1" t="s">
        <v>27</v>
      </c>
      <c r="AR3" s="1" t="s">
        <v>28</v>
      </c>
      <c r="AS3" s="1" t="s">
        <v>30</v>
      </c>
    </row>
    <row r="4" spans="1:45" x14ac:dyDescent="0.25">
      <c r="A4" s="14">
        <f>'Proximal Validation'!A4</f>
        <v>0.5</v>
      </c>
      <c r="B4" s="14">
        <f>'Proximal Validation'!B4</f>
        <v>0.12</v>
      </c>
      <c r="C4" s="14">
        <f>'Proximal Validation'!C4</f>
        <v>1.57</v>
      </c>
      <c r="D4" s="14">
        <f>'Proximal Validation'!D4</f>
        <v>1.5707963267948966</v>
      </c>
      <c r="E4" s="14">
        <f>'Proximal Validation'!E4</f>
        <v>0.7</v>
      </c>
      <c r="F4" s="14">
        <f>'Proximal Validation'!F4</f>
        <v>0.06</v>
      </c>
      <c r="G4" s="14">
        <f>'Proximal Validation'!G4</f>
        <v>4.7119999999999997</v>
      </c>
      <c r="H4" s="14">
        <f>'Proximal Validation'!H4</f>
        <v>1.5707963267948966</v>
      </c>
      <c r="I4" s="14">
        <f>'Proximal Validation'!I4</f>
        <v>0</v>
      </c>
      <c r="J4" s="14">
        <f>'Proximal Validation'!J4</f>
        <v>0</v>
      </c>
      <c r="K4" s="14">
        <f>'Proximal Validation'!K4</f>
        <v>0</v>
      </c>
      <c r="L4" s="14">
        <f>'Proximal Validation'!L4</f>
        <v>-8.1903394311666499E-4</v>
      </c>
      <c r="M4" s="14">
        <f>'Proximal Validation'!M4</f>
        <v>-5.3245900198817296E-3</v>
      </c>
      <c r="N4" s="14">
        <f>'Proximal Validation'!N4</f>
        <v>-2.3375959135592001E-3</v>
      </c>
      <c r="O4" s="14">
        <f>'Proximal Validation'!O4</f>
        <v>-2.4775806814432101E-3</v>
      </c>
      <c r="P4" s="14">
        <f>'Proximal Validation'!P4</f>
        <v>-3.4357905387878401E-3</v>
      </c>
      <c r="Q4" s="14">
        <f>'Proximal Validation'!Q4</f>
        <v>-0.190968692302704</v>
      </c>
      <c r="R4" s="14">
        <v>0.45295586893178053</v>
      </c>
      <c r="S4" s="14">
        <v>8.336256272682778E-2</v>
      </c>
      <c r="T4" s="14">
        <v>1.5780252517185653</v>
      </c>
      <c r="U4" s="14">
        <v>1.5707963267948966</v>
      </c>
      <c r="V4" s="14">
        <v>0.64275082172063169</v>
      </c>
      <c r="W4" s="14">
        <v>2.4290449442103752E-2</v>
      </c>
      <c r="X4" s="14">
        <v>4.6985016730305746</v>
      </c>
      <c r="Y4" s="14">
        <v>1.5707963267948966</v>
      </c>
      <c r="Z4" s="15">
        <v>3.7486559566318778E-6</v>
      </c>
      <c r="AA4" s="14">
        <f t="shared" si="0"/>
        <v>-4.7044131068219475E-2</v>
      </c>
      <c r="AB4" s="14">
        <f t="shared" si="0"/>
        <v>-3.6637437273172216E-2</v>
      </c>
      <c r="AC4" s="14">
        <f t="shared" si="0"/>
        <v>8.0252517185652739E-3</v>
      </c>
      <c r="AD4" s="14">
        <f t="shared" si="0"/>
        <v>0</v>
      </c>
      <c r="AE4" s="14">
        <f t="shared" si="0"/>
        <v>-5.7249178279368262E-2</v>
      </c>
      <c r="AF4" s="14">
        <f t="shared" si="0"/>
        <v>-3.570955055789625E-2</v>
      </c>
      <c r="AG4" s="14">
        <f t="shared" si="0"/>
        <v>-1.3498326969425101E-2</v>
      </c>
      <c r="AH4" s="14">
        <f t="shared" si="0"/>
        <v>0</v>
      </c>
      <c r="AI4" s="16">
        <f t="shared" ref="AI4:AI17" si="2">AVERAGE(ABS(AA4),ABS(AE4))</f>
        <v>5.2146654673793869E-2</v>
      </c>
      <c r="AJ4" s="16">
        <f t="shared" si="1"/>
        <v>3.6173493915534233E-2</v>
      </c>
      <c r="AK4" s="16">
        <f t="shared" si="1"/>
        <v>1.0761789343995187E-2</v>
      </c>
      <c r="AL4" s="8" cm="1">
        <f t="array" ref="AL4">AVERAGE(ABS(AA3:AA17))</f>
        <v>0.10875581998903511</v>
      </c>
      <c r="AM4" s="8" cm="1">
        <f t="array" ref="AM4">AVERAGE(ABS(AB3:AB17))</f>
        <v>1.2408809674892564E-2</v>
      </c>
      <c r="AN4" s="8" cm="1">
        <f t="array" ref="AN4">AVERAGE(ABS(AC3:AC17))</f>
        <v>0.26855322373524426</v>
      </c>
      <c r="AO4" s="8" cm="1">
        <f t="array" ref="AO4">AVERAGE(ABS(AD3:AD17))</f>
        <v>0</v>
      </c>
      <c r="AP4" s="8" cm="1">
        <f t="array" ref="AP4">AVERAGE(ABS(AE3:AE17))</f>
        <v>0.15177723389536327</v>
      </c>
      <c r="AQ4" s="8" cm="1">
        <f t="array" ref="AQ4">AVERAGE(ABS(AF3:AF17))</f>
        <v>1.5460665283895706E-2</v>
      </c>
      <c r="AR4" s="8" cm="1">
        <f t="array" ref="AR4">AVERAGE(ABS(AG3:AG17))</f>
        <v>0.11680568958632016</v>
      </c>
      <c r="AS4" s="8" cm="1">
        <f t="array" ref="AS4">AVERAGE(ABS(AH3:AH17))</f>
        <v>0</v>
      </c>
    </row>
    <row r="5" spans="1:45" x14ac:dyDescent="0.25">
      <c r="A5" s="5">
        <f>'Proximal Validation'!A5</f>
        <v>0.8</v>
      </c>
      <c r="B5" s="5">
        <f>'Proximal Validation'!B5</f>
        <v>0.18</v>
      </c>
      <c r="C5" s="5">
        <f>'Proximal Validation'!C5</f>
        <v>1.57</v>
      </c>
      <c r="D5" s="5">
        <f>'Proximal Validation'!D5</f>
        <v>1.5707963267948966</v>
      </c>
      <c r="E5" s="5">
        <f>'Proximal Validation'!E5</f>
        <v>0.4</v>
      </c>
      <c r="F5" s="5">
        <f>'Proximal Validation'!F5</f>
        <v>0.08</v>
      </c>
      <c r="G5" s="5">
        <f>'Proximal Validation'!G5</f>
        <v>4.7119999999999997</v>
      </c>
      <c r="H5" s="5">
        <f>'Proximal Validation'!H5</f>
        <v>1.5707963267948966</v>
      </c>
      <c r="I5" s="5">
        <f>'Proximal Validation'!I5</f>
        <v>0.4</v>
      </c>
      <c r="J5" s="5">
        <f>'Proximal Validation'!J5</f>
        <v>0</v>
      </c>
      <c r="K5" s="5">
        <f>'Proximal Validation'!K5</f>
        <v>0</v>
      </c>
      <c r="L5" s="5">
        <f>'Proximal Validation'!L5</f>
        <v>3.4113688161596699E-4</v>
      </c>
      <c r="M5" s="5">
        <f>'Proximal Validation'!M5</f>
        <v>-0.14381006360053999</v>
      </c>
      <c r="N5" s="5">
        <f>'Proximal Validation'!N5</f>
        <v>-3.4647369757294698E-3</v>
      </c>
      <c r="O5" s="5">
        <f>'Proximal Validation'!O5</f>
        <v>-0.43965020775795</v>
      </c>
      <c r="P5" s="5">
        <f>'Proximal Validation'!P5</f>
        <v>-3.7686526775360099E-3</v>
      </c>
      <c r="Q5" s="5">
        <f>'Proximal Validation'!Q5</f>
        <v>0.28356426954269398</v>
      </c>
      <c r="R5" s="5">
        <v>0.94551212918129546</v>
      </c>
      <c r="S5" s="5">
        <v>0.17370533462932519</v>
      </c>
      <c r="T5" s="5">
        <v>1.60053519576169</v>
      </c>
      <c r="U5" s="5">
        <v>1.5707963267948966</v>
      </c>
      <c r="V5" s="5">
        <v>0.45037434758236827</v>
      </c>
      <c r="W5" s="5">
        <v>8.1459899529797444E-2</v>
      </c>
      <c r="X5" s="5">
        <v>4.7635012537812669</v>
      </c>
      <c r="Y5" s="5">
        <v>1.5707963267948966</v>
      </c>
      <c r="Z5" s="12">
        <v>1.8978163258711729E-5</v>
      </c>
      <c r="AA5" s="5">
        <f t="shared" si="0"/>
        <v>0.14551212918129541</v>
      </c>
      <c r="AB5" s="5">
        <f t="shared" si="0"/>
        <v>-6.2946653706748013E-3</v>
      </c>
      <c r="AC5" s="5">
        <f t="shared" si="0"/>
        <v>3.0535195761689948E-2</v>
      </c>
      <c r="AD5" s="5">
        <f t="shared" si="0"/>
        <v>0</v>
      </c>
      <c r="AE5" s="5">
        <f t="shared" si="0"/>
        <v>5.0374347582368251E-2</v>
      </c>
      <c r="AF5" s="5">
        <f t="shared" si="0"/>
        <v>1.4598995297974426E-3</v>
      </c>
      <c r="AG5" s="5">
        <f t="shared" si="0"/>
        <v>5.1501253781267131E-2</v>
      </c>
      <c r="AH5" s="5">
        <f t="shared" si="0"/>
        <v>0</v>
      </c>
      <c r="AI5" s="9">
        <f t="shared" si="2"/>
        <v>9.7943238381831832E-2</v>
      </c>
      <c r="AJ5" s="9">
        <f t="shared" si="1"/>
        <v>3.8772824502361219E-3</v>
      </c>
      <c r="AK5" s="9">
        <f t="shared" si="1"/>
        <v>4.101822477147854E-2</v>
      </c>
      <c r="AL5" s="30" t="s">
        <v>32</v>
      </c>
      <c r="AM5" s="30"/>
      <c r="AN5" s="30"/>
      <c r="AO5" s="30"/>
      <c r="AP5" s="30"/>
      <c r="AQ5" s="30"/>
      <c r="AR5" s="30"/>
      <c r="AS5" s="30"/>
    </row>
    <row r="6" spans="1:45" x14ac:dyDescent="0.25">
      <c r="A6" s="5">
        <f>'Proximal Validation'!A6</f>
        <v>0.3</v>
      </c>
      <c r="B6" s="5">
        <f>'Proximal Validation'!B6</f>
        <v>0.2</v>
      </c>
      <c r="C6" s="5">
        <f>'Proximal Validation'!C6</f>
        <v>1.57</v>
      </c>
      <c r="D6" s="5">
        <f>'Proximal Validation'!D6</f>
        <v>1.5707963267948966</v>
      </c>
      <c r="E6" s="5">
        <f>'Proximal Validation'!E6</f>
        <v>0.7</v>
      </c>
      <c r="F6" s="5">
        <f>'Proximal Validation'!F6</f>
        <v>0.04</v>
      </c>
      <c r="G6" s="5">
        <f>'Proximal Validation'!G6</f>
        <v>3.1419999999999999</v>
      </c>
      <c r="H6" s="5">
        <f>'Proximal Validation'!H6</f>
        <v>1.5707963267948966</v>
      </c>
      <c r="I6" s="5">
        <f>'Proximal Validation'!I6</f>
        <v>0.4</v>
      </c>
      <c r="J6" s="5">
        <f>'Proximal Validation'!J6</f>
        <v>0</v>
      </c>
      <c r="K6" s="5">
        <f>'Proximal Validation'!K6</f>
        <v>0</v>
      </c>
      <c r="L6" s="5">
        <f>'Proximal Validation'!L6</f>
        <v>-2.8536887839436499E-4</v>
      </c>
      <c r="M6" s="5">
        <f>'Proximal Validation'!M6</f>
        <v>-6.3574254512786907E-2</v>
      </c>
      <c r="N6" s="5">
        <f>'Proximal Validation'!N6</f>
        <v>-9.0447112917900099E-2</v>
      </c>
      <c r="O6" s="5">
        <f>'Proximal Validation'!O6</f>
        <v>-8.5884019732475295E-2</v>
      </c>
      <c r="P6" s="5">
        <f>'Proximal Validation'!P6</f>
        <v>-0.67203629016876198</v>
      </c>
      <c r="Q6" s="5">
        <f>'Proximal Validation'!Q6</f>
        <v>0.13295280933380099</v>
      </c>
      <c r="R6" s="5">
        <v>0.30138395208062263</v>
      </c>
      <c r="S6" s="5">
        <v>0.19705670406443784</v>
      </c>
      <c r="T6" s="5">
        <v>1.4640146948999122</v>
      </c>
      <c r="U6" s="5">
        <v>1.5707963267948966</v>
      </c>
      <c r="V6" s="5">
        <v>0.71824829865091189</v>
      </c>
      <c r="W6" s="5">
        <v>5.1420659106028721E-2</v>
      </c>
      <c r="X6" s="5">
        <v>3.3402763911202342</v>
      </c>
      <c r="Y6" s="5">
        <v>1.5707963267948966</v>
      </c>
      <c r="Z6" s="12">
        <v>6.9264733304223934E-6</v>
      </c>
      <c r="AA6" s="5">
        <f t="shared" si="0"/>
        <v>1.3839520806226413E-3</v>
      </c>
      <c r="AB6" s="5">
        <f t="shared" si="0"/>
        <v>-2.943295935562168E-3</v>
      </c>
      <c r="AC6" s="5">
        <f t="shared" si="0"/>
        <v>-0.10598530510008786</v>
      </c>
      <c r="AD6" s="5">
        <f t="shared" si="0"/>
        <v>0</v>
      </c>
      <c r="AE6" s="5">
        <f t="shared" si="0"/>
        <v>1.8248298650911932E-2</v>
      </c>
      <c r="AF6" s="5">
        <f t="shared" si="0"/>
        <v>1.142065910602872E-2</v>
      </c>
      <c r="AG6" s="5">
        <f t="shared" si="0"/>
        <v>0.19827639112023432</v>
      </c>
      <c r="AH6" s="5">
        <f t="shared" si="0"/>
        <v>0</v>
      </c>
      <c r="AI6" s="9">
        <f t="shared" si="2"/>
        <v>9.8161253657672864E-3</v>
      </c>
      <c r="AJ6" s="9">
        <f t="shared" si="1"/>
        <v>7.1819775207954441E-3</v>
      </c>
      <c r="AK6" s="9">
        <f t="shared" si="1"/>
        <v>0.15213084811016109</v>
      </c>
      <c r="AL6" s="7" t="s">
        <v>33</v>
      </c>
      <c r="AM6" s="7" t="s">
        <v>34</v>
      </c>
      <c r="AN6" s="7" t="s">
        <v>35</v>
      </c>
      <c r="AO6" s="8"/>
      <c r="AP6" s="8"/>
      <c r="AQ6" s="8"/>
      <c r="AR6" s="8"/>
      <c r="AS6" s="8"/>
    </row>
    <row r="7" spans="1:45" x14ac:dyDescent="0.25">
      <c r="A7" s="5">
        <f>'Proximal Validation'!A7</f>
        <v>0.3</v>
      </c>
      <c r="B7" s="5">
        <f>'Proximal Validation'!B7</f>
        <v>0.1</v>
      </c>
      <c r="C7" s="5">
        <f>'Proximal Validation'!C7</f>
        <v>3.1419999999999999</v>
      </c>
      <c r="D7" s="5">
        <f>'Proximal Validation'!D7</f>
        <v>1.5707963267948966</v>
      </c>
      <c r="E7" s="5">
        <f>'Proximal Validation'!E7</f>
        <v>0.8</v>
      </c>
      <c r="F7" s="5">
        <f>'Proximal Validation'!F7</f>
        <v>0.08</v>
      </c>
      <c r="G7" s="5">
        <f>'Proximal Validation'!G7</f>
        <v>3.927</v>
      </c>
      <c r="H7" s="5">
        <f>'Proximal Validation'!H7</f>
        <v>1.5707963267948966</v>
      </c>
      <c r="I7" s="5">
        <f>'Proximal Validation'!I7</f>
        <v>0.8</v>
      </c>
      <c r="J7" s="5">
        <f>'Proximal Validation'!J7</f>
        <v>0</v>
      </c>
      <c r="K7" s="5">
        <f>'Proximal Validation'!K7</f>
        <v>0</v>
      </c>
      <c r="L7" s="5">
        <f>'Proximal Validation'!L7</f>
        <v>-1.37211009860039E-3</v>
      </c>
      <c r="M7" s="5">
        <f>'Proximal Validation'!M7</f>
        <v>8.7113633751869202E-2</v>
      </c>
      <c r="N7" s="5">
        <f>'Proximal Validation'!N7</f>
        <v>-0.16279363632202101</v>
      </c>
      <c r="O7" s="5">
        <f>'Proximal Validation'!O7</f>
        <v>-9.0744964778423295E-2</v>
      </c>
      <c r="P7" s="5">
        <f>'Proximal Validation'!P7</f>
        <v>-0.87937128543853804</v>
      </c>
      <c r="Q7" s="5">
        <f>'Proximal Validation'!Q7</f>
        <v>-0.48219949007034302</v>
      </c>
      <c r="R7" s="5">
        <v>0.52289293380125046</v>
      </c>
      <c r="S7" s="5">
        <v>9.683808059827928E-2</v>
      </c>
      <c r="T7" s="5">
        <v>3.4082518802200492</v>
      </c>
      <c r="U7" s="5">
        <v>1.5707963267948966</v>
      </c>
      <c r="V7" s="5">
        <v>0.53361402151263604</v>
      </c>
      <c r="W7" s="5">
        <v>8.125767348174448E-2</v>
      </c>
      <c r="X7" s="5">
        <v>3.8731405691951282</v>
      </c>
      <c r="Y7" s="5">
        <v>1.5707963267948966</v>
      </c>
      <c r="Z7" s="12">
        <v>6.1657186592090775E-6</v>
      </c>
      <c r="AA7" s="5">
        <f t="shared" si="0"/>
        <v>0.22289293380125047</v>
      </c>
      <c r="AB7" s="5">
        <f t="shared" si="0"/>
        <v>-3.1619194017207253E-3</v>
      </c>
      <c r="AC7" s="5">
        <f t="shared" si="0"/>
        <v>0.26625188022004931</v>
      </c>
      <c r="AD7" s="5">
        <f t="shared" si="0"/>
        <v>0</v>
      </c>
      <c r="AE7" s="5">
        <f t="shared" si="0"/>
        <v>-0.26638597848736401</v>
      </c>
      <c r="AF7" s="5">
        <f t="shared" si="0"/>
        <v>1.2576734817444785E-3</v>
      </c>
      <c r="AG7" s="5">
        <f t="shared" si="0"/>
        <v>-5.3859430804871877E-2</v>
      </c>
      <c r="AH7" s="5">
        <f t="shared" si="0"/>
        <v>0</v>
      </c>
      <c r="AI7" s="9">
        <f t="shared" si="2"/>
        <v>0.24463945614430724</v>
      </c>
      <c r="AJ7" s="9">
        <f t="shared" si="1"/>
        <v>2.2097964417326019E-3</v>
      </c>
      <c r="AK7" s="9">
        <f t="shared" si="1"/>
        <v>0.16005565551246059</v>
      </c>
      <c r="AL7" s="11">
        <f>AVERAGE(AL4,AP4)</f>
        <v>0.1302665269421992</v>
      </c>
      <c r="AM7" s="11">
        <f>AVERAGE(AM4,AQ4)</f>
        <v>1.3934737479394135E-2</v>
      </c>
      <c r="AN7" s="11">
        <f>AVERAGE(AN4,AR4)</f>
        <v>0.19267945666078221</v>
      </c>
      <c r="AO7" s="8"/>
      <c r="AP7" s="8"/>
      <c r="AQ7" s="8"/>
      <c r="AR7" s="8"/>
      <c r="AS7" s="8"/>
    </row>
    <row r="8" spans="1:45" x14ac:dyDescent="0.25">
      <c r="A8" s="5">
        <f>'Proximal Validation'!A8</f>
        <v>0.7</v>
      </c>
      <c r="B8" s="5">
        <f>'Proximal Validation'!B8</f>
        <v>0.1</v>
      </c>
      <c r="C8" s="5">
        <f>'Proximal Validation'!C8</f>
        <v>3.1419999999999999</v>
      </c>
      <c r="D8" s="5">
        <f>'Proximal Validation'!D8</f>
        <v>1.5707963267948966</v>
      </c>
      <c r="E8" s="5">
        <f>'Proximal Validation'!E8</f>
        <v>0.4</v>
      </c>
      <c r="F8" s="5">
        <f>'Proximal Validation'!F8</f>
        <v>0.04</v>
      </c>
      <c r="G8" s="5">
        <f>'Proximal Validation'!G8</f>
        <v>3.927</v>
      </c>
      <c r="H8" s="5">
        <f>'Proximal Validation'!H8</f>
        <v>1.5707963267948966</v>
      </c>
      <c r="I8" s="5">
        <f>'Proximal Validation'!I8</f>
        <v>0.4</v>
      </c>
      <c r="J8" s="5">
        <f>'Proximal Validation'!J8</f>
        <v>0</v>
      </c>
      <c r="K8" s="5">
        <f>'Proximal Validation'!K8</f>
        <v>0</v>
      </c>
      <c r="L8" s="5">
        <f>'Proximal Validation'!L8</f>
        <v>-1.4753518626093899E-3</v>
      </c>
      <c r="M8" s="5">
        <f>'Proximal Validation'!M8</f>
        <v>3.1907491385936702E-2</v>
      </c>
      <c r="N8" s="5">
        <f>'Proximal Validation'!N8</f>
        <v>-0.19490382075309801</v>
      </c>
      <c r="O8" s="5">
        <f>'Proximal Validation'!O8</f>
        <v>-0.17070601880550401</v>
      </c>
      <c r="P8" s="5">
        <f>'Proximal Validation'!P8</f>
        <v>-1.0707256793975799</v>
      </c>
      <c r="Q8" s="5">
        <f>'Proximal Validation'!Q8</f>
        <v>-0.22229230403900099</v>
      </c>
      <c r="R8" s="5">
        <v>0.22585846929220876</v>
      </c>
      <c r="S8" s="5">
        <v>0.14652385779443095</v>
      </c>
      <c r="T8" s="5">
        <v>2.8694937721604359</v>
      </c>
      <c r="U8" s="5">
        <v>1.5707963267948966</v>
      </c>
      <c r="V8" s="5">
        <v>0.91536177013515352</v>
      </c>
      <c r="W8" s="5">
        <v>7.6147256897794321E-2</v>
      </c>
      <c r="X8" s="5">
        <v>3.4535909824894375</v>
      </c>
      <c r="Y8" s="5">
        <v>1.5707963267948966</v>
      </c>
      <c r="Z8" s="12">
        <v>3.0325798590758987E-6</v>
      </c>
      <c r="AA8" s="5">
        <f t="shared" si="0"/>
        <v>-0.47414153070779119</v>
      </c>
      <c r="AB8" s="5">
        <f t="shared" si="0"/>
        <v>4.6523857794430939E-2</v>
      </c>
      <c r="AC8" s="5">
        <f t="shared" si="0"/>
        <v>-0.27250622783956402</v>
      </c>
      <c r="AD8" s="5">
        <f t="shared" si="0"/>
        <v>0</v>
      </c>
      <c r="AE8" s="5">
        <f t="shared" si="0"/>
        <v>0.5153617701351535</v>
      </c>
      <c r="AF8" s="5">
        <f t="shared" si="0"/>
        <v>3.6147256897794321E-2</v>
      </c>
      <c r="AG8" s="5">
        <f t="shared" si="0"/>
        <v>-0.47340901751056252</v>
      </c>
      <c r="AH8" s="5">
        <f t="shared" si="0"/>
        <v>0</v>
      </c>
      <c r="AI8" s="10">
        <f t="shared" si="2"/>
        <v>0.49475165042147234</v>
      </c>
      <c r="AJ8" s="10">
        <f t="shared" si="1"/>
        <v>4.1335557346112634E-2</v>
      </c>
      <c r="AK8" s="10">
        <f t="shared" si="1"/>
        <v>0.37295762267506327</v>
      </c>
    </row>
    <row r="9" spans="1:45" x14ac:dyDescent="0.25">
      <c r="A9" s="5">
        <f>'Proximal Validation'!A9</f>
        <v>0.5</v>
      </c>
      <c r="B9" s="5">
        <f>'Proximal Validation'!B9</f>
        <v>0.14000000000000001</v>
      </c>
      <c r="C9" s="5">
        <f>'Proximal Validation'!C9</f>
        <v>3.1419999999999999</v>
      </c>
      <c r="D9" s="5">
        <f>'Proximal Validation'!D9</f>
        <v>1.5707963267948966</v>
      </c>
      <c r="E9" s="5">
        <f>'Proximal Validation'!E9</f>
        <v>0.7</v>
      </c>
      <c r="F9" s="5">
        <f>'Proximal Validation'!F9</f>
        <v>0.08</v>
      </c>
      <c r="G9" s="5">
        <f>'Proximal Validation'!G9</f>
        <v>3.927</v>
      </c>
      <c r="H9" s="5">
        <f>'Proximal Validation'!H9</f>
        <v>1.5707963267948966</v>
      </c>
      <c r="I9" s="5">
        <f>'Proximal Validation'!I9</f>
        <v>0.4</v>
      </c>
      <c r="J9" s="5">
        <f>'Proximal Validation'!J9</f>
        <v>0</v>
      </c>
      <c r="K9" s="5">
        <f>'Proximal Validation'!K9</f>
        <v>0</v>
      </c>
      <c r="L9" s="5">
        <f>'Proximal Validation'!L9</f>
        <v>-2.8121247887611398E-3</v>
      </c>
      <c r="M9" s="5">
        <f>'Proximal Validation'!M9</f>
        <v>7.0382751524448395E-2</v>
      </c>
      <c r="N9" s="5">
        <f>'Proximal Validation'!N9</f>
        <v>-0.20890267193317399</v>
      </c>
      <c r="O9" s="5">
        <f>'Proximal Validation'!O9</f>
        <v>-0.326402246952057</v>
      </c>
      <c r="P9" s="5">
        <f>'Proximal Validation'!P9</f>
        <v>-0.97189968824386597</v>
      </c>
      <c r="Q9" s="5">
        <f>'Proximal Validation'!Q9</f>
        <v>-0.380674779415131</v>
      </c>
      <c r="R9" s="5">
        <v>0.58036382003897147</v>
      </c>
      <c r="S9" s="5">
        <v>0.14532857187416842</v>
      </c>
      <c r="T9" s="5">
        <v>3.2124008455685962</v>
      </c>
      <c r="U9" s="5">
        <v>1.5707963267948966</v>
      </c>
      <c r="V9" s="5">
        <v>0.56646971235920485</v>
      </c>
      <c r="W9" s="5">
        <v>8.6797073278955209E-2</v>
      </c>
      <c r="X9" s="5">
        <v>3.8118639621024735</v>
      </c>
      <c r="Y9" s="5">
        <v>1.5707963267948966</v>
      </c>
      <c r="Z9" s="12">
        <v>2.5724568438911729E-6</v>
      </c>
      <c r="AA9" s="5">
        <f t="shared" si="0"/>
        <v>8.0363820038971467E-2</v>
      </c>
      <c r="AB9" s="5">
        <f t="shared" si="0"/>
        <v>5.3285718741684085E-3</v>
      </c>
      <c r="AC9" s="5">
        <f t="shared" si="0"/>
        <v>7.0400845568596271E-2</v>
      </c>
      <c r="AD9" s="5">
        <f t="shared" si="0"/>
        <v>0</v>
      </c>
      <c r="AE9" s="5">
        <f t="shared" si="0"/>
        <v>-0.13353028764079511</v>
      </c>
      <c r="AF9" s="5">
        <f t="shared" si="0"/>
        <v>6.7970732789552069E-3</v>
      </c>
      <c r="AG9" s="5">
        <f t="shared" si="0"/>
        <v>-0.11513603789752658</v>
      </c>
      <c r="AH9" s="5">
        <f t="shared" si="0"/>
        <v>0</v>
      </c>
      <c r="AI9" s="9">
        <f t="shared" si="2"/>
        <v>0.10694705383988329</v>
      </c>
      <c r="AJ9" s="9">
        <f t="shared" si="1"/>
        <v>6.0628225765618077E-3</v>
      </c>
      <c r="AK9" s="9">
        <f t="shared" si="1"/>
        <v>9.2768441733061424E-2</v>
      </c>
    </row>
    <row r="10" spans="1:45" x14ac:dyDescent="0.25">
      <c r="A10" s="5">
        <f>'Proximal Validation'!A10</f>
        <v>0.7</v>
      </c>
      <c r="B10" s="5">
        <f>'Proximal Validation'!B10</f>
        <v>0.14000000000000001</v>
      </c>
      <c r="C10" s="5">
        <f>'Proximal Validation'!C10</f>
        <v>3.1419999999999999</v>
      </c>
      <c r="D10" s="5">
        <f>'Proximal Validation'!D10</f>
        <v>1.5707963267948966</v>
      </c>
      <c r="E10" s="5">
        <f>'Proximal Validation'!E10</f>
        <v>0.5</v>
      </c>
      <c r="F10" s="5">
        <f>'Proximal Validation'!F10</f>
        <v>0.06</v>
      </c>
      <c r="G10" s="5">
        <f>'Proximal Validation'!G10</f>
        <v>3.927</v>
      </c>
      <c r="H10" s="5">
        <f>'Proximal Validation'!H10</f>
        <v>1.5707963267948966</v>
      </c>
      <c r="I10" s="5">
        <f>'Proximal Validation'!I10</f>
        <v>0.8</v>
      </c>
      <c r="J10" s="5">
        <f>'Proximal Validation'!J10</f>
        <v>0</v>
      </c>
      <c r="K10" s="5">
        <f>'Proximal Validation'!K10</f>
        <v>0</v>
      </c>
      <c r="L10" s="5">
        <f>'Proximal Validation'!L10</f>
        <v>-1.88843719661236E-3</v>
      </c>
      <c r="M10" s="5">
        <f>'Proximal Validation'!M10</f>
        <v>4.87664639949799E-2</v>
      </c>
      <c r="N10" s="5">
        <f>'Proximal Validation'!N10</f>
        <v>-0.220894455909729</v>
      </c>
      <c r="O10" s="5">
        <f>'Proximal Validation'!O10</f>
        <v>-0.32184326648712203</v>
      </c>
      <c r="P10" s="5">
        <f>'Proximal Validation'!P10</f>
        <v>-1.01222968101501</v>
      </c>
      <c r="Q10" s="5">
        <f>'Proximal Validation'!Q10</f>
        <v>-0.296476870775223</v>
      </c>
      <c r="R10" s="5">
        <v>0.71638030975061862</v>
      </c>
      <c r="S10" s="5">
        <v>0.14350431964412669</v>
      </c>
      <c r="T10" s="5">
        <v>3.1358170417740201</v>
      </c>
      <c r="U10" s="5">
        <v>1.5707963267948966</v>
      </c>
      <c r="V10" s="5">
        <v>0.4681031435348918</v>
      </c>
      <c r="W10" s="5">
        <v>7.6234715125892763E-2</v>
      </c>
      <c r="X10" s="5">
        <v>3.8492952607801145</v>
      </c>
      <c r="Y10" s="5">
        <v>1.5707963267948966</v>
      </c>
      <c r="Z10" s="12">
        <v>5.0031203443924436E-6</v>
      </c>
      <c r="AA10" s="5">
        <f t="shared" si="0"/>
        <v>1.638030975061866E-2</v>
      </c>
      <c r="AB10" s="5">
        <f t="shared" si="0"/>
        <v>3.5043196441266744E-3</v>
      </c>
      <c r="AC10" s="5">
        <f t="shared" si="0"/>
        <v>-6.1829582259798066E-3</v>
      </c>
      <c r="AD10" s="5">
        <f t="shared" si="0"/>
        <v>0</v>
      </c>
      <c r="AE10" s="5">
        <f t="shared" si="0"/>
        <v>-3.1896856465108203E-2</v>
      </c>
      <c r="AF10" s="5">
        <f t="shared" si="0"/>
        <v>1.6234715125892765E-2</v>
      </c>
      <c r="AG10" s="5">
        <f t="shared" si="0"/>
        <v>-7.7704739219885521E-2</v>
      </c>
      <c r="AH10" s="5">
        <f t="shared" si="0"/>
        <v>0</v>
      </c>
      <c r="AI10" s="9">
        <f t="shared" si="2"/>
        <v>2.4138583107863432E-2</v>
      </c>
      <c r="AJ10" s="9">
        <f t="shared" si="1"/>
        <v>9.8695173850097198E-3</v>
      </c>
      <c r="AK10" s="9">
        <f t="shared" si="1"/>
        <v>4.1943848722932664E-2</v>
      </c>
    </row>
    <row r="11" spans="1:45" x14ac:dyDescent="0.25">
      <c r="A11" s="5">
        <f>'Proximal Validation'!A11</f>
        <v>0.4</v>
      </c>
      <c r="B11" s="5">
        <f>'Proximal Validation'!B11</f>
        <v>0.18</v>
      </c>
      <c r="C11" s="5">
        <f>'Proximal Validation'!C11</f>
        <v>3.1419999999999999</v>
      </c>
      <c r="D11" s="5">
        <f>'Proximal Validation'!D11</f>
        <v>1.5707963267948966</v>
      </c>
      <c r="E11" s="5">
        <f>'Proximal Validation'!E11</f>
        <v>0.4</v>
      </c>
      <c r="F11" s="5">
        <f>'Proximal Validation'!F11</f>
        <v>0.02</v>
      </c>
      <c r="G11" s="5">
        <f>'Proximal Validation'!G11</f>
        <v>3.927</v>
      </c>
      <c r="H11" s="5">
        <f>'Proximal Validation'!H11</f>
        <v>1.5707963267948966</v>
      </c>
      <c r="I11" s="5">
        <f>'Proximal Validation'!I11</f>
        <v>0</v>
      </c>
      <c r="J11" s="5">
        <f>'Proximal Validation'!J11</f>
        <v>0</v>
      </c>
      <c r="K11" s="5">
        <f>'Proximal Validation'!K11</f>
        <v>0</v>
      </c>
      <c r="L11" s="5">
        <f>'Proximal Validation'!L11</f>
        <v>-2.59150564670563E-3</v>
      </c>
      <c r="M11" s="5">
        <f>'Proximal Validation'!M11</f>
        <v>2.7324184775352499E-2</v>
      </c>
      <c r="N11" s="5">
        <f>'Proximal Validation'!N11</f>
        <v>-0.13145609200000799</v>
      </c>
      <c r="O11" s="5">
        <f>'Proximal Validation'!O11</f>
        <v>-0.136582016944885</v>
      </c>
      <c r="P11" s="5">
        <f>'Proximal Validation'!P11</f>
        <v>-0.61641645431518599</v>
      </c>
      <c r="Q11" s="5">
        <f>'Proximal Validation'!Q11</f>
        <v>-0.23403739929199199</v>
      </c>
      <c r="R11" s="5">
        <v>0.39115139394893778</v>
      </c>
      <c r="S11" s="5">
        <v>0.17848613232598826</v>
      </c>
      <c r="T11" s="5">
        <v>3.1553352325056365</v>
      </c>
      <c r="U11" s="5">
        <v>1.5707963267948966</v>
      </c>
      <c r="V11" s="5">
        <v>0.3376916900981245</v>
      </c>
      <c r="W11" s="5">
        <v>2.6753075845865247E-2</v>
      </c>
      <c r="X11" s="5">
        <v>3.8761623796876643</v>
      </c>
      <c r="Y11" s="5">
        <v>1.5707963267948966</v>
      </c>
      <c r="Z11" s="12">
        <v>3.0215967247152278E-6</v>
      </c>
      <c r="AA11" s="5">
        <f t="shared" si="0"/>
        <v>-8.8486060510622466E-3</v>
      </c>
      <c r="AB11" s="5">
        <f t="shared" si="0"/>
        <v>-1.5138676740117374E-3</v>
      </c>
      <c r="AC11" s="5">
        <f t="shared" si="0"/>
        <v>1.3335232505636618E-2</v>
      </c>
      <c r="AD11" s="5">
        <f t="shared" si="0"/>
        <v>0</v>
      </c>
      <c r="AE11" s="5">
        <f t="shared" si="0"/>
        <v>-6.2308309901875525E-2</v>
      </c>
      <c r="AF11" s="5">
        <f t="shared" si="0"/>
        <v>6.7530758458652466E-3</v>
      </c>
      <c r="AG11" s="5">
        <f t="shared" si="0"/>
        <v>-5.0837620312335741E-2</v>
      </c>
      <c r="AH11" s="5">
        <f t="shared" si="0"/>
        <v>0</v>
      </c>
      <c r="AI11" s="9">
        <f t="shared" si="2"/>
        <v>3.5578457976468886E-2</v>
      </c>
      <c r="AJ11" s="9">
        <f t="shared" si="1"/>
        <v>4.133471759938492E-3</v>
      </c>
      <c r="AK11" s="9">
        <f t="shared" si="1"/>
        <v>3.2086426408986179E-2</v>
      </c>
    </row>
    <row r="12" spans="1:45" x14ac:dyDescent="0.25">
      <c r="A12" s="5">
        <f>'Proximal Validation'!A12</f>
        <v>0.7</v>
      </c>
      <c r="B12" s="5">
        <f>'Proximal Validation'!B12</f>
        <v>0.18</v>
      </c>
      <c r="C12" s="5">
        <f>'Proximal Validation'!C12</f>
        <v>3.1419999999999999</v>
      </c>
      <c r="D12" s="5">
        <f>'Proximal Validation'!D12</f>
        <v>1.5707963267948966</v>
      </c>
      <c r="E12" s="5">
        <f>'Proximal Validation'!E12</f>
        <v>0.8</v>
      </c>
      <c r="F12" s="5">
        <f>'Proximal Validation'!F12</f>
        <v>0.04</v>
      </c>
      <c r="G12" s="5">
        <f>'Proximal Validation'!G12</f>
        <v>3.927</v>
      </c>
      <c r="H12" s="5">
        <f>'Proximal Validation'!H12</f>
        <v>1.5707963267948966</v>
      </c>
      <c r="I12" s="5">
        <f>'Proximal Validation'!I12</f>
        <v>0.4</v>
      </c>
      <c r="J12" s="5">
        <f>'Proximal Validation'!J12</f>
        <v>0</v>
      </c>
      <c r="K12" s="5">
        <f>'Proximal Validation'!K12</f>
        <v>0</v>
      </c>
      <c r="L12" s="5">
        <f>'Proximal Validation'!L12</f>
        <v>-2.8818771243095398E-3</v>
      </c>
      <c r="M12" s="5">
        <f>'Proximal Validation'!M12</f>
        <v>6.48805126547813E-2</v>
      </c>
      <c r="N12" s="5">
        <f>'Proximal Validation'!N12</f>
        <v>-0.26836296916008001</v>
      </c>
      <c r="O12" s="5">
        <f>'Proximal Validation'!O12</f>
        <v>-0.61091923713684104</v>
      </c>
      <c r="P12" s="5">
        <f>'Proximal Validation'!P12</f>
        <v>-1.14929687976837</v>
      </c>
      <c r="Q12" s="5">
        <f>'Proximal Validation'!Q12</f>
        <v>-0.46333062648773199</v>
      </c>
      <c r="R12" s="5">
        <v>0.95500777035355255</v>
      </c>
      <c r="S12" s="5">
        <v>0.16187131340355476</v>
      </c>
      <c r="T12" s="5">
        <v>3.2004098840767701</v>
      </c>
      <c r="U12" s="5">
        <v>1.5707963267948966</v>
      </c>
      <c r="V12" s="5">
        <v>0.56929918428276849</v>
      </c>
      <c r="W12" s="5">
        <v>3.8310976199279478E-2</v>
      </c>
      <c r="X12" s="5">
        <v>3.9543421549541562</v>
      </c>
      <c r="Y12" s="5">
        <v>1.5707963267948966</v>
      </c>
      <c r="Z12" s="12">
        <v>1.3946083844033257E-5</v>
      </c>
      <c r="AA12" s="5">
        <f t="shared" si="0"/>
        <v>0.2550077703535526</v>
      </c>
      <c r="AB12" s="5">
        <f t="shared" si="0"/>
        <v>-1.8128686596445232E-2</v>
      </c>
      <c r="AC12" s="5">
        <f t="shared" si="0"/>
        <v>5.8409884076770169E-2</v>
      </c>
      <c r="AD12" s="5">
        <f t="shared" si="0"/>
        <v>0</v>
      </c>
      <c r="AE12" s="5">
        <f t="shared" si="0"/>
        <v>-0.23070081571723156</v>
      </c>
      <c r="AF12" s="5">
        <f t="shared" si="0"/>
        <v>-1.6890238007205224E-3</v>
      </c>
      <c r="AG12" s="5">
        <f t="shared" si="0"/>
        <v>2.734215495415615E-2</v>
      </c>
      <c r="AH12" s="5">
        <f t="shared" si="0"/>
        <v>0</v>
      </c>
      <c r="AI12" s="9">
        <f t="shared" si="2"/>
        <v>0.24285429303539208</v>
      </c>
      <c r="AJ12" s="9">
        <f t="shared" si="1"/>
        <v>9.908855198582877E-3</v>
      </c>
      <c r="AK12" s="9">
        <f t="shared" si="1"/>
        <v>4.287601951546316E-2</v>
      </c>
    </row>
    <row r="13" spans="1:45" x14ac:dyDescent="0.25">
      <c r="A13" s="5">
        <f>'Proximal Validation'!A13</f>
        <v>0.3</v>
      </c>
      <c r="B13" s="5">
        <f>'Proximal Validation'!B13</f>
        <v>0.12</v>
      </c>
      <c r="C13" s="5">
        <f>'Proximal Validation'!C13</f>
        <v>4.7119999999999997</v>
      </c>
      <c r="D13" s="5">
        <f>'Proximal Validation'!D13</f>
        <v>1.5707963267948966</v>
      </c>
      <c r="E13" s="5">
        <f>'Proximal Validation'!E13</f>
        <v>0.3</v>
      </c>
      <c r="F13" s="5">
        <f>'Proximal Validation'!F13</f>
        <v>0.04</v>
      </c>
      <c r="G13" s="5">
        <f>'Proximal Validation'!G13</f>
        <v>4.7119999999999997</v>
      </c>
      <c r="H13" s="5">
        <f>'Proximal Validation'!H13</f>
        <v>1.5707963267948966</v>
      </c>
      <c r="I13" s="5">
        <f>'Proximal Validation'!I13</f>
        <v>0.4</v>
      </c>
      <c r="J13" s="5">
        <f>'Proximal Validation'!J13</f>
        <v>0</v>
      </c>
      <c r="K13" s="5">
        <f>'Proximal Validation'!K13</f>
        <v>0</v>
      </c>
      <c r="L13" s="5">
        <f>'Proximal Validation'!L13</f>
        <v>-1.0846329387277399E-3</v>
      </c>
      <c r="M13" s="5">
        <f>'Proximal Validation'!M13</f>
        <v>0.105407744646072</v>
      </c>
      <c r="N13" s="5">
        <f>'Proximal Validation'!N13</f>
        <v>-7.5431093573570304E-3</v>
      </c>
      <c r="O13" s="5">
        <f>'Proximal Validation'!O13</f>
        <v>-4.4421639293432201E-2</v>
      </c>
      <c r="P13" s="5">
        <f>'Proximal Validation'!P13</f>
        <v>-5.3632915019989E-2</v>
      </c>
      <c r="Q13" s="5">
        <f>'Proximal Validation'!Q13</f>
        <v>-0.59106355905532804</v>
      </c>
      <c r="R13" s="5">
        <v>0.22895453303777191</v>
      </c>
      <c r="S13" s="5">
        <v>9.2425680402638849E-2</v>
      </c>
      <c r="T13" s="5">
        <v>1.9435175511633407</v>
      </c>
      <c r="U13" s="5">
        <v>1.5707963267948966</v>
      </c>
      <c r="V13" s="5">
        <v>0.80200266584895874</v>
      </c>
      <c r="W13" s="5">
        <v>9.0845807363278352E-2</v>
      </c>
      <c r="X13" s="5">
        <v>4.7613997274183504</v>
      </c>
      <c r="Y13" s="5">
        <v>1.5707963267948966</v>
      </c>
      <c r="Z13" s="12">
        <v>4.5058826258141946E-6</v>
      </c>
      <c r="AA13" s="5">
        <f t="shared" si="0"/>
        <v>-7.1045466962228077E-2</v>
      </c>
      <c r="AB13" s="5">
        <f t="shared" si="0"/>
        <v>-2.7574319597361147E-2</v>
      </c>
      <c r="AC13" s="5">
        <f t="shared" si="0"/>
        <v>-2.7684824488366591</v>
      </c>
      <c r="AD13" s="5">
        <f t="shared" si="0"/>
        <v>0</v>
      </c>
      <c r="AE13" s="5">
        <f t="shared" si="0"/>
        <v>0.5020026658489587</v>
      </c>
      <c r="AF13" s="5">
        <f t="shared" si="0"/>
        <v>5.0845807363278352E-2</v>
      </c>
      <c r="AG13" s="5">
        <f t="shared" si="0"/>
        <v>4.9399727418350636E-2</v>
      </c>
      <c r="AH13" s="5">
        <f t="shared" si="0"/>
        <v>0</v>
      </c>
      <c r="AI13" s="9">
        <f t="shared" si="2"/>
        <v>0.28652406640559336</v>
      </c>
      <c r="AJ13" s="9">
        <f t="shared" si="1"/>
        <v>3.9210063480319746E-2</v>
      </c>
      <c r="AK13" s="9">
        <f t="shared" si="1"/>
        <v>1.4089410881275048</v>
      </c>
    </row>
    <row r="14" spans="1:45" x14ac:dyDescent="0.25">
      <c r="A14" s="5">
        <f>'Proximal Validation'!A14</f>
        <v>0.8</v>
      </c>
      <c r="B14" s="5">
        <f>'Proximal Validation'!B14</f>
        <v>0.12</v>
      </c>
      <c r="C14" s="5">
        <f>'Proximal Validation'!C14</f>
        <v>4.7119999999999997</v>
      </c>
      <c r="D14" s="5">
        <f>'Proximal Validation'!D14</f>
        <v>1.5707963267948966</v>
      </c>
      <c r="E14" s="5">
        <f>'Proximal Validation'!E14</f>
        <v>0.7</v>
      </c>
      <c r="F14" s="5">
        <f>'Proximal Validation'!F14</f>
        <v>0.02</v>
      </c>
      <c r="G14" s="5">
        <f>'Proximal Validation'!G14</f>
        <v>3.1419999999999999</v>
      </c>
      <c r="H14" s="5">
        <f>'Proximal Validation'!H14</f>
        <v>1.5707963267948966</v>
      </c>
      <c r="I14" s="5">
        <f>'Proximal Validation'!I14</f>
        <v>0</v>
      </c>
      <c r="J14" s="5">
        <f>'Proximal Validation'!J14</f>
        <v>0</v>
      </c>
      <c r="K14" s="5">
        <f>'Proximal Validation'!K14</f>
        <v>0</v>
      </c>
      <c r="L14" s="5">
        <f>'Proximal Validation'!L14</f>
        <v>-1.21277570724487E-3</v>
      </c>
      <c r="M14" s="5">
        <f>'Proximal Validation'!M14</f>
        <v>0.189176306128502</v>
      </c>
      <c r="N14" s="5">
        <f>'Proximal Validation'!N14</f>
        <v>-8.0510884523391696E-2</v>
      </c>
      <c r="O14" s="5">
        <f>'Proximal Validation'!O14</f>
        <v>-0.25100401043891901</v>
      </c>
      <c r="P14" s="5">
        <f>'Proximal Validation'!P14</f>
        <v>-0.70138603448867798</v>
      </c>
      <c r="Q14" s="5">
        <f>'Proximal Validation'!Q14</f>
        <v>-0.86990654468536399</v>
      </c>
      <c r="R14" s="5">
        <v>0.90114115674254114</v>
      </c>
      <c r="S14" s="5">
        <v>0.12212369847926889</v>
      </c>
      <c r="T14" s="5">
        <v>4.7879032099079879</v>
      </c>
      <c r="U14" s="5">
        <v>1.5707963267948966</v>
      </c>
      <c r="V14" s="5">
        <v>0.77076018971583138</v>
      </c>
      <c r="W14" s="5">
        <v>3.3442190427954335E-2</v>
      </c>
      <c r="X14" s="5">
        <v>3.1657457889830156</v>
      </c>
      <c r="Y14" s="5">
        <v>1.5707963267948966</v>
      </c>
      <c r="Z14" s="12">
        <v>5.2721899592441147E-6</v>
      </c>
      <c r="AA14" s="5">
        <f t="shared" si="0"/>
        <v>0.10114115674254109</v>
      </c>
      <c r="AB14" s="5">
        <f t="shared" si="0"/>
        <v>2.1236984792688957E-3</v>
      </c>
      <c r="AC14" s="5">
        <f t="shared" si="0"/>
        <v>7.5903209907988156E-2</v>
      </c>
      <c r="AD14" s="5">
        <f t="shared" si="0"/>
        <v>0</v>
      </c>
      <c r="AE14" s="5">
        <f t="shared" si="0"/>
        <v>7.0760189715831423E-2</v>
      </c>
      <c r="AF14" s="5">
        <f t="shared" si="0"/>
        <v>1.3442190427954335E-2</v>
      </c>
      <c r="AG14" s="5">
        <f t="shared" si="0"/>
        <v>2.3745788983015714E-2</v>
      </c>
      <c r="AH14" s="5">
        <f t="shared" si="0"/>
        <v>0</v>
      </c>
      <c r="AI14" s="9">
        <f t="shared" si="2"/>
        <v>8.5950673229186259E-2</v>
      </c>
      <c r="AJ14" s="9">
        <f t="shared" si="1"/>
        <v>7.7829444536116153E-3</v>
      </c>
      <c r="AK14" s="9">
        <f t="shared" si="1"/>
        <v>4.9824499445501935E-2</v>
      </c>
    </row>
    <row r="15" spans="1:45" x14ac:dyDescent="0.25">
      <c r="A15" s="5">
        <f>'Proximal Validation'!A15</f>
        <v>0.4</v>
      </c>
      <c r="B15" s="5">
        <f>'Proximal Validation'!B15</f>
        <v>0.18</v>
      </c>
      <c r="C15" s="5">
        <f>'Proximal Validation'!C15</f>
        <v>4.7119999999999997</v>
      </c>
      <c r="D15" s="5">
        <f>'Proximal Validation'!D15</f>
        <v>1.5707963267948966</v>
      </c>
      <c r="E15" s="5">
        <f>'Proximal Validation'!E15</f>
        <v>0.5</v>
      </c>
      <c r="F15" s="5">
        <f>'Proximal Validation'!F15</f>
        <v>0.06</v>
      </c>
      <c r="G15" s="5">
        <f>'Proximal Validation'!G15</f>
        <v>3.1419999999999999</v>
      </c>
      <c r="H15" s="5">
        <f>'Proximal Validation'!H15</f>
        <v>1.5707963267948966</v>
      </c>
      <c r="I15" s="5">
        <f>'Proximal Validation'!I15</f>
        <v>0.4</v>
      </c>
      <c r="J15" s="5">
        <f>'Proximal Validation'!J15</f>
        <v>0</v>
      </c>
      <c r="K15" s="5">
        <f>'Proximal Validation'!K15</f>
        <v>0</v>
      </c>
      <c r="L15" s="5">
        <f>'Proximal Validation'!L15</f>
        <v>-2.4155117571353899E-3</v>
      </c>
      <c r="M15" s="5">
        <f>'Proximal Validation'!M15</f>
        <v>0.104980133473873</v>
      </c>
      <c r="N15" s="5">
        <f>'Proximal Validation'!N15</f>
        <v>-7.43569061160088E-2</v>
      </c>
      <c r="O15" s="5">
        <f>'Proximal Validation'!O15</f>
        <v>-0.116804644465446</v>
      </c>
      <c r="P15" s="5">
        <f>'Proximal Validation'!P15</f>
        <v>-0.49594429135322599</v>
      </c>
      <c r="Q15" s="5">
        <f>'Proximal Validation'!Q15</f>
        <v>-0.37272521853446999</v>
      </c>
      <c r="R15" s="5">
        <v>0.39029559980793083</v>
      </c>
      <c r="S15" s="5">
        <v>0.17939657912288887</v>
      </c>
      <c r="T15" s="5">
        <v>4.77524333088909</v>
      </c>
      <c r="U15" s="5">
        <v>1.5707963267948966</v>
      </c>
      <c r="V15" s="5">
        <v>0.52073102586095477</v>
      </c>
      <c r="W15" s="5">
        <v>6.6167145645490449E-2</v>
      </c>
      <c r="X15" s="5">
        <v>3.1652411388562318</v>
      </c>
      <c r="Y15" s="5">
        <v>1.5707963267948966</v>
      </c>
      <c r="Z15" s="12">
        <v>4.1341226486663472E-6</v>
      </c>
      <c r="AA15" s="5">
        <f t="shared" si="0"/>
        <v>-9.7044001920691958E-3</v>
      </c>
      <c r="AB15" s="5">
        <f t="shared" si="0"/>
        <v>-6.0342087711112713E-4</v>
      </c>
      <c r="AC15" s="5">
        <f t="shared" si="0"/>
        <v>6.3243330889090288E-2</v>
      </c>
      <c r="AD15" s="5">
        <f t="shared" si="0"/>
        <v>0</v>
      </c>
      <c r="AE15" s="5">
        <f t="shared" si="0"/>
        <v>2.0731025860954766E-2</v>
      </c>
      <c r="AF15" s="5">
        <f t="shared" si="0"/>
        <v>6.1671456454904516E-3</v>
      </c>
      <c r="AG15" s="5">
        <f t="shared" si="0"/>
        <v>2.3241138856231913E-2</v>
      </c>
      <c r="AH15" s="5">
        <f t="shared" si="0"/>
        <v>0</v>
      </c>
      <c r="AI15" s="9">
        <f t="shared" si="2"/>
        <v>1.5217713026511981E-2</v>
      </c>
      <c r="AJ15" s="9">
        <f t="shared" si="1"/>
        <v>3.3852832613007894E-3</v>
      </c>
      <c r="AK15" s="9">
        <f t="shared" si="1"/>
        <v>4.3242234872661101E-2</v>
      </c>
    </row>
    <row r="16" spans="1:45" x14ac:dyDescent="0.25">
      <c r="A16" s="5">
        <f>'Proximal Validation'!A16</f>
        <v>0.5</v>
      </c>
      <c r="B16" s="5">
        <f>'Proximal Validation'!B16</f>
        <v>0.2</v>
      </c>
      <c r="C16" s="5">
        <f>'Proximal Validation'!C16</f>
        <v>4.7119999999999997</v>
      </c>
      <c r="D16" s="5">
        <f>'Proximal Validation'!D16</f>
        <v>1.5707963267948966</v>
      </c>
      <c r="E16" s="5">
        <f>'Proximal Validation'!E16</f>
        <v>0.7</v>
      </c>
      <c r="F16" s="5">
        <f>'Proximal Validation'!F16</f>
        <v>0.02</v>
      </c>
      <c r="G16" s="5">
        <f>'Proximal Validation'!G16</f>
        <v>4.7119999999999997</v>
      </c>
      <c r="H16" s="5">
        <f>'Proximal Validation'!H16</f>
        <v>1.5707963267948966</v>
      </c>
      <c r="I16" s="5">
        <f>'Proximal Validation'!I16</f>
        <v>0.8</v>
      </c>
      <c r="J16" s="5">
        <f>'Proximal Validation'!J16</f>
        <v>0</v>
      </c>
      <c r="K16" s="5">
        <f>'Proximal Validation'!K16</f>
        <v>0</v>
      </c>
      <c r="L16" s="5">
        <f>'Proximal Validation'!L16</f>
        <v>-7.0373835042119E-3</v>
      </c>
      <c r="M16" s="5">
        <f>'Proximal Validation'!M16</f>
        <v>0.19658188521861999</v>
      </c>
      <c r="N16" s="5">
        <f>'Proximal Validation'!N16</f>
        <v>-9.0219676494598406E-3</v>
      </c>
      <c r="O16" s="5">
        <f>'Proximal Validation'!O16</f>
        <v>-0.253807783126831</v>
      </c>
      <c r="P16" s="5">
        <f>'Proximal Validation'!P16</f>
        <v>-4.6346724033355699E-2</v>
      </c>
      <c r="Q16" s="5">
        <f>'Proximal Validation'!Q16</f>
        <v>-1.05074739456177</v>
      </c>
      <c r="R16" s="5">
        <v>0.5319492699732804</v>
      </c>
      <c r="S16" s="5">
        <v>0.17760176561114949</v>
      </c>
      <c r="T16" s="5">
        <v>4.6376371378789347</v>
      </c>
      <c r="U16" s="5">
        <v>1.5707963267948966</v>
      </c>
      <c r="V16" s="5">
        <v>0.55991927009066922</v>
      </c>
      <c r="W16" s="5">
        <v>2.0000000000022205E-2</v>
      </c>
      <c r="X16" s="5">
        <v>4.7214665516405248</v>
      </c>
      <c r="Y16" s="5">
        <v>1.5707963267948966</v>
      </c>
      <c r="Z16" s="12">
        <v>1.8974768311189834E-5</v>
      </c>
      <c r="AA16" s="5">
        <f t="shared" si="0"/>
        <v>3.1949269973280403E-2</v>
      </c>
      <c r="AB16" s="5">
        <f t="shared" si="0"/>
        <v>-2.2398234388850524E-2</v>
      </c>
      <c r="AC16" s="5">
        <f t="shared" si="0"/>
        <v>-7.4362862121065021E-2</v>
      </c>
      <c r="AD16" s="5">
        <f t="shared" si="0"/>
        <v>0</v>
      </c>
      <c r="AE16" s="5">
        <f t="shared" si="0"/>
        <v>-0.14008072990933074</v>
      </c>
      <c r="AF16" s="5">
        <f t="shared" si="0"/>
        <v>2.2204460492503131E-14</v>
      </c>
      <c r="AG16" s="5">
        <f t="shared" si="0"/>
        <v>9.4665516405250116E-3</v>
      </c>
      <c r="AH16" s="5">
        <f t="shared" si="0"/>
        <v>0</v>
      </c>
      <c r="AI16" s="9">
        <f t="shared" si="2"/>
        <v>8.601499994130557E-2</v>
      </c>
      <c r="AJ16" s="9">
        <f t="shared" si="1"/>
        <v>1.1199117194436364E-2</v>
      </c>
      <c r="AK16" s="9">
        <f t="shared" si="1"/>
        <v>4.1914706880795016E-2</v>
      </c>
    </row>
    <row r="17" spans="1:37" x14ac:dyDescent="0.25">
      <c r="A17" s="5">
        <f>'Proximal Validation'!A17</f>
        <v>0.7</v>
      </c>
      <c r="B17" s="5">
        <f>'Proximal Validation'!B17</f>
        <v>0.2</v>
      </c>
      <c r="C17" s="5">
        <f>'Proximal Validation'!C17</f>
        <v>4.7119999999999997</v>
      </c>
      <c r="D17" s="5">
        <f>'Proximal Validation'!D17</f>
        <v>1.5707963267948966</v>
      </c>
      <c r="E17" s="5">
        <f>'Proximal Validation'!E17</f>
        <v>0.3</v>
      </c>
      <c r="F17" s="5">
        <f>'Proximal Validation'!F17</f>
        <v>0.08</v>
      </c>
      <c r="G17" s="5">
        <f>'Proximal Validation'!G17</f>
        <v>3.1419999999999999</v>
      </c>
      <c r="H17" s="5">
        <f>'Proximal Validation'!H17</f>
        <v>1.5707963267948966</v>
      </c>
      <c r="I17" s="5">
        <f>'Proximal Validation'!I17</f>
        <v>0</v>
      </c>
      <c r="J17" s="5">
        <f>'Proximal Validation'!J17</f>
        <v>0</v>
      </c>
      <c r="K17" s="5">
        <f>'Proximal Validation'!K17</f>
        <v>0</v>
      </c>
      <c r="L17" s="5">
        <f>'Proximal Validation'!L17</f>
        <v>-1.45209429319948E-3</v>
      </c>
      <c r="M17" s="5">
        <f>'Proximal Validation'!M17</f>
        <v>0.158558174967766</v>
      </c>
      <c r="N17" s="5">
        <f>'Proximal Validation'!N17</f>
        <v>-4.6406555920839303E-2</v>
      </c>
      <c r="O17" s="5">
        <f>'Proximal Validation'!O17</f>
        <v>-0.53051334619522095</v>
      </c>
      <c r="P17" s="5">
        <f>'Proximal Validation'!P17</f>
        <v>-0.25099590420723</v>
      </c>
      <c r="Q17" s="5">
        <f>'Proximal Validation'!Q17</f>
        <v>-0.37296327948570301</v>
      </c>
      <c r="R17" s="5">
        <v>0.83087101699627564</v>
      </c>
      <c r="S17" s="5">
        <v>0.19999999907274948</v>
      </c>
      <c r="T17" s="5">
        <v>4.8776022155051351</v>
      </c>
      <c r="U17" s="5">
        <v>1.5707963267948966</v>
      </c>
      <c r="V17" s="5">
        <v>0.44112636588224152</v>
      </c>
      <c r="W17" s="5">
        <v>0.1239764204895776</v>
      </c>
      <c r="X17" s="5">
        <v>2.7203547064393145</v>
      </c>
      <c r="Y17" s="5">
        <v>1.5707963267948966</v>
      </c>
      <c r="Z17" s="12">
        <v>2.5288064699482858E-5</v>
      </c>
      <c r="AA17" s="5">
        <f t="shared" si="0"/>
        <v>0.13087101699627568</v>
      </c>
      <c r="AB17" s="5">
        <f t="shared" si="0"/>
        <v>-9.2725052636133398E-10</v>
      </c>
      <c r="AC17" s="5">
        <f t="shared" si="0"/>
        <v>0.16560221550513532</v>
      </c>
      <c r="AD17" s="5">
        <f t="shared" si="0"/>
        <v>0</v>
      </c>
      <c r="AE17" s="5">
        <f t="shared" si="0"/>
        <v>0.14112636588224153</v>
      </c>
      <c r="AF17" s="5">
        <f t="shared" si="0"/>
        <v>4.3976420489577603E-2</v>
      </c>
      <c r="AG17" s="5">
        <f t="shared" si="0"/>
        <v>-0.42164529356068536</v>
      </c>
      <c r="AH17" s="5">
        <f t="shared" si="0"/>
        <v>0</v>
      </c>
      <c r="AI17" s="9">
        <f t="shared" si="2"/>
        <v>0.13599869143925861</v>
      </c>
      <c r="AJ17" s="9">
        <f t="shared" si="1"/>
        <v>2.1988210708414065E-2</v>
      </c>
      <c r="AK17" s="9">
        <f t="shared" si="1"/>
        <v>0.29362375453291034</v>
      </c>
    </row>
    <row r="18" spans="1:37" ht="15.75" thickBot="1" x14ac:dyDescent="0.3"/>
    <row r="19" spans="1:37" ht="15.75" x14ac:dyDescent="0.25">
      <c r="A19" s="35" t="s">
        <v>41</v>
      </c>
      <c r="B19" s="36"/>
      <c r="C19" s="37"/>
      <c r="H19" s="1" t="s">
        <v>43</v>
      </c>
      <c r="I19" s="1" t="s">
        <v>8</v>
      </c>
      <c r="J19" s="1" t="s">
        <v>9</v>
      </c>
      <c r="K19" s="1" t="s">
        <v>10</v>
      </c>
      <c r="L19" s="23" t="s">
        <v>42</v>
      </c>
      <c r="M19" s="24"/>
      <c r="N19" s="24"/>
      <c r="O19" s="24"/>
      <c r="P19" s="24"/>
      <c r="Q19" s="24"/>
    </row>
    <row r="20" spans="1:37" x14ac:dyDescent="0.25">
      <c r="A20">
        <v>0.6</v>
      </c>
      <c r="B20">
        <v>0</v>
      </c>
      <c r="C20">
        <v>0</v>
      </c>
      <c r="H20" s="18">
        <v>1</v>
      </c>
      <c r="I20" s="5">
        <f>'Distal Vali (0.6N perturb)'!I3</f>
        <v>0.8</v>
      </c>
      <c r="J20" s="5">
        <f>'Distal Vali (0.6N perturb)'!J3</f>
        <v>0</v>
      </c>
      <c r="K20" s="5">
        <f>'Distal Vali (0.6N perturb)'!K3</f>
        <v>0</v>
      </c>
      <c r="L20" s="5">
        <f>'Distal Vali (0.6N perturb)'!L3</f>
        <v>3.8069719448685603E-4</v>
      </c>
      <c r="M20" s="5">
        <f>'Distal Vali (0.6N perturb)'!M3</f>
        <v>-9.6344932913780199E-2</v>
      </c>
      <c r="N20" s="5">
        <f>'Distal Vali (0.6N perturb)'!N3</f>
        <v>-3.3478599041700398E-2</v>
      </c>
      <c r="O20" s="5">
        <f>'Distal Vali (0.6N perturb)'!O3</f>
        <v>-8.2021892070770305E-2</v>
      </c>
      <c r="P20" s="5">
        <f>'Distal Vali (0.6N perturb)'!P3</f>
        <v>-0.28456717729568498</v>
      </c>
      <c r="Q20" s="5">
        <f>'Distal Vali (0.6N perturb)'!Q3</f>
        <v>0.41270199418067899</v>
      </c>
    </row>
    <row r="21" spans="1:37" x14ac:dyDescent="0.25">
      <c r="A21">
        <v>0</v>
      </c>
      <c r="B21">
        <v>0.6</v>
      </c>
      <c r="C21">
        <v>0</v>
      </c>
      <c r="H21" s="18">
        <v>1</v>
      </c>
      <c r="I21" s="5">
        <f>I$20+A20</f>
        <v>1.4</v>
      </c>
      <c r="J21" s="5">
        <f t="shared" ref="J21:K21" si="3">J$20+B20</f>
        <v>0</v>
      </c>
      <c r="K21" s="5">
        <f t="shared" si="3"/>
        <v>0</v>
      </c>
      <c r="L21" s="5">
        <v>1.4565979363396801E-3</v>
      </c>
      <c r="M21" s="5">
        <v>-8.8410288095474202E-2</v>
      </c>
      <c r="N21" s="5">
        <v>-3.4315299242734902E-2</v>
      </c>
      <c r="O21" s="5">
        <v>-7.4583113193512005E-2</v>
      </c>
      <c r="P21" s="5">
        <v>-0.30525967478752097</v>
      </c>
      <c r="Q21" s="5">
        <v>0.38623139262199402</v>
      </c>
    </row>
    <row r="22" spans="1:37" x14ac:dyDescent="0.25">
      <c r="A22">
        <v>0</v>
      </c>
      <c r="B22">
        <v>0</v>
      </c>
      <c r="C22">
        <v>0.6</v>
      </c>
      <c r="H22" s="18">
        <v>1</v>
      </c>
      <c r="I22" s="5">
        <f t="shared" ref="I22:I23" si="4">I$20+A21</f>
        <v>0.8</v>
      </c>
      <c r="J22" s="5">
        <f t="shared" ref="J22:J23" si="5">J$20+B21</f>
        <v>0.6</v>
      </c>
      <c r="K22" s="5">
        <f t="shared" ref="K22:K23" si="6">K$20+C21</f>
        <v>0</v>
      </c>
      <c r="L22" s="5">
        <v>-4.2690429836511598E-5</v>
      </c>
      <c r="M22" s="5">
        <v>-8.8799715042114299E-2</v>
      </c>
      <c r="N22" s="5">
        <v>-3.1241569668054602E-2</v>
      </c>
      <c r="O22" s="5">
        <v>-7.1892037987709004E-2</v>
      </c>
      <c r="P22" s="5">
        <v>-0.283153116703033</v>
      </c>
      <c r="Q22" s="5">
        <v>0.38960462808608998</v>
      </c>
    </row>
    <row r="23" spans="1:37" x14ac:dyDescent="0.25">
      <c r="H23" s="18">
        <v>1</v>
      </c>
      <c r="I23" s="5">
        <f t="shared" si="4"/>
        <v>0.8</v>
      </c>
      <c r="J23" s="5">
        <f t="shared" si="5"/>
        <v>0</v>
      </c>
      <c r="K23" s="5">
        <f t="shared" si="6"/>
        <v>0.6</v>
      </c>
      <c r="L23" s="5">
        <v>7.6588848605752002E-4</v>
      </c>
      <c r="M23" s="5">
        <v>-0.103941470384598</v>
      </c>
      <c r="N23" s="5">
        <v>-3.2754428684711498E-2</v>
      </c>
      <c r="O23" s="5">
        <v>-8.4739811718463898E-2</v>
      </c>
      <c r="P23" s="5">
        <v>-0.29109260439872697</v>
      </c>
      <c r="Q23" s="5">
        <v>0.45866259932518</v>
      </c>
    </row>
    <row r="24" spans="1:37" x14ac:dyDescent="0.25">
      <c r="H24" s="18">
        <v>2</v>
      </c>
      <c r="I24" s="5">
        <f>'Distal Vali (0.6N perturb)'!I4</f>
        <v>0</v>
      </c>
      <c r="J24" s="5">
        <f>'Distal Vali (0.6N perturb)'!J4</f>
        <v>0</v>
      </c>
      <c r="K24" s="5">
        <f>'Distal Vali (0.6N perturb)'!K4</f>
        <v>0</v>
      </c>
      <c r="L24" s="5">
        <f>'Distal Vali (0.6N perturb)'!L4</f>
        <v>-8.1903394311666499E-4</v>
      </c>
      <c r="M24" s="5">
        <f>'Distal Vali (0.6N perturb)'!M4</f>
        <v>-5.3245900198817296E-3</v>
      </c>
      <c r="N24" s="5">
        <f>'Distal Vali (0.6N perturb)'!N4</f>
        <v>-2.3375959135592001E-3</v>
      </c>
      <c r="O24" s="5">
        <f>'Distal Vali (0.6N perturb)'!O4</f>
        <v>-2.4775806814432101E-3</v>
      </c>
      <c r="P24" s="5">
        <f>'Distal Vali (0.6N perturb)'!P4</f>
        <v>-3.4357905387878401E-3</v>
      </c>
      <c r="Q24" s="5">
        <f>'Distal Vali (0.6N perturb)'!Q4</f>
        <v>-0.190968692302704</v>
      </c>
    </row>
    <row r="25" spans="1:37" x14ac:dyDescent="0.25">
      <c r="H25" s="18">
        <v>2</v>
      </c>
      <c r="I25" s="5">
        <f>I$24+A20</f>
        <v>0.6</v>
      </c>
      <c r="J25" s="5">
        <f t="shared" ref="J25:K25" si="7">J$24+B20</f>
        <v>0</v>
      </c>
      <c r="K25" s="5">
        <f t="shared" si="7"/>
        <v>0</v>
      </c>
      <c r="L25" s="5">
        <v>-1.73588166944683E-4</v>
      </c>
      <c r="M25" s="5">
        <v>1.3063894584775001E-4</v>
      </c>
      <c r="N25" s="5">
        <v>-3.5042311064898998E-3</v>
      </c>
      <c r="O25" s="5">
        <v>2.6354161091148901E-3</v>
      </c>
      <c r="P25" s="5">
        <v>-1.18216909468174E-2</v>
      </c>
      <c r="Q25" s="5">
        <v>-0.21522438526153601</v>
      </c>
    </row>
    <row r="26" spans="1:37" x14ac:dyDescent="0.25">
      <c r="H26" s="18">
        <v>2</v>
      </c>
      <c r="I26" s="5">
        <f t="shared" ref="I26:I27" si="8">I$24+A21</f>
        <v>0</v>
      </c>
      <c r="J26" s="5">
        <f t="shared" ref="J26:J27" si="9">J$24+B21</f>
        <v>0.6</v>
      </c>
      <c r="K26" s="5">
        <f t="shared" ref="K26:K27" si="10">K$24+C21</f>
        <v>0</v>
      </c>
      <c r="L26" s="5">
        <v>-1.1212043464183801E-3</v>
      </c>
      <c r="M26" s="5">
        <v>7.19557399861515E-4</v>
      </c>
      <c r="N26" s="5">
        <v>-1.22486311011016E-3</v>
      </c>
      <c r="O26" s="5">
        <v>4.1815089061856296E-3</v>
      </c>
      <c r="P26" s="5">
        <v>-5.68360835313797E-3</v>
      </c>
      <c r="Q26" s="5">
        <v>-0.214863806962967</v>
      </c>
    </row>
    <row r="27" spans="1:37" x14ac:dyDescent="0.25">
      <c r="H27" s="18">
        <v>2</v>
      </c>
      <c r="I27" s="5">
        <f t="shared" si="8"/>
        <v>0</v>
      </c>
      <c r="J27" s="5">
        <f t="shared" si="9"/>
        <v>0</v>
      </c>
      <c r="K27" s="5">
        <f t="shared" si="10"/>
        <v>0.6</v>
      </c>
      <c r="L27" s="5">
        <v>-6.6979584516957402E-4</v>
      </c>
      <c r="M27" s="5">
        <v>-1.50292124599218E-2</v>
      </c>
      <c r="N27" s="5">
        <v>-2.1230108104646202E-3</v>
      </c>
      <c r="O27" s="5">
        <v>-6.5803281031549003E-3</v>
      </c>
      <c r="P27" s="5">
        <v>-7.7823959290981301E-3</v>
      </c>
      <c r="Q27" s="5">
        <v>-0.14025083184242201</v>
      </c>
    </row>
    <row r="28" spans="1:37" x14ac:dyDescent="0.25">
      <c r="H28" s="18">
        <v>3</v>
      </c>
      <c r="I28" s="5">
        <f>'Distal Vali (0.6N perturb)'!I5</f>
        <v>0.4</v>
      </c>
      <c r="J28" s="5">
        <f>'Distal Vali (0.6N perturb)'!J5</f>
        <v>0</v>
      </c>
      <c r="K28" s="5">
        <f>'Distal Vali (0.6N perturb)'!K5</f>
        <v>0</v>
      </c>
      <c r="L28" s="5">
        <f>'Distal Vali (0.6N perturb)'!L5</f>
        <v>3.4113688161596699E-4</v>
      </c>
      <c r="M28" s="5">
        <f>'Distal Vali (0.6N perturb)'!M5</f>
        <v>-0.14381006360053999</v>
      </c>
      <c r="N28" s="5">
        <f>'Distal Vali (0.6N perturb)'!N5</f>
        <v>-3.4647369757294698E-3</v>
      </c>
      <c r="O28" s="5">
        <f>'Distal Vali (0.6N perturb)'!O5</f>
        <v>-0.43965020775795</v>
      </c>
      <c r="P28" s="5">
        <f>'Distal Vali (0.6N perturb)'!P5</f>
        <v>-3.7686526775360099E-3</v>
      </c>
      <c r="Q28" s="5">
        <f>'Distal Vali (0.6N perturb)'!Q5</f>
        <v>0.28356426954269398</v>
      </c>
    </row>
    <row r="29" spans="1:37" x14ac:dyDescent="0.25">
      <c r="H29" s="18">
        <v>3</v>
      </c>
      <c r="I29" s="5">
        <f>I$28+A20</f>
        <v>1</v>
      </c>
      <c r="J29" s="5">
        <f t="shared" ref="J29:K29" si="11">J$28+B20</f>
        <v>0</v>
      </c>
      <c r="K29" s="5">
        <f t="shared" si="11"/>
        <v>0</v>
      </c>
      <c r="L29" s="5">
        <v>4.2280312627553896E-3</v>
      </c>
      <c r="M29" s="5">
        <v>-0.13657358288765001</v>
      </c>
      <c r="N29" s="5">
        <v>-7.4278451502323203E-3</v>
      </c>
      <c r="O29" s="5">
        <v>-0.41066288948059099</v>
      </c>
      <c r="P29" s="5">
        <v>-2.9423210769891701E-2</v>
      </c>
      <c r="Q29" s="5">
        <v>0.267253518104553</v>
      </c>
    </row>
    <row r="30" spans="1:37" x14ac:dyDescent="0.25">
      <c r="H30" s="18">
        <v>3</v>
      </c>
      <c r="I30" s="5">
        <f t="shared" ref="I30:I31" si="12">I$28+A21</f>
        <v>0.4</v>
      </c>
      <c r="J30" s="5">
        <f t="shared" ref="J30:J31" si="13">J$28+B21</f>
        <v>0.6</v>
      </c>
      <c r="K30" s="5">
        <f t="shared" ref="K30:K31" si="14">K$28+C21</f>
        <v>0</v>
      </c>
      <c r="L30" s="5">
        <v>-1.7925279680639501E-3</v>
      </c>
      <c r="M30" s="5">
        <v>-0.135767087340355</v>
      </c>
      <c r="N30" s="5">
        <v>-6.1983015621080995E-4</v>
      </c>
      <c r="O30" s="5">
        <v>-0.40795221924781799</v>
      </c>
      <c r="P30" s="5">
        <v>3.6501549184322401E-3</v>
      </c>
      <c r="Q30" s="5">
        <v>0.27262842655181901</v>
      </c>
    </row>
    <row r="31" spans="1:37" x14ac:dyDescent="0.25">
      <c r="H31" s="18">
        <v>3</v>
      </c>
      <c r="I31" s="5">
        <f t="shared" si="12"/>
        <v>0.4</v>
      </c>
      <c r="J31" s="5">
        <f t="shared" si="13"/>
        <v>0</v>
      </c>
      <c r="K31" s="5">
        <f t="shared" si="14"/>
        <v>0.6</v>
      </c>
      <c r="L31" s="5">
        <v>4.2236430454067902E-4</v>
      </c>
      <c r="M31" s="5">
        <v>-0.14833749830722801</v>
      </c>
      <c r="N31" s="5">
        <v>-3.20220249705017E-3</v>
      </c>
      <c r="O31" s="5">
        <v>-0.45044949650764499</v>
      </c>
      <c r="P31" s="5">
        <v>-9.7873732447624207E-3</v>
      </c>
      <c r="Q31" s="5">
        <v>0.29778695106506298</v>
      </c>
    </row>
    <row r="32" spans="1:37" x14ac:dyDescent="0.25">
      <c r="H32" s="18">
        <v>4</v>
      </c>
      <c r="I32" s="5">
        <f>'Distal Vali (0.6N perturb)'!I6</f>
        <v>0.4</v>
      </c>
      <c r="J32" s="5">
        <f>'Distal Vali (0.6N perturb)'!J6</f>
        <v>0</v>
      </c>
      <c r="K32" s="5">
        <f>'Distal Vali (0.6N perturb)'!K6</f>
        <v>0</v>
      </c>
      <c r="L32" s="5">
        <f>'Distal Vali (0.6N perturb)'!L6</f>
        <v>-2.8536887839436499E-4</v>
      </c>
      <c r="M32" s="5">
        <f>'Distal Vali (0.6N perturb)'!M6</f>
        <v>-6.3574254512786907E-2</v>
      </c>
      <c r="N32" s="5">
        <f>'Distal Vali (0.6N perturb)'!N6</f>
        <v>-9.0447112917900099E-2</v>
      </c>
      <c r="O32" s="5">
        <f>'Distal Vali (0.6N perturb)'!O6</f>
        <v>-8.5884019732475295E-2</v>
      </c>
      <c r="P32" s="5">
        <f>'Distal Vali (0.6N perturb)'!P6</f>
        <v>-0.67203629016876198</v>
      </c>
      <c r="Q32" s="5">
        <f>'Distal Vali (0.6N perturb)'!Q6</f>
        <v>0.13295280933380099</v>
      </c>
    </row>
    <row r="33" spans="8:17" x14ac:dyDescent="0.25">
      <c r="H33" s="18">
        <v>4</v>
      </c>
      <c r="I33" s="5">
        <f>I$32+A20</f>
        <v>1</v>
      </c>
      <c r="J33" s="5">
        <f t="shared" ref="J33:K33" si="15">J$32+B20</f>
        <v>0</v>
      </c>
      <c r="K33" s="5">
        <f t="shared" si="15"/>
        <v>0</v>
      </c>
      <c r="L33" s="5">
        <v>1.5889387577772099E-3</v>
      </c>
      <c r="M33" s="5">
        <v>-5.51093332469463E-2</v>
      </c>
      <c r="N33" s="5">
        <v>-9.4750039279460893E-2</v>
      </c>
      <c r="O33" s="5">
        <v>-7.5877033174037906E-2</v>
      </c>
      <c r="P33" s="5">
        <v>-0.69757288694381703</v>
      </c>
      <c r="Q33" s="5">
        <v>0.107562035322189</v>
      </c>
    </row>
    <row r="34" spans="8:17" x14ac:dyDescent="0.25">
      <c r="H34" s="18">
        <v>4</v>
      </c>
      <c r="I34" s="5">
        <f t="shared" ref="I34:I35" si="16">I$32+A21</f>
        <v>0.4</v>
      </c>
      <c r="J34" s="5">
        <f t="shared" ref="J34:J35" si="17">J$32+B21</f>
        <v>0.6</v>
      </c>
      <c r="K34" s="5">
        <f t="shared" ref="K34:K35" si="18">K$32+C21</f>
        <v>0</v>
      </c>
      <c r="L34" s="5">
        <v>-1.5058561693876999E-3</v>
      </c>
      <c r="M34" s="5">
        <v>-5.5391017347574199E-2</v>
      </c>
      <c r="N34" s="5">
        <v>-8.6338341236114502E-2</v>
      </c>
      <c r="O34" s="5">
        <v>-7.2327546775341006E-2</v>
      </c>
      <c r="P34" s="5">
        <v>-0.66003757715225198</v>
      </c>
      <c r="Q34" s="5">
        <v>0.11620241403579699</v>
      </c>
    </row>
    <row r="35" spans="8:17" x14ac:dyDescent="0.25">
      <c r="H35" s="18">
        <v>4</v>
      </c>
      <c r="I35" s="5">
        <f t="shared" si="16"/>
        <v>0.4</v>
      </c>
      <c r="J35" s="5">
        <f t="shared" si="17"/>
        <v>0</v>
      </c>
      <c r="K35" s="5">
        <f t="shared" si="18"/>
        <v>0.6</v>
      </c>
      <c r="L35" s="5">
        <v>-2.8814235702156999E-4</v>
      </c>
      <c r="M35" s="5">
        <v>-7.4884176254272503E-2</v>
      </c>
      <c r="N35" s="5">
        <v>-8.93988907337189E-2</v>
      </c>
      <c r="O35" s="5">
        <v>-0.10567356646060901</v>
      </c>
      <c r="P35" s="5">
        <v>-0.675123691558838</v>
      </c>
      <c r="Q35" s="5">
        <v>0.169469654560089</v>
      </c>
    </row>
    <row r="36" spans="8:17" x14ac:dyDescent="0.25">
      <c r="H36" s="18">
        <v>5</v>
      </c>
      <c r="I36" s="5">
        <f>'Distal Vali (0.6N perturb)'!I7</f>
        <v>0.8</v>
      </c>
      <c r="J36" s="5">
        <f>'Distal Vali (0.6N perturb)'!J7</f>
        <v>0</v>
      </c>
      <c r="K36" s="5">
        <f>'Distal Vali (0.6N perturb)'!K7</f>
        <v>0</v>
      </c>
      <c r="L36" s="5">
        <f>'Distal Vali (0.6N perturb)'!L7</f>
        <v>-1.37211009860039E-3</v>
      </c>
      <c r="M36" s="5">
        <f>'Distal Vali (0.6N perturb)'!M7</f>
        <v>8.7113633751869202E-2</v>
      </c>
      <c r="N36" s="5">
        <f>'Distal Vali (0.6N perturb)'!N7</f>
        <v>-0.16279363632202101</v>
      </c>
      <c r="O36" s="5">
        <f>'Distal Vali (0.6N perturb)'!O7</f>
        <v>-9.0744964778423295E-2</v>
      </c>
      <c r="P36" s="5">
        <f>'Distal Vali (0.6N perturb)'!P7</f>
        <v>-0.87937128543853804</v>
      </c>
      <c r="Q36" s="5">
        <f>'Distal Vali (0.6N perturb)'!Q7</f>
        <v>-0.48219949007034302</v>
      </c>
    </row>
    <row r="37" spans="8:17" x14ac:dyDescent="0.25">
      <c r="H37" s="18">
        <v>5</v>
      </c>
      <c r="I37" s="5">
        <f>I$36+A20</f>
        <v>1.4</v>
      </c>
      <c r="J37" s="5">
        <f t="shared" ref="J37:K37" si="19">J$36+B20</f>
        <v>0</v>
      </c>
      <c r="K37" s="5">
        <f t="shared" si="19"/>
        <v>0</v>
      </c>
      <c r="L37" s="5">
        <v>-1.36055797338486E-3</v>
      </c>
      <c r="M37" s="5">
        <v>9.0598642826080295E-2</v>
      </c>
      <c r="N37" s="5">
        <v>-0.17294137179851499</v>
      </c>
      <c r="O37" s="5">
        <v>-9.4194762408733396E-2</v>
      </c>
      <c r="P37" s="5">
        <v>-0.93448364734649703</v>
      </c>
      <c r="Q37" s="5">
        <v>-0.50216889381408703</v>
      </c>
    </row>
    <row r="38" spans="8:17" x14ac:dyDescent="0.25">
      <c r="H38" s="18">
        <v>5</v>
      </c>
      <c r="I38" s="5">
        <f t="shared" ref="I38:I39" si="20">I$36+A21</f>
        <v>0.8</v>
      </c>
      <c r="J38" s="5">
        <f t="shared" ref="J38:J39" si="21">J$36+B21</f>
        <v>0.6</v>
      </c>
      <c r="K38" s="5">
        <f t="shared" ref="K38:K39" si="22">K$36+C21</f>
        <v>0</v>
      </c>
      <c r="L38" s="5">
        <v>-4.4362898916006099E-4</v>
      </c>
      <c r="M38" s="5">
        <v>8.7859079241752597E-2</v>
      </c>
      <c r="N38" s="5">
        <v>-0.149700507521629</v>
      </c>
      <c r="O38" s="5">
        <v>-8.3662196993827806E-2</v>
      </c>
      <c r="P38" s="5">
        <v>-0.81903314590454102</v>
      </c>
      <c r="Q38" s="5">
        <v>-0.48939895629882801</v>
      </c>
    </row>
    <row r="39" spans="8:17" x14ac:dyDescent="0.25">
      <c r="H39" s="18">
        <v>5</v>
      </c>
      <c r="I39" s="5">
        <f t="shared" si="20"/>
        <v>0.8</v>
      </c>
      <c r="J39" s="5">
        <f t="shared" si="21"/>
        <v>0</v>
      </c>
      <c r="K39" s="5">
        <f t="shared" si="22"/>
        <v>0.6</v>
      </c>
      <c r="L39" s="5">
        <v>-2.1755299530923401E-3</v>
      </c>
      <c r="M39" s="5">
        <v>7.9079501330852495E-2</v>
      </c>
      <c r="N39" s="5">
        <v>-0.15534256398677801</v>
      </c>
      <c r="O39" s="5">
        <v>-8.4770120680332198E-2</v>
      </c>
      <c r="P39" s="5">
        <v>-0.84200012683868397</v>
      </c>
      <c r="Q39" s="5">
        <v>-0.437740057706833</v>
      </c>
    </row>
    <row r="40" spans="8:17" x14ac:dyDescent="0.25">
      <c r="H40" s="18">
        <v>6</v>
      </c>
      <c r="I40" s="5">
        <f>'Distal Vali (0.6N perturb)'!I8</f>
        <v>0.4</v>
      </c>
      <c r="J40" s="5">
        <f>'Distal Vali (0.6N perturb)'!J8</f>
        <v>0</v>
      </c>
      <c r="K40" s="5">
        <f>'Distal Vali (0.6N perturb)'!K8</f>
        <v>0</v>
      </c>
      <c r="L40" s="5">
        <f>'Distal Vali (0.6N perturb)'!L8</f>
        <v>-1.4753518626093899E-3</v>
      </c>
      <c r="M40" s="5">
        <f>'Distal Vali (0.6N perturb)'!M8</f>
        <v>3.1907491385936702E-2</v>
      </c>
      <c r="N40" s="5">
        <f>'Distal Vali (0.6N perturb)'!N8</f>
        <v>-0.19490382075309801</v>
      </c>
      <c r="O40" s="5">
        <f>'Distal Vali (0.6N perturb)'!O8</f>
        <v>-0.17070601880550401</v>
      </c>
      <c r="P40" s="5">
        <f>'Distal Vali (0.6N perturb)'!P8</f>
        <v>-1.0707256793975799</v>
      </c>
      <c r="Q40" s="5">
        <f>'Distal Vali (0.6N perturb)'!Q8</f>
        <v>-0.22229230403900099</v>
      </c>
    </row>
    <row r="41" spans="8:17" x14ac:dyDescent="0.25">
      <c r="H41" s="18">
        <v>6</v>
      </c>
      <c r="I41" s="5">
        <f>I$40+A20</f>
        <v>1</v>
      </c>
      <c r="J41" s="5">
        <f t="shared" ref="J41:K41" si="23">J$40+B20</f>
        <v>0</v>
      </c>
      <c r="K41" s="5">
        <f t="shared" si="23"/>
        <v>0</v>
      </c>
      <c r="L41" s="5">
        <v>-9.5861684530973402E-4</v>
      </c>
      <c r="M41" s="5">
        <v>3.3118188381195103E-2</v>
      </c>
      <c r="N41" s="5">
        <v>-0.20282633602619199</v>
      </c>
      <c r="O41" s="5">
        <v>-0.17964211106300401</v>
      </c>
      <c r="P41" s="5">
        <v>-1.11345994472504</v>
      </c>
      <c r="Q41" s="5">
        <v>-0.23012918233871499</v>
      </c>
    </row>
    <row r="42" spans="8:17" x14ac:dyDescent="0.25">
      <c r="H42" s="18">
        <v>6</v>
      </c>
      <c r="I42" s="5">
        <f t="shared" ref="I42:I43" si="24">I$40+A21</f>
        <v>0.4</v>
      </c>
      <c r="J42" s="5">
        <f t="shared" ref="J42:J43" si="25">J$40+B21</f>
        <v>0.6</v>
      </c>
      <c r="K42" s="5">
        <f t="shared" ref="K42:K43" si="26">K$40+C21</f>
        <v>0</v>
      </c>
      <c r="L42" s="5">
        <v>-9.5200352370739005E-4</v>
      </c>
      <c r="M42" s="5">
        <v>3.1913917511701598E-2</v>
      </c>
      <c r="N42" s="5">
        <v>-0.185341656208038</v>
      </c>
      <c r="O42" s="5">
        <v>-0.159615308046341</v>
      </c>
      <c r="P42" s="5">
        <v>-1.02702784538269</v>
      </c>
      <c r="Q42" s="5">
        <v>-0.22407838702201799</v>
      </c>
    </row>
    <row r="43" spans="8:17" x14ac:dyDescent="0.25">
      <c r="H43" s="18">
        <v>6</v>
      </c>
      <c r="I43" s="5">
        <f t="shared" si="24"/>
        <v>0.4</v>
      </c>
      <c r="J43" s="5">
        <f t="shared" si="25"/>
        <v>0</v>
      </c>
      <c r="K43" s="5">
        <f t="shared" si="26"/>
        <v>0.6</v>
      </c>
      <c r="L43" s="5">
        <v>-2.5325799360871302E-3</v>
      </c>
      <c r="M43" s="5">
        <v>2.99476571381092E-2</v>
      </c>
      <c r="N43" s="5">
        <v>-0.19052435457706501</v>
      </c>
      <c r="O43" s="5">
        <v>-0.165864318609238</v>
      </c>
      <c r="P43" s="5">
        <v>-1.05037128925323</v>
      </c>
      <c r="Q43" s="5">
        <v>-0.208974063396454</v>
      </c>
    </row>
    <row r="44" spans="8:17" x14ac:dyDescent="0.25">
      <c r="H44" s="18">
        <v>7</v>
      </c>
      <c r="I44" s="5">
        <f>'Distal Vali (0.6N perturb)'!I9</f>
        <v>0.4</v>
      </c>
      <c r="J44" s="5">
        <f>'Distal Vali (0.6N perturb)'!J9</f>
        <v>0</v>
      </c>
      <c r="K44" s="5">
        <f>'Distal Vali (0.6N perturb)'!K9</f>
        <v>0</v>
      </c>
      <c r="L44" s="5">
        <f>'Distal Vali (0.6N perturb)'!L9</f>
        <v>-2.8121247887611398E-3</v>
      </c>
      <c r="M44" s="5">
        <f>'Distal Vali (0.6N perturb)'!M9</f>
        <v>7.0382751524448395E-2</v>
      </c>
      <c r="N44" s="5">
        <f>'Distal Vali (0.6N perturb)'!N9</f>
        <v>-0.20890267193317399</v>
      </c>
      <c r="O44" s="5">
        <f>'Distal Vali (0.6N perturb)'!O9</f>
        <v>-0.326402246952057</v>
      </c>
      <c r="P44" s="5">
        <f>'Distal Vali (0.6N perturb)'!P9</f>
        <v>-0.97189968824386597</v>
      </c>
      <c r="Q44" s="5">
        <f>'Distal Vali (0.6N perturb)'!Q9</f>
        <v>-0.380674779415131</v>
      </c>
    </row>
    <row r="45" spans="8:17" x14ac:dyDescent="0.25">
      <c r="H45" s="18">
        <v>7</v>
      </c>
      <c r="I45" s="5">
        <f>I$44+A20</f>
        <v>1</v>
      </c>
      <c r="J45" s="5">
        <f t="shared" ref="J45:K45" si="27">J$44+B20</f>
        <v>0</v>
      </c>
      <c r="K45" s="5">
        <f t="shared" si="27"/>
        <v>0</v>
      </c>
      <c r="L45" s="5">
        <v>-2.3253364488482501E-3</v>
      </c>
      <c r="M45" s="5">
        <v>7.1845799684524494E-2</v>
      </c>
      <c r="N45" s="5">
        <v>-0.21769331395626099</v>
      </c>
      <c r="O45" s="5">
        <v>-0.33890032768249501</v>
      </c>
      <c r="P45" s="5">
        <v>-1.00943338871002</v>
      </c>
      <c r="Q45" s="5">
        <v>-0.38853260874748202</v>
      </c>
    </row>
    <row r="46" spans="8:17" x14ac:dyDescent="0.25">
      <c r="H46" s="18">
        <v>7</v>
      </c>
      <c r="I46" s="5">
        <f t="shared" ref="I46:I47" si="28">I$44+A21</f>
        <v>0.4</v>
      </c>
      <c r="J46" s="5">
        <f t="shared" ref="J46:J47" si="29">J$44+B21</f>
        <v>0.6</v>
      </c>
      <c r="K46" s="5">
        <f t="shared" ref="K46:K47" si="30">K$44+C21</f>
        <v>0</v>
      </c>
      <c r="L46" s="5">
        <v>-1.61346420645714E-3</v>
      </c>
      <c r="M46" s="5">
        <v>7.2170071303844494E-2</v>
      </c>
      <c r="N46" s="5">
        <v>-0.19736327230930301</v>
      </c>
      <c r="O46" s="5">
        <v>-0.30834472179412797</v>
      </c>
      <c r="P46" s="5">
        <v>-0.93284988403320301</v>
      </c>
      <c r="Q46" s="5">
        <v>-0.39319199323654203</v>
      </c>
    </row>
    <row r="47" spans="8:17" x14ac:dyDescent="0.25">
      <c r="H47" s="18">
        <v>7</v>
      </c>
      <c r="I47" s="5">
        <f t="shared" si="28"/>
        <v>0.4</v>
      </c>
      <c r="J47" s="5">
        <f t="shared" si="29"/>
        <v>0</v>
      </c>
      <c r="K47" s="5">
        <f t="shared" si="30"/>
        <v>0.6</v>
      </c>
      <c r="L47" s="5">
        <v>-4.5132646337151501E-3</v>
      </c>
      <c r="M47" s="5">
        <v>6.5644428133964497E-2</v>
      </c>
      <c r="N47" s="5">
        <v>-0.20308502018451699</v>
      </c>
      <c r="O47" s="5">
        <v>-0.31319817900657698</v>
      </c>
      <c r="P47" s="5">
        <v>-0.94705355167388905</v>
      </c>
      <c r="Q47" s="5">
        <v>-0.35390597581863398</v>
      </c>
    </row>
    <row r="48" spans="8:17" x14ac:dyDescent="0.25">
      <c r="H48" s="18">
        <v>8</v>
      </c>
      <c r="I48" s="5">
        <f>'Distal Vali (0.6N perturb)'!I10</f>
        <v>0.8</v>
      </c>
      <c r="J48" s="5">
        <f>'Distal Vali (0.6N perturb)'!J10</f>
        <v>0</v>
      </c>
      <c r="K48" s="5">
        <f>'Distal Vali (0.6N perturb)'!K10</f>
        <v>0</v>
      </c>
      <c r="L48" s="5">
        <f>'Distal Vali (0.6N perturb)'!L10</f>
        <v>-1.88843719661236E-3</v>
      </c>
      <c r="M48" s="5">
        <f>'Distal Vali (0.6N perturb)'!M10</f>
        <v>4.87664639949799E-2</v>
      </c>
      <c r="N48" s="5">
        <f>'Distal Vali (0.6N perturb)'!N10</f>
        <v>-0.220894455909729</v>
      </c>
      <c r="O48" s="5">
        <f>'Distal Vali (0.6N perturb)'!O10</f>
        <v>-0.32184326648712203</v>
      </c>
      <c r="P48" s="5">
        <f>'Distal Vali (0.6N perturb)'!P10</f>
        <v>-1.01222968101501</v>
      </c>
      <c r="Q48" s="5">
        <f>'Distal Vali (0.6N perturb)'!Q10</f>
        <v>-0.296476870775223</v>
      </c>
    </row>
    <row r="49" spans="8:25" x14ac:dyDescent="0.25">
      <c r="H49" s="18">
        <v>8</v>
      </c>
      <c r="I49" s="5">
        <f>I$48+A20</f>
        <v>1.4</v>
      </c>
      <c r="J49" s="5">
        <f t="shared" ref="J49:K49" si="31">J$48+B20</f>
        <v>0</v>
      </c>
      <c r="K49" s="5">
        <f t="shared" si="31"/>
        <v>0</v>
      </c>
      <c r="L49" s="5">
        <v>-1.1450750753283501E-3</v>
      </c>
      <c r="M49" s="5">
        <v>4.9848511815071099E-2</v>
      </c>
      <c r="N49" s="5">
        <v>-0.22826758027076699</v>
      </c>
      <c r="O49" s="5">
        <v>-0.33329164981842002</v>
      </c>
      <c r="P49" s="5">
        <v>-1.0440411567687999</v>
      </c>
      <c r="Q49" s="5">
        <v>-0.30263835191726701</v>
      </c>
    </row>
    <row r="50" spans="8:25" x14ac:dyDescent="0.25">
      <c r="H50" s="18">
        <v>8</v>
      </c>
      <c r="I50" s="5">
        <f t="shared" ref="I50:I51" si="32">I$48+A21</f>
        <v>0.8</v>
      </c>
      <c r="J50" s="5">
        <f t="shared" ref="J50:J51" si="33">J$48+B21</f>
        <v>0.6</v>
      </c>
      <c r="K50" s="5">
        <f t="shared" ref="K50:K51" si="34">K$48+C21</f>
        <v>0</v>
      </c>
      <c r="L50" s="5">
        <v>-8.5434317588806196E-4</v>
      </c>
      <c r="M50" s="5">
        <v>4.9553211778402301E-2</v>
      </c>
      <c r="N50" s="5">
        <v>-0.20891195535659801</v>
      </c>
      <c r="O50" s="5">
        <v>-0.30200269818306003</v>
      </c>
      <c r="P50" s="5">
        <v>-0.97120368480682395</v>
      </c>
      <c r="Q50" s="5">
        <v>-0.30341911315918002</v>
      </c>
    </row>
    <row r="51" spans="8:25" x14ac:dyDescent="0.25">
      <c r="H51" s="18">
        <v>8</v>
      </c>
      <c r="I51" s="5">
        <f t="shared" si="32"/>
        <v>0.8</v>
      </c>
      <c r="J51" s="5">
        <f t="shared" si="33"/>
        <v>0</v>
      </c>
      <c r="K51" s="5">
        <f t="shared" si="34"/>
        <v>0.6</v>
      </c>
      <c r="L51" s="5">
        <v>-3.9194775745272602E-3</v>
      </c>
      <c r="M51" s="5">
        <v>4.4565990567207302E-2</v>
      </c>
      <c r="N51" s="5">
        <v>-0.215352907776833</v>
      </c>
      <c r="O51" s="5">
        <v>-0.31045067310333302</v>
      </c>
      <c r="P51" s="5">
        <v>-0.99045473337173495</v>
      </c>
      <c r="Q51" s="5">
        <v>-0.271506667137146</v>
      </c>
    </row>
    <row r="52" spans="8:25" x14ac:dyDescent="0.25">
      <c r="H52" s="18">
        <v>9</v>
      </c>
      <c r="I52" s="5">
        <f>'Distal Vali (0.6N perturb)'!I11</f>
        <v>0</v>
      </c>
      <c r="J52" s="5">
        <f>'Distal Vali (0.6N perturb)'!J11</f>
        <v>0</v>
      </c>
      <c r="K52" s="5">
        <f>'Distal Vali (0.6N perturb)'!K11</f>
        <v>0</v>
      </c>
      <c r="L52" s="5">
        <f>'Distal Vali (0.6N perturb)'!L11</f>
        <v>-2.59150564670563E-3</v>
      </c>
      <c r="M52" s="5">
        <f>'Distal Vali (0.6N perturb)'!M11</f>
        <v>2.7324184775352499E-2</v>
      </c>
      <c r="N52" s="5">
        <f>'Distal Vali (0.6N perturb)'!N11</f>
        <v>-0.13145609200000799</v>
      </c>
      <c r="O52" s="5">
        <f>'Distal Vali (0.6N perturb)'!O11</f>
        <v>-0.136582016944885</v>
      </c>
      <c r="P52" s="5">
        <f>'Distal Vali (0.6N perturb)'!P11</f>
        <v>-0.61641645431518599</v>
      </c>
      <c r="Q52" s="5">
        <f>'Distal Vali (0.6N perturb)'!Q11</f>
        <v>-0.23403739929199199</v>
      </c>
      <c r="U52">
        <f>0.09+0.18</f>
        <v>0.27</v>
      </c>
      <c r="V52">
        <v>0.42</v>
      </c>
      <c r="X52">
        <f>0.09+0.02</f>
        <v>0.11</v>
      </c>
      <c r="Y52">
        <f>0.4*SQRT(2)/2</f>
        <v>0.28284271247461906</v>
      </c>
    </row>
    <row r="53" spans="8:25" x14ac:dyDescent="0.25">
      <c r="H53" s="18">
        <v>9</v>
      </c>
      <c r="I53" s="5">
        <f>I$52+A20</f>
        <v>0.6</v>
      </c>
      <c r="J53" s="5">
        <f t="shared" ref="J53:K53" si="35">J$52+B20</f>
        <v>0</v>
      </c>
      <c r="K53" s="5">
        <f t="shared" si="35"/>
        <v>0</v>
      </c>
      <c r="L53" s="5">
        <v>-1.8021510913968099E-3</v>
      </c>
      <c r="M53" s="5">
        <v>2.8599115088582001E-2</v>
      </c>
      <c r="N53" s="5">
        <v>-0.14243702590465501</v>
      </c>
      <c r="O53" s="5">
        <v>-0.15055987238884</v>
      </c>
      <c r="P53" s="5">
        <v>-0.65327292680740401</v>
      </c>
      <c r="Q53" s="5">
        <v>-0.23986071348190299</v>
      </c>
    </row>
    <row r="54" spans="8:25" x14ac:dyDescent="0.25">
      <c r="H54" s="18">
        <v>9</v>
      </c>
      <c r="I54" s="5">
        <f t="shared" ref="I54:I55" si="36">I$52+A21</f>
        <v>0</v>
      </c>
      <c r="J54" s="5">
        <f t="shared" ref="J54:J55" si="37">J$52+B21</f>
        <v>0.6</v>
      </c>
      <c r="K54" s="5">
        <f t="shared" ref="K54:K55" si="38">K$52+C21</f>
        <v>0</v>
      </c>
      <c r="L54" s="5">
        <v>-1.65695138275623E-3</v>
      </c>
      <c r="M54" s="5">
        <v>2.8402037918567699E-2</v>
      </c>
      <c r="N54" s="5">
        <v>-0.11867500841617599</v>
      </c>
      <c r="O54" s="5">
        <v>-0.117207370698452</v>
      </c>
      <c r="P54" s="5">
        <v>-0.57905393838882402</v>
      </c>
      <c r="Q54" s="5">
        <v>-0.24142506718635601</v>
      </c>
      <c r="U54">
        <f>U52*V52+X52*Y52</f>
        <v>0.14451269837220809</v>
      </c>
    </row>
    <row r="55" spans="8:25" x14ac:dyDescent="0.25">
      <c r="H55" s="18">
        <v>9</v>
      </c>
      <c r="I55" s="5">
        <f t="shared" si="36"/>
        <v>0</v>
      </c>
      <c r="J55" s="5">
        <f t="shared" si="37"/>
        <v>0</v>
      </c>
      <c r="K55" s="5">
        <f t="shared" si="38"/>
        <v>0.6</v>
      </c>
      <c r="L55" s="5">
        <v>-4.3781744316220301E-3</v>
      </c>
      <c r="M55" s="5">
        <v>2.4931300431489899E-2</v>
      </c>
      <c r="N55" s="5">
        <v>-0.12804599106311801</v>
      </c>
      <c r="O55" s="5">
        <v>-0.131038397550583</v>
      </c>
      <c r="P55" s="5">
        <v>-0.60611301660537698</v>
      </c>
      <c r="Q55" s="5">
        <v>-0.22173199057578999</v>
      </c>
    </row>
    <row r="56" spans="8:25" x14ac:dyDescent="0.25">
      <c r="H56" s="18">
        <v>10</v>
      </c>
      <c r="I56" s="5">
        <f>'Distal Vali (0.6N perturb)'!I12</f>
        <v>0.4</v>
      </c>
      <c r="J56" s="5">
        <f>'Distal Vali (0.6N perturb)'!J12</f>
        <v>0</v>
      </c>
      <c r="K56" s="5">
        <f>'Distal Vali (0.6N perturb)'!K12</f>
        <v>0</v>
      </c>
      <c r="L56" s="5">
        <f>'Distal Vali (0.6N perturb)'!L12</f>
        <v>-2.8818771243095398E-3</v>
      </c>
      <c r="M56" s="5">
        <f>'Distal Vali (0.6N perturb)'!M12</f>
        <v>6.48805126547813E-2</v>
      </c>
      <c r="N56" s="5">
        <f>'Distal Vali (0.6N perturb)'!N12</f>
        <v>-0.26836296916008001</v>
      </c>
      <c r="O56" s="5">
        <f>'Distal Vali (0.6N perturb)'!O12</f>
        <v>-0.61091923713684104</v>
      </c>
      <c r="P56" s="5">
        <f>'Distal Vali (0.6N perturb)'!P12</f>
        <v>-1.14929687976837</v>
      </c>
      <c r="Q56" s="5">
        <f>'Distal Vali (0.6N perturb)'!Q12</f>
        <v>-0.46333062648773199</v>
      </c>
    </row>
    <row r="57" spans="8:25" x14ac:dyDescent="0.25">
      <c r="H57" s="18">
        <v>10</v>
      </c>
      <c r="I57" s="5">
        <f>I$56+A20</f>
        <v>1</v>
      </c>
      <c r="J57" s="5">
        <f t="shared" ref="J57:K57" si="39">J$56+B20</f>
        <v>0</v>
      </c>
      <c r="K57" s="5">
        <f t="shared" si="39"/>
        <v>0</v>
      </c>
      <c r="L57" s="5">
        <v>-1.6126278787851299E-3</v>
      </c>
      <c r="M57" s="5">
        <v>6.6071882843971294E-2</v>
      </c>
      <c r="N57" s="5">
        <v>-0.27489620447158802</v>
      </c>
      <c r="O57" s="5">
        <v>-0.62952733039856001</v>
      </c>
      <c r="P57" s="5">
        <v>-1.1682159900665301</v>
      </c>
      <c r="Q57" s="5">
        <v>-0.470345258712769</v>
      </c>
    </row>
    <row r="58" spans="8:25" x14ac:dyDescent="0.25">
      <c r="H58" s="18">
        <v>10</v>
      </c>
      <c r="I58" s="5">
        <f t="shared" ref="I58:I59" si="40">I$56+A21</f>
        <v>0.4</v>
      </c>
      <c r="J58" s="5">
        <f t="shared" ref="J58:J59" si="41">J$56+B21</f>
        <v>0.6</v>
      </c>
      <c r="K58" s="5">
        <f t="shared" ref="K58:K59" si="42">K$56+C21</f>
        <v>0</v>
      </c>
      <c r="L58" s="5">
        <v>-1.3240529224276499E-3</v>
      </c>
      <c r="M58" s="5">
        <v>6.6416129469871493E-2</v>
      </c>
      <c r="N58" s="5">
        <v>-0.25723016262054399</v>
      </c>
      <c r="O58" s="5">
        <v>-0.57702159881591797</v>
      </c>
      <c r="P58" s="5">
        <v>-1.1238150596618699</v>
      </c>
      <c r="Q58" s="5">
        <v>-0.47461235523223899</v>
      </c>
    </row>
    <row r="59" spans="8:25" x14ac:dyDescent="0.25">
      <c r="H59" s="18">
        <v>10</v>
      </c>
      <c r="I59" s="5">
        <f t="shared" si="40"/>
        <v>0.4</v>
      </c>
      <c r="J59" s="5">
        <f t="shared" si="41"/>
        <v>0</v>
      </c>
      <c r="K59" s="5">
        <f t="shared" si="42"/>
        <v>0.6</v>
      </c>
      <c r="L59" s="5">
        <v>-6.0431864112615603E-3</v>
      </c>
      <c r="M59" s="5">
        <v>6.1165977269411101E-2</v>
      </c>
      <c r="N59" s="5">
        <v>-0.26362520456314098</v>
      </c>
      <c r="O59" s="5">
        <v>-0.59595417976379395</v>
      </c>
      <c r="P59" s="5">
        <v>-1.13576340675354</v>
      </c>
      <c r="Q59" s="5">
        <v>-0.440411686897278</v>
      </c>
    </row>
    <row r="60" spans="8:25" x14ac:dyDescent="0.25">
      <c r="H60" s="18">
        <v>11</v>
      </c>
      <c r="I60" s="5">
        <f>'Distal Vali (0.6N perturb)'!I13</f>
        <v>0.4</v>
      </c>
      <c r="J60" s="5">
        <f>'Distal Vali (0.6N perturb)'!J13</f>
        <v>0</v>
      </c>
      <c r="K60" s="5">
        <f>'Distal Vali (0.6N perturb)'!K13</f>
        <v>0</v>
      </c>
      <c r="L60" s="5">
        <f>'Distal Vali (0.6N perturb)'!L13</f>
        <v>-1.0846329387277399E-3</v>
      </c>
      <c r="M60" s="5">
        <f>'Distal Vali (0.6N perturb)'!M13</f>
        <v>0.105407744646072</v>
      </c>
      <c r="N60" s="5">
        <f>'Distal Vali (0.6N perturb)'!N13</f>
        <v>-7.5431093573570304E-3</v>
      </c>
      <c r="O60" s="5">
        <f>'Distal Vali (0.6N perturb)'!O13</f>
        <v>-4.4421639293432201E-2</v>
      </c>
      <c r="P60" s="5">
        <f>'Distal Vali (0.6N perturb)'!P13</f>
        <v>-5.3632915019989E-2</v>
      </c>
      <c r="Q60" s="5">
        <f>'Distal Vali (0.6N perturb)'!Q13</f>
        <v>-0.59106355905532804</v>
      </c>
    </row>
    <row r="61" spans="8:25" x14ac:dyDescent="0.25">
      <c r="H61" s="18">
        <v>11</v>
      </c>
      <c r="I61" s="5">
        <f>I$60+A20</f>
        <v>1</v>
      </c>
      <c r="J61" s="5">
        <f t="shared" ref="J61:K61" si="43">J$60+B20</f>
        <v>0</v>
      </c>
      <c r="K61" s="5">
        <f t="shared" si="43"/>
        <v>0</v>
      </c>
      <c r="L61" s="5">
        <v>-2.26727500557899E-3</v>
      </c>
      <c r="M61" s="5">
        <v>0.11268009990453701</v>
      </c>
      <c r="N61" s="5">
        <v>-8.6299823597073607E-3</v>
      </c>
      <c r="O61" s="5">
        <v>-5.1162451505660997E-2</v>
      </c>
      <c r="P61" s="5">
        <v>-5.9206232428550699E-2</v>
      </c>
      <c r="Q61" s="5">
        <v>-0.62467873096466098</v>
      </c>
    </row>
    <row r="62" spans="8:25" x14ac:dyDescent="0.25">
      <c r="H62" s="18">
        <v>11</v>
      </c>
      <c r="I62" s="5">
        <f t="shared" ref="I62:I63" si="44">I$60+A21</f>
        <v>0.4</v>
      </c>
      <c r="J62" s="5">
        <f t="shared" ref="J62:J63" si="45">J$60+B21</f>
        <v>0.6</v>
      </c>
      <c r="K62" s="5">
        <f t="shared" ref="K62:K63" si="46">K$60+C21</f>
        <v>0</v>
      </c>
      <c r="L62" s="5">
        <v>-6.6613964736461596E-4</v>
      </c>
      <c r="M62" s="5">
        <v>0.109032936394215</v>
      </c>
      <c r="N62" s="5">
        <v>-6.9295624271035203E-3</v>
      </c>
      <c r="O62" s="5">
        <v>-5.2572902292013203E-2</v>
      </c>
      <c r="P62" s="5">
        <v>-4.44266870617867E-2</v>
      </c>
      <c r="Q62" s="5">
        <v>-0.59817194938659701</v>
      </c>
    </row>
    <row r="63" spans="8:25" x14ac:dyDescent="0.25">
      <c r="H63" s="18">
        <v>11</v>
      </c>
      <c r="I63" s="5">
        <f t="shared" si="44"/>
        <v>0.4</v>
      </c>
      <c r="J63" s="5">
        <f t="shared" si="45"/>
        <v>0</v>
      </c>
      <c r="K63" s="5">
        <f t="shared" si="46"/>
        <v>0.6</v>
      </c>
      <c r="L63" s="5">
        <v>-9.9028507247567199E-4</v>
      </c>
      <c r="M63" s="5">
        <v>9.2060282826423603E-2</v>
      </c>
      <c r="N63" s="5">
        <v>-7.7380929142236701E-3</v>
      </c>
      <c r="O63" s="5">
        <v>-4.47769872844219E-2</v>
      </c>
      <c r="P63" s="5">
        <v>-5.2192002534866298E-2</v>
      </c>
      <c r="Q63" s="5">
        <v>-0.53329521417617798</v>
      </c>
    </row>
    <row r="64" spans="8:25" x14ac:dyDescent="0.25">
      <c r="H64" s="18">
        <v>12</v>
      </c>
      <c r="I64" s="5">
        <f>'Distal Vali (0.6N perturb)'!I14</f>
        <v>0</v>
      </c>
      <c r="J64" s="5">
        <f>'Distal Vali (0.6N perturb)'!J14</f>
        <v>0</v>
      </c>
      <c r="K64" s="5">
        <f>'Distal Vali (0.6N perturb)'!K14</f>
        <v>0</v>
      </c>
      <c r="L64" s="5">
        <f>'Distal Vali (0.6N perturb)'!L14</f>
        <v>-1.21277570724487E-3</v>
      </c>
      <c r="M64" s="5">
        <f>'Distal Vali (0.6N perturb)'!M14</f>
        <v>0.189176306128502</v>
      </c>
      <c r="N64" s="5">
        <f>'Distal Vali (0.6N perturb)'!N14</f>
        <v>-8.0510884523391696E-2</v>
      </c>
      <c r="O64" s="5">
        <f>'Distal Vali (0.6N perturb)'!O14</f>
        <v>-0.25100401043891901</v>
      </c>
      <c r="P64" s="5">
        <f>'Distal Vali (0.6N perturb)'!P14</f>
        <v>-0.70138603448867798</v>
      </c>
      <c r="Q64" s="5">
        <f>'Distal Vali (0.6N perturb)'!Q14</f>
        <v>-0.86990654468536399</v>
      </c>
    </row>
    <row r="65" spans="8:17" x14ac:dyDescent="0.25">
      <c r="H65" s="18">
        <v>12</v>
      </c>
      <c r="I65" s="5">
        <f>I$64+A20</f>
        <v>0.6</v>
      </c>
      <c r="J65" s="5">
        <f t="shared" ref="J65:K65" si="47">J$64+B20</f>
        <v>0</v>
      </c>
      <c r="K65" s="5">
        <f t="shared" si="47"/>
        <v>0</v>
      </c>
      <c r="L65" s="5">
        <v>-3.1480491161346401E-3</v>
      </c>
      <c r="M65" s="5">
        <v>0.192515254020691</v>
      </c>
      <c r="N65" s="5">
        <v>-8.2613527774810805E-2</v>
      </c>
      <c r="O65" s="5">
        <v>-0.26102560758590698</v>
      </c>
      <c r="P65" s="5">
        <v>-0.71387332677841198</v>
      </c>
      <c r="Q65" s="5">
        <v>-0.88347685337066695</v>
      </c>
    </row>
    <row r="66" spans="8:17" x14ac:dyDescent="0.25">
      <c r="H66" s="18">
        <v>12</v>
      </c>
      <c r="I66" s="5">
        <f t="shared" ref="I66:I67" si="48">I$64+A21</f>
        <v>0</v>
      </c>
      <c r="J66" s="5">
        <f t="shared" ref="J66:J67" si="49">J$64+B21</f>
        <v>0.6</v>
      </c>
      <c r="K66" s="5">
        <f t="shared" ref="K66:K67" si="50">K$64+C21</f>
        <v>0</v>
      </c>
      <c r="L66" s="5">
        <v>3.0286097899079301E-4</v>
      </c>
      <c r="M66" s="5">
        <v>0.191972821950912</v>
      </c>
      <c r="N66" s="5">
        <v>-7.8106649219989804E-2</v>
      </c>
      <c r="O66" s="5">
        <v>-0.25526618957519498</v>
      </c>
      <c r="P66" s="5">
        <v>-0.68338465690612804</v>
      </c>
      <c r="Q66" s="5">
        <v>-0.87946712970733598</v>
      </c>
    </row>
    <row r="67" spans="8:17" x14ac:dyDescent="0.25">
      <c r="H67" s="18">
        <v>12</v>
      </c>
      <c r="I67" s="5">
        <f t="shared" si="48"/>
        <v>0</v>
      </c>
      <c r="J67" s="5">
        <f t="shared" si="49"/>
        <v>0</v>
      </c>
      <c r="K67" s="5">
        <f t="shared" si="50"/>
        <v>0.6</v>
      </c>
      <c r="L67" s="5">
        <v>-1.12183857709169E-3</v>
      </c>
      <c r="M67" s="5">
        <v>0.17785210907459301</v>
      </c>
      <c r="N67" s="5">
        <v>-8.0212987959384904E-2</v>
      </c>
      <c r="O67" s="5">
        <v>-0.238089859485626</v>
      </c>
      <c r="P67" s="5">
        <v>-0.69708395004272505</v>
      </c>
      <c r="Q67" s="5">
        <v>-0.82495903968811002</v>
      </c>
    </row>
    <row r="68" spans="8:17" x14ac:dyDescent="0.25">
      <c r="H68" s="18">
        <v>13</v>
      </c>
      <c r="I68" s="5">
        <f>'Distal Vali (0.6N perturb)'!I15</f>
        <v>0.4</v>
      </c>
      <c r="J68" s="5">
        <f>'Distal Vali (0.6N perturb)'!J15</f>
        <v>0</v>
      </c>
      <c r="K68" s="5">
        <f>'Distal Vali (0.6N perturb)'!K15</f>
        <v>0</v>
      </c>
      <c r="L68" s="5">
        <f>'Distal Vali (0.6N perturb)'!L15</f>
        <v>-2.4155117571353899E-3</v>
      </c>
      <c r="M68" s="5">
        <f>'Distal Vali (0.6N perturb)'!M15</f>
        <v>0.104980133473873</v>
      </c>
      <c r="N68" s="5">
        <f>'Distal Vali (0.6N perturb)'!N15</f>
        <v>-7.43569061160088E-2</v>
      </c>
      <c r="O68" s="5">
        <f>'Distal Vali (0.6N perturb)'!O15</f>
        <v>-0.116804644465446</v>
      </c>
      <c r="P68" s="5">
        <f>'Distal Vali (0.6N perturb)'!P15</f>
        <v>-0.49594429135322599</v>
      </c>
      <c r="Q68" s="5">
        <f>'Distal Vali (0.6N perturb)'!Q15</f>
        <v>-0.37272521853446999</v>
      </c>
    </row>
    <row r="69" spans="8:17" x14ac:dyDescent="0.25">
      <c r="H69" s="18">
        <v>13</v>
      </c>
      <c r="I69" s="5">
        <f>I$68+A20</f>
        <v>1</v>
      </c>
      <c r="J69" s="5">
        <f t="shared" ref="J69:K69" si="51">J$68+B20</f>
        <v>0</v>
      </c>
      <c r="K69" s="5">
        <f t="shared" si="51"/>
        <v>0</v>
      </c>
      <c r="L69" s="5">
        <v>-4.2061894200742201E-3</v>
      </c>
      <c r="M69" s="5">
        <v>0.110692381858826</v>
      </c>
      <c r="N69" s="5">
        <v>-7.9401433467865004E-2</v>
      </c>
      <c r="O69" s="5">
        <v>-0.12376701831817601</v>
      </c>
      <c r="P69" s="5">
        <v>-0.52405667304992698</v>
      </c>
      <c r="Q69" s="5">
        <v>-0.39405557513237</v>
      </c>
    </row>
    <row r="70" spans="8:17" x14ac:dyDescent="0.25">
      <c r="H70" s="18">
        <v>13</v>
      </c>
      <c r="I70" s="5">
        <f t="shared" ref="I70:I71" si="52">I$68+A21</f>
        <v>0.4</v>
      </c>
      <c r="J70" s="5">
        <f t="shared" ref="J70:J71" si="53">J$68+B21</f>
        <v>0.6</v>
      </c>
      <c r="K70" s="5">
        <f t="shared" ref="K70:K71" si="54">K$68+C21</f>
        <v>0</v>
      </c>
      <c r="L70" s="5">
        <v>-1.24317593872547E-5</v>
      </c>
      <c r="M70" s="5">
        <v>0.10995040088892</v>
      </c>
      <c r="N70" s="5">
        <v>-6.7554011940956102E-2</v>
      </c>
      <c r="O70" s="5">
        <v>-0.120608620345592</v>
      </c>
      <c r="P70" s="5">
        <v>-0.46096909046173101</v>
      </c>
      <c r="Q70" s="5">
        <v>-0.39102971553802501</v>
      </c>
    </row>
    <row r="71" spans="8:17" x14ac:dyDescent="0.25">
      <c r="H71" s="18">
        <v>13</v>
      </c>
      <c r="I71" s="5">
        <f t="shared" si="52"/>
        <v>0.4</v>
      </c>
      <c r="J71" s="5">
        <f t="shared" si="53"/>
        <v>0</v>
      </c>
      <c r="K71" s="5">
        <f t="shared" si="54"/>
        <v>0.6</v>
      </c>
      <c r="L71" s="5">
        <v>-1.92089332267642E-3</v>
      </c>
      <c r="M71" s="5">
        <v>9.0238310396671295E-2</v>
      </c>
      <c r="N71" s="5">
        <v>-7.2757899761200007E-2</v>
      </c>
      <c r="O71" s="5">
        <v>-9.4696290791034698E-2</v>
      </c>
      <c r="P71" s="5">
        <v>-0.49263995885848999</v>
      </c>
      <c r="Q71" s="5">
        <v>-0.32724213600158703</v>
      </c>
    </row>
    <row r="72" spans="8:17" x14ac:dyDescent="0.25">
      <c r="H72" s="18">
        <v>14</v>
      </c>
      <c r="I72" s="5">
        <f>'Distal Vali (0.6N perturb)'!I16</f>
        <v>0.8</v>
      </c>
      <c r="J72" s="5">
        <f>'Distal Vali (0.6N perturb)'!J16</f>
        <v>0</v>
      </c>
      <c r="K72" s="5">
        <f>'Distal Vali (0.6N perturb)'!K16</f>
        <v>0</v>
      </c>
      <c r="L72" s="5">
        <f>'Distal Vali (0.6N perturb)'!L16</f>
        <v>-7.0373835042119E-3</v>
      </c>
      <c r="M72" s="5">
        <f>'Distal Vali (0.6N perturb)'!M16</f>
        <v>0.19658188521861999</v>
      </c>
      <c r="N72" s="5">
        <f>'Distal Vali (0.6N perturb)'!N16</f>
        <v>-9.0219676494598406E-3</v>
      </c>
      <c r="O72" s="5">
        <f>'Distal Vali (0.6N perturb)'!O16</f>
        <v>-0.253807783126831</v>
      </c>
      <c r="P72" s="5">
        <f>'Distal Vali (0.6N perturb)'!P16</f>
        <v>-4.6346724033355699E-2</v>
      </c>
      <c r="Q72" s="5">
        <f>'Distal Vali (0.6N perturb)'!Q16</f>
        <v>-1.05074739456177</v>
      </c>
    </row>
    <row r="73" spans="8:17" x14ac:dyDescent="0.25">
      <c r="H73" s="18">
        <v>14</v>
      </c>
      <c r="I73" s="5">
        <f>I$72+A20</f>
        <v>1.4</v>
      </c>
      <c r="J73" s="5">
        <f t="shared" ref="J73:K73" si="55">J$72+B20</f>
        <v>0</v>
      </c>
      <c r="K73" s="5">
        <f t="shared" si="55"/>
        <v>0</v>
      </c>
      <c r="L73" s="5">
        <v>-9.5165185630321503E-3</v>
      </c>
      <c r="M73" s="5">
        <v>0.19916532933712</v>
      </c>
      <c r="N73" s="5">
        <v>-1.2096893042326E-2</v>
      </c>
      <c r="O73" s="5">
        <v>-0.25792148709297202</v>
      </c>
      <c r="P73" s="5">
        <v>-6.0807853937148999E-2</v>
      </c>
      <c r="Q73" s="5">
        <v>-1.06184089183807</v>
      </c>
    </row>
    <row r="74" spans="8:17" x14ac:dyDescent="0.25">
      <c r="H74" s="18">
        <v>14</v>
      </c>
      <c r="I74" s="5">
        <f t="shared" ref="I74:I75" si="56">I$72+A21</f>
        <v>0.8</v>
      </c>
      <c r="J74" s="5">
        <f t="shared" ref="J74:J75" si="57">J$72+B21</f>
        <v>0.6</v>
      </c>
      <c r="K74" s="5">
        <f t="shared" ref="K74:K75" si="58">K$72+C21</f>
        <v>0</v>
      </c>
      <c r="L74" s="5">
        <v>-4.27589192986488E-3</v>
      </c>
      <c r="M74" s="5">
        <v>0.199218094348907</v>
      </c>
      <c r="N74" s="5">
        <v>-6.0360664501786197E-3</v>
      </c>
      <c r="O74" s="5">
        <v>-0.26251405477523798</v>
      </c>
      <c r="P74" s="5">
        <v>-3.1391993165016202E-2</v>
      </c>
      <c r="Q74" s="5">
        <v>-1.0567824840545701</v>
      </c>
    </row>
    <row r="75" spans="8:17" x14ac:dyDescent="0.25">
      <c r="H75" s="18">
        <v>14</v>
      </c>
      <c r="I75" s="5">
        <f t="shared" si="56"/>
        <v>0.8</v>
      </c>
      <c r="J75" s="5">
        <f t="shared" si="57"/>
        <v>0</v>
      </c>
      <c r="K75" s="5">
        <f t="shared" si="58"/>
        <v>0.6</v>
      </c>
      <c r="L75" s="5">
        <v>-5.2960673347115499E-3</v>
      </c>
      <c r="M75" s="5">
        <v>0.18305945396423301</v>
      </c>
      <c r="N75" s="5">
        <v>-7.2069587185978898E-3</v>
      </c>
      <c r="O75" s="5">
        <v>-0.22237786650657701</v>
      </c>
      <c r="P75" s="5">
        <v>-4.1011303663253798E-2</v>
      </c>
      <c r="Q75" s="5">
        <v>-1.0179758071899401</v>
      </c>
    </row>
    <row r="76" spans="8:17" x14ac:dyDescent="0.25">
      <c r="H76" s="18">
        <v>15</v>
      </c>
      <c r="I76" s="5">
        <f>'Distal Vali (0.6N perturb)'!I17</f>
        <v>0</v>
      </c>
      <c r="J76" s="5">
        <f>'Distal Vali (0.6N perturb)'!J17</f>
        <v>0</v>
      </c>
      <c r="K76" s="5">
        <f>'Distal Vali (0.6N perturb)'!K17</f>
        <v>0</v>
      </c>
      <c r="L76" s="5">
        <f>'Distal Vali (0.6N perturb)'!L17</f>
        <v>-1.45209429319948E-3</v>
      </c>
      <c r="M76" s="5">
        <f>'Distal Vali (0.6N perturb)'!M17</f>
        <v>0.158558174967766</v>
      </c>
      <c r="N76" s="5">
        <f>'Distal Vali (0.6N perturb)'!N17</f>
        <v>-4.6406555920839303E-2</v>
      </c>
      <c r="O76" s="5">
        <f>'Distal Vali (0.6N perturb)'!O17</f>
        <v>-0.53051334619522095</v>
      </c>
      <c r="P76" s="5">
        <f>'Distal Vali (0.6N perturb)'!P17</f>
        <v>-0.25099590420723</v>
      </c>
      <c r="Q76" s="5">
        <f>'Distal Vali (0.6N perturb)'!Q17</f>
        <v>-0.37296327948570301</v>
      </c>
    </row>
    <row r="77" spans="8:17" x14ac:dyDescent="0.25">
      <c r="H77" s="18">
        <v>15</v>
      </c>
      <c r="I77" s="5">
        <f>I$76+A20</f>
        <v>0.6</v>
      </c>
      <c r="J77" s="5">
        <f t="shared" ref="J77:K77" si="59">J$76+B20</f>
        <v>0</v>
      </c>
      <c r="K77" s="5">
        <f t="shared" si="59"/>
        <v>0</v>
      </c>
      <c r="L77" s="5">
        <v>-5.6697223335504497E-3</v>
      </c>
      <c r="M77" s="5">
        <v>0.16300922632217399</v>
      </c>
      <c r="N77" s="5">
        <v>-5.44005744159222E-2</v>
      </c>
      <c r="O77" s="5">
        <v>-0.55159246921539296</v>
      </c>
      <c r="P77" s="5">
        <v>-0.29847210645675698</v>
      </c>
      <c r="Q77" s="5">
        <v>-0.38318055868148798</v>
      </c>
    </row>
    <row r="78" spans="8:17" x14ac:dyDescent="0.25">
      <c r="H78" s="18">
        <v>15</v>
      </c>
      <c r="I78" s="5">
        <f t="shared" ref="I78:I79" si="60">I$76+A21</f>
        <v>0</v>
      </c>
      <c r="J78" s="5">
        <f t="shared" ref="J78:J79" si="61">J$76+B21</f>
        <v>0.6</v>
      </c>
      <c r="K78" s="5">
        <f t="shared" ref="K78:K79" si="62">K$76+C21</f>
        <v>0</v>
      </c>
      <c r="L78" s="5">
        <v>2.9093888588249701E-3</v>
      </c>
      <c r="M78" s="5">
        <v>0.16158325970172899</v>
      </c>
      <c r="N78" s="5">
        <v>-3.7582073360681499E-2</v>
      </c>
      <c r="O78" s="5">
        <v>-0.53685086965560902</v>
      </c>
      <c r="P78" s="5">
        <v>-0.200562968850136</v>
      </c>
      <c r="Q78" s="5">
        <v>-0.38281130790710399</v>
      </c>
    </row>
    <row r="79" spans="8:17" x14ac:dyDescent="0.25">
      <c r="H79" s="18">
        <v>15</v>
      </c>
      <c r="I79" s="5">
        <f t="shared" si="60"/>
        <v>0</v>
      </c>
      <c r="J79" s="5">
        <f t="shared" si="61"/>
        <v>0</v>
      </c>
      <c r="K79" s="5">
        <f t="shared" si="62"/>
        <v>0.6</v>
      </c>
      <c r="L79" s="5">
        <v>-6.0013111215084802E-4</v>
      </c>
      <c r="M79" s="5">
        <v>0.14788705110549899</v>
      </c>
      <c r="N79" s="5">
        <v>-4.4777002185583101E-2</v>
      </c>
      <c r="O79" s="5">
        <v>-0.49502161145210299</v>
      </c>
      <c r="P79" s="5">
        <v>-0.24365806579589799</v>
      </c>
      <c r="Q79" s="5">
        <v>-0.359762072563171</v>
      </c>
    </row>
  </sheetData>
  <mergeCells count="9">
    <mergeCell ref="AL5:AS5"/>
    <mergeCell ref="A19:C19"/>
    <mergeCell ref="L19:Q19"/>
    <mergeCell ref="A1:K1"/>
    <mergeCell ref="L1:Q1"/>
    <mergeCell ref="R1:Z1"/>
    <mergeCell ref="AA1:AH1"/>
    <mergeCell ref="AI1:AS1"/>
    <mergeCell ref="AL2:AS2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4305-D99A-4A21-9698-292BE3739741}">
  <dimension ref="A1:AA10"/>
  <sheetViews>
    <sheetView workbookViewId="0">
      <selection activeCell="T24" sqref="T24"/>
    </sheetView>
  </sheetViews>
  <sheetFormatPr defaultRowHeight="15" x14ac:dyDescent="0.25"/>
  <sheetData>
    <row r="1" spans="1:27" x14ac:dyDescent="0.25">
      <c r="S1" s="39" t="s">
        <v>46</v>
      </c>
      <c r="T1" s="39"/>
      <c r="U1" s="39"/>
      <c r="V1" s="39"/>
      <c r="W1" s="39"/>
      <c r="X1" s="39"/>
      <c r="Y1" s="39"/>
      <c r="Z1" s="39"/>
    </row>
    <row r="2" spans="1:27" x14ac:dyDescent="0.25">
      <c r="A2">
        <v>0.5</v>
      </c>
      <c r="B2">
        <v>0.12</v>
      </c>
      <c r="C2">
        <v>1.57</v>
      </c>
      <c r="D2">
        <v>1.5707963267948966</v>
      </c>
      <c r="E2">
        <v>0.3</v>
      </c>
      <c r="F2">
        <v>0.02</v>
      </c>
      <c r="G2">
        <v>3.1419999999999999</v>
      </c>
      <c r="H2">
        <v>1.5707963267948966</v>
      </c>
      <c r="J2">
        <v>0.75349999999999995</v>
      </c>
      <c r="K2">
        <v>8.9200000000000002E-2</v>
      </c>
      <c r="L2">
        <v>1.5986</v>
      </c>
      <c r="M2">
        <v>1.5708</v>
      </c>
      <c r="N2">
        <v>0.4259</v>
      </c>
      <c r="O2">
        <v>2.3599999999999999E-2</v>
      </c>
      <c r="P2">
        <v>4.0469999999999997</v>
      </c>
      <c r="Q2">
        <v>1.5708</v>
      </c>
      <c r="S2">
        <v>0.46560000000000001</v>
      </c>
      <c r="T2">
        <v>0.12920000000000001</v>
      </c>
      <c r="U2">
        <v>1.6194999999999999</v>
      </c>
      <c r="V2">
        <v>1.5708</v>
      </c>
      <c r="W2">
        <v>0.26390000000000002</v>
      </c>
      <c r="X2">
        <v>0.02</v>
      </c>
      <c r="Y2">
        <v>3.3085</v>
      </c>
      <c r="Z2">
        <v>1.5708</v>
      </c>
      <c r="AA2" s="40"/>
    </row>
    <row r="4" spans="1:27" x14ac:dyDescent="0.25">
      <c r="A4">
        <v>0.8</v>
      </c>
      <c r="B4">
        <v>0.18</v>
      </c>
      <c r="C4">
        <v>1.57</v>
      </c>
      <c r="D4">
        <v>1.5707963267948966</v>
      </c>
      <c r="E4">
        <v>0.4</v>
      </c>
      <c r="F4">
        <v>0.08</v>
      </c>
      <c r="G4">
        <v>4.7119999999999997</v>
      </c>
      <c r="H4">
        <v>1.5707963267948966</v>
      </c>
      <c r="J4">
        <v>0.75519999999999998</v>
      </c>
      <c r="K4">
        <v>0.18149999999999999</v>
      </c>
      <c r="L4">
        <v>1.6024</v>
      </c>
      <c r="M4">
        <v>1.5708</v>
      </c>
      <c r="N4">
        <v>0.2994</v>
      </c>
      <c r="O4">
        <v>3.3099999999999997E-2</v>
      </c>
      <c r="P4">
        <v>4.7821999999999996</v>
      </c>
      <c r="Q4">
        <v>1.5708</v>
      </c>
      <c r="S4">
        <v>0.9456</v>
      </c>
      <c r="T4">
        <v>0.17369999999999999</v>
      </c>
      <c r="U4">
        <v>1.6016999999999999</v>
      </c>
      <c r="V4">
        <v>1.5708</v>
      </c>
      <c r="W4">
        <v>0.4506</v>
      </c>
      <c r="X4">
        <v>8.14E-2</v>
      </c>
      <c r="Y4">
        <v>4.7667000000000002</v>
      </c>
      <c r="Z4">
        <v>1.5708</v>
      </c>
      <c r="AA4" s="40"/>
    </row>
    <row r="6" spans="1:27" x14ac:dyDescent="0.25">
      <c r="A6">
        <v>0.3</v>
      </c>
      <c r="B6">
        <v>0.2</v>
      </c>
      <c r="C6">
        <v>1.57</v>
      </c>
      <c r="D6">
        <v>1.5707963267948966</v>
      </c>
      <c r="E6">
        <v>0.7</v>
      </c>
      <c r="F6">
        <v>0.04</v>
      </c>
      <c r="G6">
        <v>3.1419999999999999</v>
      </c>
      <c r="H6">
        <v>1.5707963267948966</v>
      </c>
      <c r="J6">
        <v>0.45490000000000003</v>
      </c>
      <c r="K6">
        <v>0.13969999999999999</v>
      </c>
      <c r="L6">
        <v>1.6881999999999999</v>
      </c>
      <c r="M6">
        <v>1.5708</v>
      </c>
      <c r="N6">
        <v>0.69310000000000005</v>
      </c>
      <c r="O6">
        <v>3.6700000000000003E-2</v>
      </c>
      <c r="P6">
        <v>3.6036000000000001</v>
      </c>
      <c r="Q6">
        <v>1.5708</v>
      </c>
      <c r="S6">
        <v>0.30470000000000003</v>
      </c>
      <c r="T6">
        <v>0.19450000000000001</v>
      </c>
      <c r="U6">
        <v>1.4612000000000001</v>
      </c>
      <c r="V6">
        <v>1.5708</v>
      </c>
      <c r="W6">
        <v>0.72009999999999996</v>
      </c>
      <c r="X6">
        <v>5.16E-2</v>
      </c>
      <c r="Y6">
        <v>3.3448000000000002</v>
      </c>
      <c r="Z6">
        <v>1.5708</v>
      </c>
      <c r="AA6" s="40"/>
    </row>
    <row r="8" spans="1:27" x14ac:dyDescent="0.25">
      <c r="A8">
        <v>0.3</v>
      </c>
      <c r="B8">
        <v>0.1</v>
      </c>
      <c r="C8">
        <v>3.1419999999999999</v>
      </c>
      <c r="D8">
        <v>1.5707963267948966</v>
      </c>
      <c r="E8">
        <v>0.8</v>
      </c>
      <c r="F8">
        <v>0.08</v>
      </c>
      <c r="G8">
        <v>3.927</v>
      </c>
      <c r="H8">
        <v>1.5707963267948966</v>
      </c>
      <c r="J8">
        <v>0.32040000000000002</v>
      </c>
      <c r="K8">
        <v>9.98E-2</v>
      </c>
      <c r="L8">
        <v>3.2688999999999999</v>
      </c>
      <c r="M8">
        <v>1.5708</v>
      </c>
      <c r="N8">
        <v>0.74039999999999995</v>
      </c>
      <c r="O8">
        <v>8.3900000000000002E-2</v>
      </c>
      <c r="P8">
        <v>3.8016000000000001</v>
      </c>
      <c r="Q8">
        <v>1.5708</v>
      </c>
      <c r="S8">
        <v>0.62519999999999998</v>
      </c>
      <c r="T8">
        <v>9.2200000000000004E-2</v>
      </c>
      <c r="U8">
        <v>3.0066000000000002</v>
      </c>
      <c r="V8">
        <v>1.5708</v>
      </c>
      <c r="W8">
        <v>0.64370000000000005</v>
      </c>
      <c r="X8">
        <v>8.6099999999999996E-2</v>
      </c>
      <c r="Y8">
        <v>4.2611999999999997</v>
      </c>
      <c r="Z8">
        <v>1.5708</v>
      </c>
      <c r="AA8" s="41"/>
    </row>
    <row r="10" spans="1:27" x14ac:dyDescent="0.25">
      <c r="A10">
        <v>0.7</v>
      </c>
      <c r="B10">
        <v>0.1</v>
      </c>
      <c r="C10">
        <v>3.1419999999999999</v>
      </c>
      <c r="D10">
        <v>1.5707963267948966</v>
      </c>
      <c r="E10">
        <v>0.4</v>
      </c>
      <c r="F10">
        <v>0.04</v>
      </c>
      <c r="G10">
        <v>3.927</v>
      </c>
      <c r="H10">
        <v>1.5707963267948966</v>
      </c>
      <c r="J10">
        <v>0.15310000000000001</v>
      </c>
      <c r="K10">
        <v>0.1588</v>
      </c>
      <c r="L10">
        <v>2.6353</v>
      </c>
      <c r="M10">
        <v>1.5708</v>
      </c>
      <c r="N10">
        <v>1</v>
      </c>
      <c r="O10">
        <v>8.0600000000000005E-2</v>
      </c>
      <c r="P10">
        <v>3.4426999999999999</v>
      </c>
      <c r="Q10">
        <v>1.5708</v>
      </c>
      <c r="S10">
        <v>0.86850000000000005</v>
      </c>
      <c r="T10">
        <v>0.1038</v>
      </c>
      <c r="U10">
        <v>3.2111000000000001</v>
      </c>
      <c r="V10">
        <v>1.5708</v>
      </c>
      <c r="W10">
        <v>0.27629999999999999</v>
      </c>
      <c r="X10">
        <v>3.7100000000000001E-2</v>
      </c>
      <c r="Y10">
        <v>3.7679999999999998</v>
      </c>
      <c r="Z10">
        <v>1.5708</v>
      </c>
      <c r="AA10" s="40"/>
    </row>
  </sheetData>
  <mergeCells count="1">
    <mergeCell ref="S1: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73E-DEC3-4584-9987-9255339758ED}">
  <dimension ref="A2:P88"/>
  <sheetViews>
    <sheetView workbookViewId="0">
      <selection activeCell="C29" sqref="C29:O88"/>
    </sheetView>
  </sheetViews>
  <sheetFormatPr defaultRowHeight="15" x14ac:dyDescent="0.25"/>
  <sheetData>
    <row r="2" spans="1:15" x14ac:dyDescent="0.25">
      <c r="A2" t="s">
        <v>39</v>
      </c>
      <c r="B2">
        <v>-1.4753518626093899E-3</v>
      </c>
      <c r="C2">
        <v>3.1907491385936702E-2</v>
      </c>
      <c r="D2">
        <v>-0.19490382075309801</v>
      </c>
      <c r="E2">
        <v>-0.17070601880550401</v>
      </c>
      <c r="F2">
        <v>-1.0707256793975799</v>
      </c>
      <c r="G2">
        <v>-0.22229230403900099</v>
      </c>
      <c r="H2" t="s">
        <v>38</v>
      </c>
      <c r="J2" t="s">
        <v>39</v>
      </c>
      <c r="K2">
        <v>0.4</v>
      </c>
      <c r="L2">
        <v>0</v>
      </c>
      <c r="M2">
        <v>0</v>
      </c>
      <c r="N2" t="s">
        <v>38</v>
      </c>
    </row>
    <row r="3" spans="1:15" x14ac:dyDescent="0.25">
      <c r="B3">
        <v>-9.5861684530973402E-4</v>
      </c>
      <c r="C3">
        <v>3.3118188381195103E-2</v>
      </c>
      <c r="D3">
        <v>-0.20282633602619199</v>
      </c>
      <c r="E3">
        <v>-0.17964211106300401</v>
      </c>
      <c r="F3">
        <v>-1.11345994472504</v>
      </c>
      <c r="G3">
        <v>-0.23012918233871499</v>
      </c>
      <c r="H3" t="s">
        <v>38</v>
      </c>
      <c r="K3">
        <v>1</v>
      </c>
      <c r="L3">
        <v>0</v>
      </c>
      <c r="M3">
        <v>0</v>
      </c>
      <c r="N3" t="s">
        <v>38</v>
      </c>
    </row>
    <row r="4" spans="1:15" x14ac:dyDescent="0.25">
      <c r="B4">
        <v>-9.5200352370739005E-4</v>
      </c>
      <c r="C4">
        <v>3.1913917511701598E-2</v>
      </c>
      <c r="D4">
        <v>-0.185341656208038</v>
      </c>
      <c r="E4">
        <v>-0.159615308046341</v>
      </c>
      <c r="F4">
        <v>-1.02702784538269</v>
      </c>
      <c r="G4">
        <v>-0.22407838702201799</v>
      </c>
      <c r="H4" t="s">
        <v>38</v>
      </c>
      <c r="K4">
        <v>0.4</v>
      </c>
      <c r="L4">
        <v>0.6</v>
      </c>
      <c r="M4">
        <v>0</v>
      </c>
      <c r="N4" t="s">
        <v>38</v>
      </c>
    </row>
    <row r="5" spans="1:15" x14ac:dyDescent="0.25">
      <c r="B5">
        <v>-2.5325799360871302E-3</v>
      </c>
      <c r="C5">
        <v>2.99476571381092E-2</v>
      </c>
      <c r="D5">
        <v>-0.19052435457706501</v>
      </c>
      <c r="E5">
        <v>-0.165864318609238</v>
      </c>
      <c r="F5">
        <v>-1.05037128925323</v>
      </c>
      <c r="G5">
        <v>-0.208974063396454</v>
      </c>
      <c r="H5" t="s">
        <v>40</v>
      </c>
      <c r="K5">
        <v>0.4</v>
      </c>
      <c r="L5">
        <v>0</v>
      </c>
      <c r="M5">
        <v>0.6</v>
      </c>
      <c r="N5" t="s">
        <v>40</v>
      </c>
    </row>
    <row r="12" spans="1:15" x14ac:dyDescent="0.25">
      <c r="C12" t="s">
        <v>44</v>
      </c>
      <c r="D12" t="s">
        <v>39</v>
      </c>
      <c r="E12">
        <v>3.8069719448685603E-4</v>
      </c>
      <c r="F12">
        <v>-9.6344932913780199E-2</v>
      </c>
      <c r="G12">
        <v>-3.3478599041700398E-2</v>
      </c>
      <c r="H12">
        <v>-8.2021892070770305E-2</v>
      </c>
      <c r="I12">
        <v>-0.28456717729568498</v>
      </c>
      <c r="J12">
        <v>0.41270199418067899</v>
      </c>
      <c r="K12">
        <v>0.8</v>
      </c>
      <c r="L12">
        <v>0</v>
      </c>
      <c r="M12">
        <v>0</v>
      </c>
      <c r="N12" t="s">
        <v>40</v>
      </c>
      <c r="O12" t="s">
        <v>38</v>
      </c>
    </row>
    <row r="13" spans="1:15" x14ac:dyDescent="0.25">
      <c r="D13" t="s">
        <v>39</v>
      </c>
      <c r="E13">
        <v>-8.1903394311666499E-4</v>
      </c>
      <c r="F13">
        <v>-5.3245900198817296E-3</v>
      </c>
      <c r="G13">
        <v>-2.3375959135592001E-3</v>
      </c>
      <c r="H13">
        <v>-2.4775806814432101E-3</v>
      </c>
      <c r="I13">
        <v>-3.4357905387878401E-3</v>
      </c>
      <c r="J13">
        <v>-0.190968692302704</v>
      </c>
      <c r="K13">
        <v>0</v>
      </c>
      <c r="L13">
        <v>0</v>
      </c>
      <c r="M13">
        <v>0</v>
      </c>
      <c r="N13" t="s">
        <v>40</v>
      </c>
      <c r="O13" t="s">
        <v>38</v>
      </c>
    </row>
    <row r="14" spans="1:15" x14ac:dyDescent="0.25">
      <c r="D14" t="s">
        <v>39</v>
      </c>
      <c r="E14">
        <v>3.4113688161596699E-4</v>
      </c>
      <c r="F14">
        <v>-0.14381006360053999</v>
      </c>
      <c r="G14">
        <v>-3.4647369757294698E-3</v>
      </c>
      <c r="H14">
        <v>-0.43965020775795</v>
      </c>
      <c r="I14">
        <v>-3.7686526775360099E-3</v>
      </c>
      <c r="J14">
        <v>0.28356426954269398</v>
      </c>
      <c r="K14">
        <v>0.4</v>
      </c>
      <c r="L14">
        <v>0</v>
      </c>
      <c r="M14">
        <v>0</v>
      </c>
      <c r="N14" t="s">
        <v>40</v>
      </c>
      <c r="O14" t="s">
        <v>38</v>
      </c>
    </row>
    <row r="15" spans="1:15" x14ac:dyDescent="0.25">
      <c r="D15" t="s">
        <v>39</v>
      </c>
      <c r="E15">
        <v>-2.8536887839436499E-4</v>
      </c>
      <c r="F15">
        <v>-6.3574254512786907E-2</v>
      </c>
      <c r="G15">
        <v>-9.0447112917900099E-2</v>
      </c>
      <c r="H15">
        <v>-8.5884019732475295E-2</v>
      </c>
      <c r="I15">
        <v>-0.67203629016876198</v>
      </c>
      <c r="J15">
        <v>0.13295280933380099</v>
      </c>
      <c r="K15">
        <v>0.4</v>
      </c>
      <c r="L15">
        <v>0</v>
      </c>
      <c r="M15">
        <v>0</v>
      </c>
      <c r="N15" t="s">
        <v>40</v>
      </c>
      <c r="O15" t="s">
        <v>38</v>
      </c>
    </row>
    <row r="16" spans="1:15" x14ac:dyDescent="0.25">
      <c r="D16" t="s">
        <v>39</v>
      </c>
      <c r="E16">
        <v>-1.37211009860039E-3</v>
      </c>
      <c r="F16">
        <v>8.7113633751869202E-2</v>
      </c>
      <c r="G16">
        <v>-0.16279363632202101</v>
      </c>
      <c r="H16">
        <v>-9.0744964778423295E-2</v>
      </c>
      <c r="I16">
        <v>-0.87937128543853804</v>
      </c>
      <c r="J16">
        <v>-0.48219949007034302</v>
      </c>
      <c r="K16">
        <v>0.8</v>
      </c>
      <c r="L16">
        <v>0</v>
      </c>
      <c r="M16">
        <v>0</v>
      </c>
      <c r="N16" t="s">
        <v>40</v>
      </c>
      <c r="O16" t="s">
        <v>38</v>
      </c>
    </row>
    <row r="17" spans="3:16" x14ac:dyDescent="0.25">
      <c r="D17" t="s">
        <v>39</v>
      </c>
      <c r="E17">
        <v>-1.4753518626093899E-3</v>
      </c>
      <c r="F17">
        <v>3.1907491385936702E-2</v>
      </c>
      <c r="G17">
        <v>-0.19490382075309801</v>
      </c>
      <c r="H17">
        <v>-0.17070601880550401</v>
      </c>
      <c r="I17">
        <v>-1.0707256793975799</v>
      </c>
      <c r="J17">
        <v>-0.22229230403900099</v>
      </c>
      <c r="K17">
        <v>0.4</v>
      </c>
      <c r="L17">
        <v>0</v>
      </c>
      <c r="M17">
        <v>0</v>
      </c>
      <c r="N17" t="s">
        <v>40</v>
      </c>
      <c r="O17" t="s">
        <v>38</v>
      </c>
    </row>
    <row r="18" spans="3:16" x14ac:dyDescent="0.25">
      <c r="D18" t="s">
        <v>39</v>
      </c>
      <c r="E18">
        <v>-2.8121247887611398E-3</v>
      </c>
      <c r="F18">
        <v>7.0382751524448395E-2</v>
      </c>
      <c r="G18">
        <v>-0.20890267193317399</v>
      </c>
      <c r="H18">
        <v>-0.326402246952057</v>
      </c>
      <c r="I18">
        <v>-0.97189968824386597</v>
      </c>
      <c r="J18">
        <v>-0.380674779415131</v>
      </c>
      <c r="K18">
        <v>0.4</v>
      </c>
      <c r="L18">
        <v>0</v>
      </c>
      <c r="M18">
        <v>0</v>
      </c>
      <c r="N18" t="s">
        <v>40</v>
      </c>
      <c r="O18" t="s">
        <v>38</v>
      </c>
    </row>
    <row r="19" spans="3:16" x14ac:dyDescent="0.25">
      <c r="D19" t="s">
        <v>39</v>
      </c>
      <c r="E19">
        <v>-1.88843719661236E-3</v>
      </c>
      <c r="F19">
        <v>4.87664639949799E-2</v>
      </c>
      <c r="G19">
        <v>-0.220894455909729</v>
      </c>
      <c r="H19">
        <v>-0.32184326648712203</v>
      </c>
      <c r="I19">
        <v>-1.01222968101501</v>
      </c>
      <c r="J19">
        <v>-0.296476870775223</v>
      </c>
      <c r="K19">
        <v>0.8</v>
      </c>
      <c r="L19">
        <v>0</v>
      </c>
      <c r="M19">
        <v>0</v>
      </c>
      <c r="N19" t="s">
        <v>40</v>
      </c>
      <c r="O19" t="s">
        <v>38</v>
      </c>
    </row>
    <row r="20" spans="3:16" x14ac:dyDescent="0.25">
      <c r="D20" t="s">
        <v>39</v>
      </c>
      <c r="E20">
        <v>-2.59150564670563E-3</v>
      </c>
      <c r="F20">
        <v>2.7324184775352499E-2</v>
      </c>
      <c r="G20">
        <v>-0.13145609200000799</v>
      </c>
      <c r="H20">
        <v>-0.136582016944885</v>
      </c>
      <c r="I20">
        <v>-0.61641645431518599</v>
      </c>
      <c r="J20">
        <v>-0.23403739929199199</v>
      </c>
      <c r="K20">
        <v>0</v>
      </c>
      <c r="L20">
        <v>0</v>
      </c>
      <c r="M20">
        <v>0</v>
      </c>
      <c r="N20" t="s">
        <v>40</v>
      </c>
      <c r="O20" t="s">
        <v>38</v>
      </c>
    </row>
    <row r="21" spans="3:16" x14ac:dyDescent="0.25">
      <c r="D21" t="s">
        <v>39</v>
      </c>
      <c r="E21">
        <v>-2.8818771243095398E-3</v>
      </c>
      <c r="F21">
        <v>6.48805126547813E-2</v>
      </c>
      <c r="G21">
        <v>-0.26836296916008001</v>
      </c>
      <c r="H21">
        <v>-0.61091923713684104</v>
      </c>
      <c r="I21">
        <v>-1.14929687976837</v>
      </c>
      <c r="J21">
        <v>-0.46333062648773199</v>
      </c>
      <c r="K21">
        <v>0.4</v>
      </c>
      <c r="L21">
        <v>0</v>
      </c>
      <c r="M21">
        <v>0</v>
      </c>
      <c r="N21" t="s">
        <v>40</v>
      </c>
      <c r="O21" t="s">
        <v>38</v>
      </c>
    </row>
    <row r="22" spans="3:16" x14ac:dyDescent="0.25">
      <c r="D22" t="s">
        <v>39</v>
      </c>
      <c r="E22">
        <v>-1.0846329387277399E-3</v>
      </c>
      <c r="F22">
        <v>0.105407744646072</v>
      </c>
      <c r="G22">
        <v>-7.5431093573570304E-3</v>
      </c>
      <c r="H22">
        <v>-4.4421639293432201E-2</v>
      </c>
      <c r="I22">
        <v>-5.3632915019989E-2</v>
      </c>
      <c r="J22">
        <v>-0.59106355905532804</v>
      </c>
      <c r="K22">
        <v>0.4</v>
      </c>
      <c r="L22">
        <v>0</v>
      </c>
      <c r="M22">
        <v>0</v>
      </c>
      <c r="N22" t="s">
        <v>40</v>
      </c>
      <c r="O22" t="s">
        <v>38</v>
      </c>
    </row>
    <row r="23" spans="3:16" x14ac:dyDescent="0.25">
      <c r="D23" t="s">
        <v>39</v>
      </c>
      <c r="E23">
        <v>-1.21277570724487E-3</v>
      </c>
      <c r="F23">
        <v>0.189176306128502</v>
      </c>
      <c r="G23">
        <v>-8.0510884523391696E-2</v>
      </c>
      <c r="H23">
        <v>-0.25100401043891901</v>
      </c>
      <c r="I23">
        <v>-0.70138603448867798</v>
      </c>
      <c r="J23">
        <v>-0.86990654468536399</v>
      </c>
      <c r="K23">
        <v>0</v>
      </c>
      <c r="L23">
        <v>0</v>
      </c>
      <c r="M23">
        <v>0</v>
      </c>
      <c r="N23" t="s">
        <v>40</v>
      </c>
      <c r="O23" t="s">
        <v>38</v>
      </c>
    </row>
    <row r="24" spans="3:16" x14ac:dyDescent="0.25">
      <c r="D24" t="s">
        <v>39</v>
      </c>
      <c r="E24">
        <v>-2.4155117571353899E-3</v>
      </c>
      <c r="F24">
        <v>0.104980133473873</v>
      </c>
      <c r="G24">
        <v>-7.43569061160088E-2</v>
      </c>
      <c r="H24">
        <v>-0.116804644465446</v>
      </c>
      <c r="I24">
        <v>-0.49594429135322599</v>
      </c>
      <c r="J24">
        <v>-0.37272521853446999</v>
      </c>
      <c r="K24">
        <v>0.4</v>
      </c>
      <c r="L24">
        <v>0</v>
      </c>
      <c r="M24">
        <v>0</v>
      </c>
      <c r="N24" t="s">
        <v>40</v>
      </c>
      <c r="O24" t="s">
        <v>38</v>
      </c>
    </row>
    <row r="25" spans="3:16" x14ac:dyDescent="0.25">
      <c r="D25" t="s">
        <v>39</v>
      </c>
      <c r="E25">
        <v>-7.0373835042119E-3</v>
      </c>
      <c r="F25">
        <v>0.19658188521861999</v>
      </c>
      <c r="G25">
        <v>-9.0219676494598406E-3</v>
      </c>
      <c r="H25">
        <v>-0.253807783126831</v>
      </c>
      <c r="I25">
        <v>-4.6346724033355699E-2</v>
      </c>
      <c r="J25">
        <v>-1.05074739456177</v>
      </c>
      <c r="K25">
        <v>0.8</v>
      </c>
      <c r="L25">
        <v>0</v>
      </c>
      <c r="M25">
        <v>0</v>
      </c>
      <c r="N25" t="s">
        <v>40</v>
      </c>
      <c r="O25" t="s">
        <v>38</v>
      </c>
    </row>
    <row r="26" spans="3:16" x14ac:dyDescent="0.25">
      <c r="D26" t="s">
        <v>39</v>
      </c>
      <c r="E26">
        <v>-1.45209429319948E-3</v>
      </c>
      <c r="F26">
        <v>0.158558174967766</v>
      </c>
      <c r="G26">
        <v>-4.6406555920839303E-2</v>
      </c>
      <c r="H26">
        <v>-0.53051334619522095</v>
      </c>
      <c r="I26">
        <v>-0.25099590420723</v>
      </c>
      <c r="J26">
        <v>-0.37296327948570301</v>
      </c>
      <c r="K26">
        <v>0</v>
      </c>
      <c r="L26">
        <v>0</v>
      </c>
      <c r="M26">
        <v>0</v>
      </c>
      <c r="N26" t="s">
        <v>40</v>
      </c>
      <c r="O26" t="s">
        <v>38</v>
      </c>
      <c r="P26" t="s">
        <v>45</v>
      </c>
    </row>
    <row r="29" spans="3:16" x14ac:dyDescent="0.25">
      <c r="C29" t="s">
        <v>44</v>
      </c>
      <c r="D29" t="s">
        <v>39</v>
      </c>
      <c r="E29">
        <v>3.8069719448685603E-4</v>
      </c>
      <c r="F29">
        <v>-9.6344932913780199E-2</v>
      </c>
      <c r="G29">
        <v>-3.3478599041700398E-2</v>
      </c>
      <c r="H29">
        <v>-8.2021892070770305E-2</v>
      </c>
      <c r="I29">
        <v>-0.28456717729568498</v>
      </c>
      <c r="J29">
        <v>0.41270199418067899</v>
      </c>
      <c r="K29">
        <v>0.8</v>
      </c>
      <c r="L29">
        <v>0</v>
      </c>
      <c r="M29">
        <v>0</v>
      </c>
      <c r="N29" t="s">
        <v>38</v>
      </c>
    </row>
    <row r="30" spans="3:16" x14ac:dyDescent="0.25">
      <c r="E30">
        <v>1.4565979363396801E-3</v>
      </c>
      <c r="F30">
        <v>-8.8410288095474202E-2</v>
      </c>
      <c r="G30">
        <v>-3.4315299242734902E-2</v>
      </c>
      <c r="H30">
        <v>-7.4583113193512005E-2</v>
      </c>
      <c r="I30">
        <v>-0.30525967478752097</v>
      </c>
      <c r="J30">
        <v>0.38623139262199402</v>
      </c>
      <c r="K30">
        <v>1.4</v>
      </c>
      <c r="L30">
        <v>0</v>
      </c>
      <c r="M30">
        <v>0</v>
      </c>
      <c r="N30" t="s">
        <v>38</v>
      </c>
    </row>
    <row r="31" spans="3:16" x14ac:dyDescent="0.25">
      <c r="E31">
        <v>-4.2690429836511598E-5</v>
      </c>
      <c r="F31">
        <v>-8.8799715042114299E-2</v>
      </c>
      <c r="G31">
        <v>-3.1241569668054602E-2</v>
      </c>
      <c r="H31">
        <v>-7.1892037987709004E-2</v>
      </c>
      <c r="I31">
        <v>-0.283153116703033</v>
      </c>
      <c r="J31">
        <v>0.38960462808608998</v>
      </c>
      <c r="K31">
        <v>0.8</v>
      </c>
      <c r="L31">
        <v>0.6</v>
      </c>
      <c r="M31">
        <v>0</v>
      </c>
      <c r="N31" t="s">
        <v>38</v>
      </c>
    </row>
    <row r="32" spans="3:16" x14ac:dyDescent="0.25">
      <c r="E32">
        <v>7.6588848605752002E-4</v>
      </c>
      <c r="F32">
        <v>-0.103941470384598</v>
      </c>
      <c r="G32">
        <v>-3.2754428684711498E-2</v>
      </c>
      <c r="H32">
        <v>-8.4739811718463898E-2</v>
      </c>
      <c r="I32">
        <v>-0.29109260439872697</v>
      </c>
      <c r="J32">
        <v>0.45866259932518</v>
      </c>
      <c r="K32">
        <v>0.8</v>
      </c>
      <c r="L32">
        <v>0</v>
      </c>
      <c r="M32">
        <v>0.6</v>
      </c>
      <c r="N32" t="s">
        <v>40</v>
      </c>
      <c r="O32" t="s">
        <v>38</v>
      </c>
    </row>
    <row r="33" spans="4:15" x14ac:dyDescent="0.25">
      <c r="D33" t="s">
        <v>39</v>
      </c>
      <c r="E33">
        <v>-8.1903394311666499E-4</v>
      </c>
      <c r="F33">
        <v>-5.3245900198817296E-3</v>
      </c>
      <c r="G33">
        <v>-2.3375959135592001E-3</v>
      </c>
      <c r="H33">
        <v>-2.4775806814432101E-3</v>
      </c>
      <c r="I33">
        <v>-3.4357905387878401E-3</v>
      </c>
      <c r="J33">
        <v>-0.190968692302704</v>
      </c>
      <c r="K33">
        <v>0</v>
      </c>
      <c r="L33">
        <v>0</v>
      </c>
      <c r="M33">
        <v>0</v>
      </c>
      <c r="N33" t="s">
        <v>38</v>
      </c>
    </row>
    <row r="34" spans="4:15" x14ac:dyDescent="0.25">
      <c r="E34">
        <v>-1.73588166944683E-4</v>
      </c>
      <c r="F34">
        <v>1.3063894584775001E-4</v>
      </c>
      <c r="G34">
        <v>-3.5042311064898998E-3</v>
      </c>
      <c r="H34">
        <v>2.6354161091148901E-3</v>
      </c>
      <c r="I34">
        <v>-1.18216909468174E-2</v>
      </c>
      <c r="J34">
        <v>-0.21522438526153601</v>
      </c>
      <c r="K34">
        <v>0.6</v>
      </c>
      <c r="L34">
        <v>0</v>
      </c>
      <c r="M34">
        <v>0</v>
      </c>
      <c r="N34" t="s">
        <v>38</v>
      </c>
    </row>
    <row r="35" spans="4:15" x14ac:dyDescent="0.25">
      <c r="E35">
        <v>-1.1212043464183801E-3</v>
      </c>
      <c r="F35">
        <v>7.19557399861515E-4</v>
      </c>
      <c r="G35">
        <v>-1.22486311011016E-3</v>
      </c>
      <c r="H35">
        <v>4.1815089061856296E-3</v>
      </c>
      <c r="I35">
        <v>-5.68360835313797E-3</v>
      </c>
      <c r="J35">
        <v>-0.214863806962967</v>
      </c>
      <c r="K35">
        <v>0</v>
      </c>
      <c r="L35">
        <v>0.6</v>
      </c>
      <c r="M35">
        <v>0</v>
      </c>
      <c r="N35" t="s">
        <v>38</v>
      </c>
    </row>
    <row r="36" spans="4:15" x14ac:dyDescent="0.25">
      <c r="E36">
        <v>-6.6979584516957402E-4</v>
      </c>
      <c r="F36">
        <v>-1.50292124599218E-2</v>
      </c>
      <c r="G36">
        <v>-2.1230108104646202E-3</v>
      </c>
      <c r="H36">
        <v>-6.5803281031549003E-3</v>
      </c>
      <c r="I36">
        <v>-7.7823959290981301E-3</v>
      </c>
      <c r="J36">
        <v>-0.14025083184242201</v>
      </c>
      <c r="K36">
        <v>0</v>
      </c>
      <c r="L36">
        <v>0</v>
      </c>
      <c r="M36">
        <v>0.6</v>
      </c>
      <c r="N36" t="s">
        <v>40</v>
      </c>
      <c r="O36" t="s">
        <v>38</v>
      </c>
    </row>
    <row r="37" spans="4:15" x14ac:dyDescent="0.25">
      <c r="D37" t="s">
        <v>39</v>
      </c>
      <c r="E37">
        <v>3.4113688161596699E-4</v>
      </c>
      <c r="F37">
        <v>-0.14381006360053999</v>
      </c>
      <c r="G37">
        <v>-3.4647369757294698E-3</v>
      </c>
      <c r="H37">
        <v>-0.43965020775795</v>
      </c>
      <c r="I37">
        <v>-3.7686526775360099E-3</v>
      </c>
      <c r="J37">
        <v>0.28356426954269398</v>
      </c>
      <c r="K37">
        <v>0.4</v>
      </c>
      <c r="L37">
        <v>0</v>
      </c>
      <c r="M37">
        <v>0</v>
      </c>
      <c r="N37" t="s">
        <v>38</v>
      </c>
    </row>
    <row r="38" spans="4:15" x14ac:dyDescent="0.25">
      <c r="E38">
        <v>4.2280312627553896E-3</v>
      </c>
      <c r="F38">
        <v>-0.13657358288765001</v>
      </c>
      <c r="G38">
        <v>-7.4278451502323203E-3</v>
      </c>
      <c r="H38">
        <v>-0.41066288948059099</v>
      </c>
      <c r="I38">
        <v>-2.9423210769891701E-2</v>
      </c>
      <c r="J38">
        <v>0.267253518104553</v>
      </c>
      <c r="K38">
        <v>1</v>
      </c>
      <c r="L38">
        <v>0</v>
      </c>
      <c r="M38">
        <v>0</v>
      </c>
      <c r="N38" t="s">
        <v>38</v>
      </c>
    </row>
    <row r="39" spans="4:15" x14ac:dyDescent="0.25">
      <c r="E39">
        <v>-1.7925279680639501E-3</v>
      </c>
      <c r="F39">
        <v>-0.135767087340355</v>
      </c>
      <c r="G39">
        <v>-6.1983015621080995E-4</v>
      </c>
      <c r="H39">
        <v>-0.40795221924781799</v>
      </c>
      <c r="I39">
        <v>3.6501549184322401E-3</v>
      </c>
      <c r="J39">
        <v>0.27262842655181901</v>
      </c>
      <c r="K39">
        <v>0.4</v>
      </c>
      <c r="L39">
        <v>0.6</v>
      </c>
      <c r="M39">
        <v>0</v>
      </c>
      <c r="N39" t="s">
        <v>38</v>
      </c>
    </row>
    <row r="40" spans="4:15" x14ac:dyDescent="0.25">
      <c r="E40">
        <v>4.2236430454067902E-4</v>
      </c>
      <c r="F40">
        <v>-0.14833749830722801</v>
      </c>
      <c r="G40">
        <v>-3.20220249705017E-3</v>
      </c>
      <c r="H40">
        <v>-0.45044949650764499</v>
      </c>
      <c r="I40">
        <v>-9.7873732447624207E-3</v>
      </c>
      <c r="J40">
        <v>0.29778695106506298</v>
      </c>
      <c r="K40">
        <v>0.4</v>
      </c>
      <c r="L40">
        <v>0</v>
      </c>
      <c r="M40">
        <v>0.6</v>
      </c>
      <c r="N40" t="s">
        <v>40</v>
      </c>
      <c r="O40" t="s">
        <v>38</v>
      </c>
    </row>
    <row r="41" spans="4:15" x14ac:dyDescent="0.25">
      <c r="D41" t="s">
        <v>39</v>
      </c>
      <c r="E41">
        <v>-2.8536887839436499E-4</v>
      </c>
      <c r="F41">
        <v>-6.3574254512786907E-2</v>
      </c>
      <c r="G41">
        <v>-9.0447112917900099E-2</v>
      </c>
      <c r="H41">
        <v>-8.5884019732475295E-2</v>
      </c>
      <c r="I41">
        <v>-0.67203629016876198</v>
      </c>
      <c r="J41">
        <v>0.13295280933380099</v>
      </c>
      <c r="K41">
        <v>0.4</v>
      </c>
      <c r="L41">
        <v>0</v>
      </c>
      <c r="M41">
        <v>0</v>
      </c>
      <c r="N41" t="s">
        <v>38</v>
      </c>
    </row>
    <row r="42" spans="4:15" x14ac:dyDescent="0.25">
      <c r="E42">
        <v>1.5889387577772099E-3</v>
      </c>
      <c r="F42">
        <v>-5.51093332469463E-2</v>
      </c>
      <c r="G42">
        <v>-9.4750039279460893E-2</v>
      </c>
      <c r="H42">
        <v>-7.5877033174037906E-2</v>
      </c>
      <c r="I42">
        <v>-0.69757288694381703</v>
      </c>
      <c r="J42">
        <v>0.107562035322189</v>
      </c>
      <c r="K42">
        <v>1</v>
      </c>
      <c r="L42">
        <v>0</v>
      </c>
      <c r="M42">
        <v>0</v>
      </c>
      <c r="N42" t="s">
        <v>38</v>
      </c>
    </row>
    <row r="43" spans="4:15" x14ac:dyDescent="0.25">
      <c r="E43">
        <v>-1.5058561693876999E-3</v>
      </c>
      <c r="F43">
        <v>-5.5391017347574199E-2</v>
      </c>
      <c r="G43">
        <v>-8.6338341236114502E-2</v>
      </c>
      <c r="H43">
        <v>-7.2327546775341006E-2</v>
      </c>
      <c r="I43">
        <v>-0.66003757715225198</v>
      </c>
      <c r="J43">
        <v>0.11620241403579699</v>
      </c>
      <c r="K43">
        <v>0.4</v>
      </c>
      <c r="L43">
        <v>0.6</v>
      </c>
      <c r="M43">
        <v>0</v>
      </c>
      <c r="N43" t="s">
        <v>38</v>
      </c>
    </row>
    <row r="44" spans="4:15" x14ac:dyDescent="0.25">
      <c r="E44">
        <v>-2.8814235702156999E-4</v>
      </c>
      <c r="F44">
        <v>-7.4884176254272503E-2</v>
      </c>
      <c r="G44">
        <v>-8.93988907337189E-2</v>
      </c>
      <c r="H44">
        <v>-0.10567356646060901</v>
      </c>
      <c r="I44">
        <v>-0.675123691558838</v>
      </c>
      <c r="J44">
        <v>0.169469654560089</v>
      </c>
      <c r="K44">
        <v>0.4</v>
      </c>
      <c r="L44">
        <v>0</v>
      </c>
      <c r="M44">
        <v>0.6</v>
      </c>
      <c r="N44" t="s">
        <v>40</v>
      </c>
      <c r="O44" t="s">
        <v>38</v>
      </c>
    </row>
    <row r="45" spans="4:15" x14ac:dyDescent="0.25">
      <c r="D45" t="s">
        <v>39</v>
      </c>
      <c r="E45">
        <v>-1.37211009860039E-3</v>
      </c>
      <c r="F45">
        <v>8.7113633751869202E-2</v>
      </c>
      <c r="G45">
        <v>-0.16279363632202101</v>
      </c>
      <c r="H45">
        <v>-9.0744964778423295E-2</v>
      </c>
      <c r="I45">
        <v>-0.87937128543853804</v>
      </c>
      <c r="J45">
        <v>-0.48219949007034302</v>
      </c>
      <c r="K45">
        <v>0.8</v>
      </c>
      <c r="L45">
        <v>0</v>
      </c>
      <c r="M45">
        <v>0</v>
      </c>
      <c r="N45" t="s">
        <v>38</v>
      </c>
    </row>
    <row r="46" spans="4:15" x14ac:dyDescent="0.25">
      <c r="E46">
        <v>-1.36055797338486E-3</v>
      </c>
      <c r="F46">
        <v>9.0598642826080295E-2</v>
      </c>
      <c r="G46">
        <v>-0.17294137179851499</v>
      </c>
      <c r="H46">
        <v>-9.4194762408733396E-2</v>
      </c>
      <c r="I46">
        <v>-0.93448364734649703</v>
      </c>
      <c r="J46">
        <v>-0.50216889381408703</v>
      </c>
      <c r="K46">
        <v>1.4</v>
      </c>
      <c r="L46">
        <v>0</v>
      </c>
      <c r="M46">
        <v>0</v>
      </c>
      <c r="N46" t="s">
        <v>38</v>
      </c>
    </row>
    <row r="47" spans="4:15" x14ac:dyDescent="0.25">
      <c r="E47">
        <v>-4.4362898916006099E-4</v>
      </c>
      <c r="F47">
        <v>8.7859079241752597E-2</v>
      </c>
      <c r="G47">
        <v>-0.149700507521629</v>
      </c>
      <c r="H47">
        <v>-8.3662196993827806E-2</v>
      </c>
      <c r="I47">
        <v>-0.81903314590454102</v>
      </c>
      <c r="J47">
        <v>-0.48939895629882801</v>
      </c>
      <c r="K47">
        <v>0.8</v>
      </c>
      <c r="L47">
        <v>0.6</v>
      </c>
      <c r="M47">
        <v>0</v>
      </c>
      <c r="N47" t="s">
        <v>38</v>
      </c>
    </row>
    <row r="48" spans="4:15" x14ac:dyDescent="0.25">
      <c r="E48">
        <v>-2.1755299530923401E-3</v>
      </c>
      <c r="F48">
        <v>7.9079501330852495E-2</v>
      </c>
      <c r="G48">
        <v>-0.15534256398677801</v>
      </c>
      <c r="H48">
        <v>-8.4770120680332198E-2</v>
      </c>
      <c r="I48">
        <v>-0.84200012683868397</v>
      </c>
      <c r="J48">
        <v>-0.437740057706833</v>
      </c>
      <c r="K48">
        <v>0.8</v>
      </c>
      <c r="L48">
        <v>0</v>
      </c>
      <c r="M48">
        <v>0.6</v>
      </c>
      <c r="N48" t="s">
        <v>40</v>
      </c>
      <c r="O48" t="s">
        <v>38</v>
      </c>
    </row>
    <row r="49" spans="4:15" x14ac:dyDescent="0.25">
      <c r="D49" t="s">
        <v>39</v>
      </c>
      <c r="E49">
        <v>-1.4753518626093899E-3</v>
      </c>
      <c r="F49">
        <v>3.1907491385936702E-2</v>
      </c>
      <c r="G49">
        <v>-0.19490382075309801</v>
      </c>
      <c r="H49">
        <v>-0.17070601880550401</v>
      </c>
      <c r="I49">
        <v>-1.0707256793975799</v>
      </c>
      <c r="J49">
        <v>-0.22229230403900099</v>
      </c>
      <c r="K49">
        <v>0.4</v>
      </c>
      <c r="L49">
        <v>0</v>
      </c>
      <c r="M49">
        <v>0</v>
      </c>
      <c r="N49" t="s">
        <v>38</v>
      </c>
    </row>
    <row r="50" spans="4:15" x14ac:dyDescent="0.25">
      <c r="E50">
        <v>-9.5861684530973402E-4</v>
      </c>
      <c r="F50">
        <v>3.3118188381195103E-2</v>
      </c>
      <c r="G50">
        <v>-0.20282633602619199</v>
      </c>
      <c r="H50">
        <v>-0.17964211106300401</v>
      </c>
      <c r="I50">
        <v>-1.11345994472504</v>
      </c>
      <c r="J50">
        <v>-0.23012918233871499</v>
      </c>
      <c r="K50">
        <v>1</v>
      </c>
      <c r="L50">
        <v>0</v>
      </c>
      <c r="M50">
        <v>0</v>
      </c>
      <c r="N50" t="s">
        <v>38</v>
      </c>
    </row>
    <row r="51" spans="4:15" x14ac:dyDescent="0.25">
      <c r="E51">
        <v>-9.5200352370739005E-4</v>
      </c>
      <c r="F51">
        <v>3.1913917511701598E-2</v>
      </c>
      <c r="G51">
        <v>-0.185341656208038</v>
      </c>
      <c r="H51">
        <v>-0.159615308046341</v>
      </c>
      <c r="I51">
        <v>-1.02702784538269</v>
      </c>
      <c r="J51">
        <v>-0.22407838702201799</v>
      </c>
      <c r="K51">
        <v>0.4</v>
      </c>
      <c r="L51">
        <v>0.6</v>
      </c>
      <c r="M51">
        <v>0</v>
      </c>
      <c r="N51" t="s">
        <v>38</v>
      </c>
    </row>
    <row r="52" spans="4:15" x14ac:dyDescent="0.25">
      <c r="E52">
        <v>-2.5325799360871302E-3</v>
      </c>
      <c r="F52">
        <v>2.99476571381092E-2</v>
      </c>
      <c r="G52">
        <v>-0.19052435457706501</v>
      </c>
      <c r="H52">
        <v>-0.165864318609238</v>
      </c>
      <c r="I52">
        <v>-1.05037128925323</v>
      </c>
      <c r="J52">
        <v>-0.208974063396454</v>
      </c>
      <c r="K52">
        <v>0.4</v>
      </c>
      <c r="L52">
        <v>0</v>
      </c>
      <c r="M52">
        <v>0.6</v>
      </c>
      <c r="N52" t="s">
        <v>40</v>
      </c>
      <c r="O52" t="s">
        <v>38</v>
      </c>
    </row>
    <row r="53" spans="4:15" x14ac:dyDescent="0.25">
      <c r="D53" t="s">
        <v>39</v>
      </c>
      <c r="E53">
        <v>-2.8121247887611398E-3</v>
      </c>
      <c r="F53">
        <v>7.0382751524448395E-2</v>
      </c>
      <c r="G53">
        <v>-0.20890267193317399</v>
      </c>
      <c r="H53">
        <v>-0.326402246952057</v>
      </c>
      <c r="I53">
        <v>-0.97189968824386597</v>
      </c>
      <c r="J53">
        <v>-0.380674779415131</v>
      </c>
      <c r="K53">
        <v>0.4</v>
      </c>
      <c r="L53">
        <v>0</v>
      </c>
      <c r="M53">
        <v>0</v>
      </c>
      <c r="N53" t="s">
        <v>38</v>
      </c>
    </row>
    <row r="54" spans="4:15" x14ac:dyDescent="0.25">
      <c r="E54">
        <v>-2.3253364488482501E-3</v>
      </c>
      <c r="F54">
        <v>7.1845799684524494E-2</v>
      </c>
      <c r="G54">
        <v>-0.21769331395626099</v>
      </c>
      <c r="H54">
        <v>-0.33890032768249501</v>
      </c>
      <c r="I54">
        <v>-1.00943338871002</v>
      </c>
      <c r="J54">
        <v>-0.38853260874748202</v>
      </c>
      <c r="K54">
        <v>1</v>
      </c>
      <c r="L54">
        <v>0</v>
      </c>
      <c r="M54">
        <v>0</v>
      </c>
      <c r="N54" t="s">
        <v>38</v>
      </c>
    </row>
    <row r="55" spans="4:15" x14ac:dyDescent="0.25">
      <c r="E55">
        <v>-1.61346420645714E-3</v>
      </c>
      <c r="F55">
        <v>7.2170071303844494E-2</v>
      </c>
      <c r="G55">
        <v>-0.19736327230930301</v>
      </c>
      <c r="H55">
        <v>-0.30834472179412797</v>
      </c>
      <c r="I55">
        <v>-0.93284988403320301</v>
      </c>
      <c r="J55">
        <v>-0.39319199323654203</v>
      </c>
      <c r="K55">
        <v>0.4</v>
      </c>
      <c r="L55">
        <v>0.6</v>
      </c>
      <c r="M55">
        <v>0</v>
      </c>
      <c r="N55" t="s">
        <v>38</v>
      </c>
    </row>
    <row r="56" spans="4:15" x14ac:dyDescent="0.25">
      <c r="E56">
        <v>-4.5132646337151501E-3</v>
      </c>
      <c r="F56">
        <v>6.5644428133964497E-2</v>
      </c>
      <c r="G56">
        <v>-0.20308502018451699</v>
      </c>
      <c r="H56">
        <v>-0.31319817900657698</v>
      </c>
      <c r="I56">
        <v>-0.94705355167388905</v>
      </c>
      <c r="J56">
        <v>-0.35390597581863398</v>
      </c>
      <c r="K56">
        <v>0.4</v>
      </c>
      <c r="L56">
        <v>0</v>
      </c>
      <c r="M56">
        <v>0.6</v>
      </c>
      <c r="N56" t="s">
        <v>40</v>
      </c>
      <c r="O56" t="s">
        <v>38</v>
      </c>
    </row>
    <row r="57" spans="4:15" x14ac:dyDescent="0.25">
      <c r="D57" t="s">
        <v>39</v>
      </c>
      <c r="E57">
        <v>-1.88843719661236E-3</v>
      </c>
      <c r="F57">
        <v>4.87664639949799E-2</v>
      </c>
      <c r="G57">
        <v>-0.220894455909729</v>
      </c>
      <c r="H57">
        <v>-0.32184326648712203</v>
      </c>
      <c r="I57">
        <v>-1.01222968101501</v>
      </c>
      <c r="J57">
        <v>-0.296476870775223</v>
      </c>
      <c r="K57">
        <v>0.8</v>
      </c>
      <c r="L57">
        <v>0</v>
      </c>
      <c r="M57">
        <v>0</v>
      </c>
      <c r="N57" t="s">
        <v>38</v>
      </c>
    </row>
    <row r="58" spans="4:15" x14ac:dyDescent="0.25">
      <c r="E58">
        <v>-1.1450750753283501E-3</v>
      </c>
      <c r="F58">
        <v>4.9848511815071099E-2</v>
      </c>
      <c r="G58">
        <v>-0.22826758027076699</v>
      </c>
      <c r="H58">
        <v>-0.33329164981842002</v>
      </c>
      <c r="I58">
        <v>-1.0440411567687999</v>
      </c>
      <c r="J58">
        <v>-0.30263835191726701</v>
      </c>
      <c r="K58">
        <v>1.4</v>
      </c>
      <c r="L58">
        <v>0</v>
      </c>
      <c r="M58">
        <v>0</v>
      </c>
      <c r="N58" t="s">
        <v>38</v>
      </c>
    </row>
    <row r="59" spans="4:15" x14ac:dyDescent="0.25">
      <c r="E59">
        <v>-8.5434317588806196E-4</v>
      </c>
      <c r="F59">
        <v>4.9553211778402301E-2</v>
      </c>
      <c r="G59">
        <v>-0.20891195535659801</v>
      </c>
      <c r="H59">
        <v>-0.30200269818306003</v>
      </c>
      <c r="I59">
        <v>-0.97120368480682395</v>
      </c>
      <c r="J59">
        <v>-0.30341911315918002</v>
      </c>
      <c r="K59">
        <v>0.8</v>
      </c>
      <c r="L59">
        <v>0.6</v>
      </c>
      <c r="M59">
        <v>0</v>
      </c>
      <c r="N59" t="s">
        <v>38</v>
      </c>
    </row>
    <row r="60" spans="4:15" x14ac:dyDescent="0.25">
      <c r="E60">
        <v>-3.9194775745272602E-3</v>
      </c>
      <c r="F60">
        <v>4.4565990567207302E-2</v>
      </c>
      <c r="G60">
        <v>-0.215352907776833</v>
      </c>
      <c r="H60">
        <v>-0.31045067310333302</v>
      </c>
      <c r="I60">
        <v>-0.99045473337173495</v>
      </c>
      <c r="J60">
        <v>-0.271506667137146</v>
      </c>
      <c r="K60">
        <v>0.8</v>
      </c>
      <c r="L60">
        <v>0</v>
      </c>
      <c r="M60">
        <v>0.6</v>
      </c>
      <c r="N60" t="s">
        <v>40</v>
      </c>
      <c r="O60" t="s">
        <v>38</v>
      </c>
    </row>
    <row r="61" spans="4:15" x14ac:dyDescent="0.25">
      <c r="D61" t="s">
        <v>39</v>
      </c>
      <c r="E61">
        <v>-2.59150564670563E-3</v>
      </c>
      <c r="F61">
        <v>2.7324184775352499E-2</v>
      </c>
      <c r="G61">
        <v>-0.13145609200000799</v>
      </c>
      <c r="H61">
        <v>-0.136582016944885</v>
      </c>
      <c r="I61">
        <v>-0.61641645431518599</v>
      </c>
      <c r="J61">
        <v>-0.23403739929199199</v>
      </c>
      <c r="K61">
        <v>0</v>
      </c>
      <c r="L61">
        <v>0</v>
      </c>
      <c r="M61">
        <v>0</v>
      </c>
      <c r="N61" t="s">
        <v>38</v>
      </c>
    </row>
    <row r="62" spans="4:15" x14ac:dyDescent="0.25">
      <c r="E62">
        <v>-1.8021510913968099E-3</v>
      </c>
      <c r="F62">
        <v>2.8599115088582001E-2</v>
      </c>
      <c r="G62">
        <v>-0.14243702590465501</v>
      </c>
      <c r="H62">
        <v>-0.15055987238884</v>
      </c>
      <c r="I62">
        <v>-0.65327292680740401</v>
      </c>
      <c r="J62">
        <v>-0.23986071348190299</v>
      </c>
      <c r="K62">
        <v>0.6</v>
      </c>
      <c r="L62">
        <v>0</v>
      </c>
      <c r="M62">
        <v>0</v>
      </c>
      <c r="N62" t="s">
        <v>38</v>
      </c>
    </row>
    <row r="63" spans="4:15" x14ac:dyDescent="0.25">
      <c r="E63">
        <v>-1.65695138275623E-3</v>
      </c>
      <c r="F63">
        <v>2.8402037918567699E-2</v>
      </c>
      <c r="G63">
        <v>-0.11867500841617599</v>
      </c>
      <c r="H63">
        <v>-0.117207370698452</v>
      </c>
      <c r="I63">
        <v>-0.57905393838882402</v>
      </c>
      <c r="J63">
        <v>-0.24142506718635601</v>
      </c>
      <c r="K63">
        <v>0</v>
      </c>
      <c r="L63">
        <v>0.6</v>
      </c>
      <c r="M63">
        <v>0</v>
      </c>
      <c r="N63" t="s">
        <v>38</v>
      </c>
    </row>
    <row r="64" spans="4:15" x14ac:dyDescent="0.25">
      <c r="E64">
        <v>-4.3781744316220301E-3</v>
      </c>
      <c r="F64">
        <v>2.4931300431489899E-2</v>
      </c>
      <c r="G64">
        <v>-0.12804599106311801</v>
      </c>
      <c r="H64">
        <v>-0.131038397550583</v>
      </c>
      <c r="I64">
        <v>-0.60611301660537698</v>
      </c>
      <c r="J64">
        <v>-0.22173199057578999</v>
      </c>
      <c r="K64">
        <v>0</v>
      </c>
      <c r="L64">
        <v>0</v>
      </c>
      <c r="M64">
        <v>0.6</v>
      </c>
      <c r="N64" t="s">
        <v>40</v>
      </c>
      <c r="O64" t="s">
        <v>38</v>
      </c>
    </row>
    <row r="65" spans="4:15" x14ac:dyDescent="0.25">
      <c r="D65" t="s">
        <v>39</v>
      </c>
      <c r="E65">
        <v>-2.8818771243095398E-3</v>
      </c>
      <c r="F65">
        <v>6.48805126547813E-2</v>
      </c>
      <c r="G65">
        <v>-0.26836296916008001</v>
      </c>
      <c r="H65">
        <v>-0.61091923713684104</v>
      </c>
      <c r="I65">
        <v>-1.14929687976837</v>
      </c>
      <c r="J65">
        <v>-0.46333062648773199</v>
      </c>
      <c r="K65">
        <v>0.4</v>
      </c>
      <c r="L65">
        <v>0</v>
      </c>
      <c r="M65">
        <v>0</v>
      </c>
      <c r="N65" t="s">
        <v>38</v>
      </c>
    </row>
    <row r="66" spans="4:15" x14ac:dyDescent="0.25">
      <c r="E66">
        <v>-1.6126278787851299E-3</v>
      </c>
      <c r="F66">
        <v>6.6071882843971294E-2</v>
      </c>
      <c r="G66">
        <v>-0.27489620447158802</v>
      </c>
      <c r="H66">
        <v>-0.62952733039856001</v>
      </c>
      <c r="I66">
        <v>-1.1682159900665301</v>
      </c>
      <c r="J66">
        <v>-0.470345258712769</v>
      </c>
      <c r="K66">
        <v>1</v>
      </c>
      <c r="L66">
        <v>0</v>
      </c>
      <c r="M66">
        <v>0</v>
      </c>
      <c r="N66" t="s">
        <v>38</v>
      </c>
    </row>
    <row r="67" spans="4:15" x14ac:dyDescent="0.25">
      <c r="E67">
        <v>-1.3240529224276499E-3</v>
      </c>
      <c r="F67">
        <v>6.6416129469871493E-2</v>
      </c>
      <c r="G67">
        <v>-0.25723016262054399</v>
      </c>
      <c r="H67">
        <v>-0.57702159881591797</v>
      </c>
      <c r="I67">
        <v>-1.1238150596618699</v>
      </c>
      <c r="J67">
        <v>-0.47461235523223899</v>
      </c>
      <c r="K67">
        <v>0.4</v>
      </c>
      <c r="L67">
        <v>0.6</v>
      </c>
      <c r="M67">
        <v>0</v>
      </c>
      <c r="N67" t="s">
        <v>38</v>
      </c>
    </row>
    <row r="68" spans="4:15" x14ac:dyDescent="0.25">
      <c r="E68">
        <v>-6.0431864112615603E-3</v>
      </c>
      <c r="F68">
        <v>6.1165977269411101E-2</v>
      </c>
      <c r="G68">
        <v>-0.26362520456314098</v>
      </c>
      <c r="H68">
        <v>-0.59595417976379395</v>
      </c>
      <c r="I68">
        <v>-1.13576340675354</v>
      </c>
      <c r="J68">
        <v>-0.440411686897278</v>
      </c>
      <c r="K68">
        <v>0.4</v>
      </c>
      <c r="L68">
        <v>0</v>
      </c>
      <c r="M68">
        <v>0.6</v>
      </c>
      <c r="N68" t="s">
        <v>40</v>
      </c>
      <c r="O68" t="s">
        <v>38</v>
      </c>
    </row>
    <row r="69" spans="4:15" x14ac:dyDescent="0.25">
      <c r="D69" t="s">
        <v>39</v>
      </c>
      <c r="E69">
        <v>-1.0846329387277399E-3</v>
      </c>
      <c r="F69">
        <v>0.105407744646072</v>
      </c>
      <c r="G69">
        <v>-7.5431093573570304E-3</v>
      </c>
      <c r="H69">
        <v>-4.4421639293432201E-2</v>
      </c>
      <c r="I69">
        <v>-5.3632915019989E-2</v>
      </c>
      <c r="J69">
        <v>-0.59106355905532804</v>
      </c>
      <c r="K69">
        <v>0.4</v>
      </c>
      <c r="L69">
        <v>0</v>
      </c>
      <c r="M69">
        <v>0</v>
      </c>
      <c r="N69" t="s">
        <v>38</v>
      </c>
    </row>
    <row r="70" spans="4:15" x14ac:dyDescent="0.25">
      <c r="E70">
        <v>-2.26727500557899E-3</v>
      </c>
      <c r="F70">
        <v>0.11268009990453701</v>
      </c>
      <c r="G70">
        <v>-8.6299823597073607E-3</v>
      </c>
      <c r="H70">
        <v>-5.1162451505660997E-2</v>
      </c>
      <c r="I70">
        <v>-5.9206232428550699E-2</v>
      </c>
      <c r="J70">
        <v>-0.62467873096466098</v>
      </c>
      <c r="K70">
        <v>1</v>
      </c>
      <c r="L70">
        <v>0</v>
      </c>
      <c r="M70">
        <v>0</v>
      </c>
      <c r="N70" t="s">
        <v>38</v>
      </c>
    </row>
    <row r="71" spans="4:15" x14ac:dyDescent="0.25">
      <c r="E71">
        <v>-6.6613964736461596E-4</v>
      </c>
      <c r="F71">
        <v>0.109032936394215</v>
      </c>
      <c r="G71">
        <v>-6.9295624271035203E-3</v>
      </c>
      <c r="H71">
        <v>-5.2572902292013203E-2</v>
      </c>
      <c r="I71">
        <v>-4.44266870617867E-2</v>
      </c>
      <c r="J71">
        <v>-0.59817194938659701</v>
      </c>
      <c r="K71">
        <v>0.4</v>
      </c>
      <c r="L71">
        <v>0.6</v>
      </c>
      <c r="M71">
        <v>0</v>
      </c>
      <c r="N71" t="s">
        <v>38</v>
      </c>
    </row>
    <row r="72" spans="4:15" x14ac:dyDescent="0.25">
      <c r="E72">
        <v>-9.9028507247567199E-4</v>
      </c>
      <c r="F72">
        <v>9.2060282826423603E-2</v>
      </c>
      <c r="G72">
        <v>-7.7380929142236701E-3</v>
      </c>
      <c r="H72">
        <v>-4.47769872844219E-2</v>
      </c>
      <c r="I72">
        <v>-5.2192002534866298E-2</v>
      </c>
      <c r="J72">
        <v>-0.53329521417617798</v>
      </c>
      <c r="K72">
        <v>0.4</v>
      </c>
      <c r="L72">
        <v>0</v>
      </c>
      <c r="M72">
        <v>0.6</v>
      </c>
      <c r="N72" t="s">
        <v>40</v>
      </c>
      <c r="O72" t="s">
        <v>38</v>
      </c>
    </row>
    <row r="73" spans="4:15" x14ac:dyDescent="0.25">
      <c r="D73" t="s">
        <v>39</v>
      </c>
      <c r="E73">
        <v>-1.21277570724487E-3</v>
      </c>
      <c r="F73">
        <v>0.189176306128502</v>
      </c>
      <c r="G73">
        <v>-8.0510884523391696E-2</v>
      </c>
      <c r="H73">
        <v>-0.25100401043891901</v>
      </c>
      <c r="I73">
        <v>-0.70138603448867798</v>
      </c>
      <c r="J73">
        <v>-0.86990654468536399</v>
      </c>
      <c r="K73">
        <v>0</v>
      </c>
      <c r="L73">
        <v>0</v>
      </c>
      <c r="M73">
        <v>0</v>
      </c>
      <c r="N73" t="s">
        <v>38</v>
      </c>
    </row>
    <row r="74" spans="4:15" x14ac:dyDescent="0.25">
      <c r="E74">
        <v>-3.1480491161346401E-3</v>
      </c>
      <c r="F74">
        <v>0.192515254020691</v>
      </c>
      <c r="G74">
        <v>-8.2613527774810805E-2</v>
      </c>
      <c r="H74">
        <v>-0.26102560758590698</v>
      </c>
      <c r="I74">
        <v>-0.71387332677841198</v>
      </c>
      <c r="J74">
        <v>-0.88347685337066695</v>
      </c>
      <c r="K74">
        <v>0.6</v>
      </c>
      <c r="L74">
        <v>0</v>
      </c>
      <c r="M74">
        <v>0</v>
      </c>
      <c r="N74" t="s">
        <v>38</v>
      </c>
    </row>
    <row r="75" spans="4:15" x14ac:dyDescent="0.25">
      <c r="E75">
        <v>3.0286097899079301E-4</v>
      </c>
      <c r="F75">
        <v>0.191972821950912</v>
      </c>
      <c r="G75">
        <v>-7.8106649219989804E-2</v>
      </c>
      <c r="H75">
        <v>-0.25526618957519498</v>
      </c>
      <c r="I75">
        <v>-0.68338465690612804</v>
      </c>
      <c r="J75">
        <v>-0.87946712970733598</v>
      </c>
      <c r="K75">
        <v>0</v>
      </c>
      <c r="L75">
        <v>0.6</v>
      </c>
      <c r="M75">
        <v>0</v>
      </c>
      <c r="N75" t="s">
        <v>38</v>
      </c>
    </row>
    <row r="76" spans="4:15" x14ac:dyDescent="0.25">
      <c r="E76">
        <v>-1.12183857709169E-3</v>
      </c>
      <c r="F76">
        <v>0.17785210907459301</v>
      </c>
      <c r="G76">
        <v>-8.0212987959384904E-2</v>
      </c>
      <c r="H76">
        <v>-0.238089859485626</v>
      </c>
      <c r="I76">
        <v>-0.69708395004272505</v>
      </c>
      <c r="J76">
        <v>-0.82495903968811002</v>
      </c>
      <c r="K76">
        <v>0</v>
      </c>
      <c r="L76">
        <v>0</v>
      </c>
      <c r="M76">
        <v>0.6</v>
      </c>
      <c r="N76" t="s">
        <v>40</v>
      </c>
      <c r="O76" t="s">
        <v>38</v>
      </c>
    </row>
    <row r="77" spans="4:15" x14ac:dyDescent="0.25">
      <c r="D77" t="s">
        <v>39</v>
      </c>
      <c r="E77">
        <v>-2.4155117571353899E-3</v>
      </c>
      <c r="F77">
        <v>0.104980133473873</v>
      </c>
      <c r="G77">
        <v>-7.43569061160088E-2</v>
      </c>
      <c r="H77">
        <v>-0.116804644465446</v>
      </c>
      <c r="I77">
        <v>-0.49594429135322599</v>
      </c>
      <c r="J77">
        <v>-0.37272521853446999</v>
      </c>
      <c r="K77">
        <v>0.4</v>
      </c>
      <c r="L77">
        <v>0</v>
      </c>
      <c r="M77">
        <v>0</v>
      </c>
      <c r="N77" t="s">
        <v>38</v>
      </c>
    </row>
    <row r="78" spans="4:15" x14ac:dyDescent="0.25">
      <c r="E78">
        <v>-4.2061894200742201E-3</v>
      </c>
      <c r="F78">
        <v>0.110692381858826</v>
      </c>
      <c r="G78">
        <v>-7.9401433467865004E-2</v>
      </c>
      <c r="H78">
        <v>-0.12376701831817601</v>
      </c>
      <c r="I78">
        <v>-0.52405667304992698</v>
      </c>
      <c r="J78">
        <v>-0.39405557513237</v>
      </c>
      <c r="K78">
        <v>1</v>
      </c>
      <c r="L78">
        <v>0</v>
      </c>
      <c r="M78">
        <v>0</v>
      </c>
      <c r="N78" t="s">
        <v>38</v>
      </c>
    </row>
    <row r="79" spans="4:15" x14ac:dyDescent="0.25">
      <c r="E79">
        <v>-1.24317593872547E-5</v>
      </c>
      <c r="F79">
        <v>0.10995040088892</v>
      </c>
      <c r="G79">
        <v>-6.7554011940956102E-2</v>
      </c>
      <c r="H79">
        <v>-0.120608620345592</v>
      </c>
      <c r="I79">
        <v>-0.46096909046173101</v>
      </c>
      <c r="J79">
        <v>-0.39102971553802501</v>
      </c>
      <c r="K79">
        <v>0.4</v>
      </c>
      <c r="L79">
        <v>0.6</v>
      </c>
      <c r="M79">
        <v>0</v>
      </c>
      <c r="N79" t="s">
        <v>38</v>
      </c>
    </row>
    <row r="80" spans="4:15" x14ac:dyDescent="0.25">
      <c r="E80">
        <v>-1.92089332267642E-3</v>
      </c>
      <c r="F80">
        <v>9.0238310396671295E-2</v>
      </c>
      <c r="G80">
        <v>-7.2757899761200007E-2</v>
      </c>
      <c r="H80">
        <v>-9.4696290791034698E-2</v>
      </c>
      <c r="I80">
        <v>-0.49263995885848999</v>
      </c>
      <c r="J80">
        <v>-0.32724213600158703</v>
      </c>
      <c r="K80">
        <v>0.4</v>
      </c>
      <c r="L80">
        <v>0</v>
      </c>
      <c r="M80">
        <v>0.6</v>
      </c>
      <c r="N80" t="s">
        <v>40</v>
      </c>
      <c r="O80" t="s">
        <v>38</v>
      </c>
    </row>
    <row r="81" spans="4:15" x14ac:dyDescent="0.25">
      <c r="D81" t="s">
        <v>39</v>
      </c>
      <c r="E81">
        <v>-7.0373835042119E-3</v>
      </c>
      <c r="F81">
        <v>0.19658188521861999</v>
      </c>
      <c r="G81">
        <v>-9.0219676494598406E-3</v>
      </c>
      <c r="H81">
        <v>-0.253807783126831</v>
      </c>
      <c r="I81">
        <v>-4.6346724033355699E-2</v>
      </c>
      <c r="J81">
        <v>-1.05074739456177</v>
      </c>
      <c r="K81">
        <v>0.8</v>
      </c>
      <c r="L81">
        <v>0</v>
      </c>
      <c r="M81">
        <v>0</v>
      </c>
      <c r="N81" t="s">
        <v>38</v>
      </c>
    </row>
    <row r="82" spans="4:15" x14ac:dyDescent="0.25">
      <c r="E82">
        <v>-9.5165185630321503E-3</v>
      </c>
      <c r="F82">
        <v>0.19916532933712</v>
      </c>
      <c r="G82">
        <v>-1.2096893042326E-2</v>
      </c>
      <c r="H82">
        <v>-0.25792148709297202</v>
      </c>
      <c r="I82">
        <v>-6.0807853937148999E-2</v>
      </c>
      <c r="J82">
        <v>-1.06184089183807</v>
      </c>
      <c r="K82">
        <v>1.4</v>
      </c>
      <c r="L82">
        <v>0</v>
      </c>
      <c r="M82">
        <v>0</v>
      </c>
      <c r="N82" t="s">
        <v>38</v>
      </c>
    </row>
    <row r="83" spans="4:15" x14ac:dyDescent="0.25">
      <c r="E83">
        <v>-4.27589192986488E-3</v>
      </c>
      <c r="F83">
        <v>0.199218094348907</v>
      </c>
      <c r="G83">
        <v>-6.0360664501786197E-3</v>
      </c>
      <c r="H83">
        <v>-0.26251405477523798</v>
      </c>
      <c r="I83">
        <v>-3.1391993165016202E-2</v>
      </c>
      <c r="J83">
        <v>-1.0567824840545701</v>
      </c>
      <c r="K83">
        <v>0.8</v>
      </c>
      <c r="L83">
        <v>0.6</v>
      </c>
      <c r="M83">
        <v>0</v>
      </c>
      <c r="N83" t="s">
        <v>38</v>
      </c>
    </row>
    <row r="84" spans="4:15" x14ac:dyDescent="0.25">
      <c r="E84">
        <v>-5.2960673347115499E-3</v>
      </c>
      <c r="F84">
        <v>0.18305945396423301</v>
      </c>
      <c r="G84">
        <v>-7.2069587185978898E-3</v>
      </c>
      <c r="H84">
        <v>-0.22237786650657701</v>
      </c>
      <c r="I84">
        <v>-4.1011303663253798E-2</v>
      </c>
      <c r="J84">
        <v>-1.0179758071899401</v>
      </c>
      <c r="K84">
        <v>0.8</v>
      </c>
      <c r="L84">
        <v>0</v>
      </c>
      <c r="M84">
        <v>0.6</v>
      </c>
      <c r="N84" t="s">
        <v>40</v>
      </c>
      <c r="O84" t="s">
        <v>38</v>
      </c>
    </row>
    <row r="85" spans="4:15" x14ac:dyDescent="0.25">
      <c r="D85" t="s">
        <v>39</v>
      </c>
      <c r="E85">
        <v>-1.45209429319948E-3</v>
      </c>
      <c r="F85">
        <v>0.158558174967766</v>
      </c>
      <c r="G85">
        <v>-4.6406555920839303E-2</v>
      </c>
      <c r="H85">
        <v>-0.53051334619522095</v>
      </c>
      <c r="I85">
        <v>-0.25099590420723</v>
      </c>
      <c r="J85">
        <v>-0.37296327948570301</v>
      </c>
      <c r="K85">
        <v>0</v>
      </c>
      <c r="L85">
        <v>0</v>
      </c>
      <c r="M85">
        <v>0</v>
      </c>
      <c r="N85" t="s">
        <v>38</v>
      </c>
    </row>
    <row r="86" spans="4:15" x14ac:dyDescent="0.25">
      <c r="E86">
        <v>-5.6697223335504497E-3</v>
      </c>
      <c r="F86">
        <v>0.16300922632217399</v>
      </c>
      <c r="G86">
        <v>-5.44005744159222E-2</v>
      </c>
      <c r="H86">
        <v>-0.55159246921539296</v>
      </c>
      <c r="I86">
        <v>-0.29847210645675698</v>
      </c>
      <c r="J86">
        <v>-0.38318055868148798</v>
      </c>
      <c r="K86">
        <v>0.6</v>
      </c>
      <c r="L86">
        <v>0</v>
      </c>
      <c r="M86">
        <v>0</v>
      </c>
      <c r="N86" t="s">
        <v>38</v>
      </c>
    </row>
    <row r="87" spans="4:15" x14ac:dyDescent="0.25">
      <c r="E87">
        <v>2.9093888588249701E-3</v>
      </c>
      <c r="F87">
        <v>0.16158325970172899</v>
      </c>
      <c r="G87">
        <v>-3.7582073360681499E-2</v>
      </c>
      <c r="H87">
        <v>-0.53685086965560902</v>
      </c>
      <c r="I87">
        <v>-0.200562968850136</v>
      </c>
      <c r="J87">
        <v>-0.38281130790710399</v>
      </c>
      <c r="K87">
        <v>0</v>
      </c>
      <c r="L87">
        <v>0.6</v>
      </c>
      <c r="M87">
        <v>0</v>
      </c>
      <c r="N87" t="s">
        <v>38</v>
      </c>
    </row>
    <row r="88" spans="4:15" x14ac:dyDescent="0.25">
      <c r="E88">
        <v>-6.0013111215084802E-4</v>
      </c>
      <c r="F88">
        <v>0.14788705110549899</v>
      </c>
      <c r="G88">
        <v>-4.4777002185583101E-2</v>
      </c>
      <c r="H88">
        <v>-0.49502161145210299</v>
      </c>
      <c r="I88">
        <v>-0.24365806579589799</v>
      </c>
      <c r="J88">
        <v>-0.359762072563171</v>
      </c>
      <c r="K88">
        <v>0</v>
      </c>
      <c r="L88">
        <v>0</v>
      </c>
      <c r="M88">
        <v>0.6</v>
      </c>
      <c r="N88" t="s">
        <v>40</v>
      </c>
      <c r="O88" t="s">
        <v>45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26"/>
  <sheetViews>
    <sheetView workbookViewId="0">
      <selection activeCell="H12" sqref="H12:M14"/>
    </sheetView>
  </sheetViews>
  <sheetFormatPr defaultRowHeight="15" x14ac:dyDescent="0.25"/>
  <sheetData>
    <row r="1" spans="1:13" ht="15.75" x14ac:dyDescent="0.25">
      <c r="A1" s="38" t="s">
        <v>21</v>
      </c>
      <c r="B1" s="36"/>
      <c r="C1" s="36"/>
      <c r="D1" s="36"/>
      <c r="E1" s="36"/>
      <c r="F1" s="37"/>
      <c r="H1" s="38" t="s">
        <v>22</v>
      </c>
      <c r="I1" s="36"/>
      <c r="J1" s="36"/>
      <c r="K1" s="36"/>
      <c r="L1" s="36"/>
      <c r="M1" s="37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-0.37272521853446999</v>
      </c>
      <c r="B3">
        <v>0.49594429135322599</v>
      </c>
      <c r="C3">
        <v>-0.116804644465446</v>
      </c>
      <c r="D3">
        <v>-7.43569061160088E-2</v>
      </c>
      <c r="E3">
        <v>-0.104980133473873</v>
      </c>
      <c r="F3" s="4">
        <v>-2.4155117571353899E-3</v>
      </c>
      <c r="H3">
        <f>$F3</f>
        <v>-2.4155117571353899E-3</v>
      </c>
      <c r="I3">
        <f>-1*$E3</f>
        <v>0.104980133473873</v>
      </c>
      <c r="J3">
        <f>$D3</f>
        <v>-7.43569061160088E-2</v>
      </c>
      <c r="K3">
        <f>$C3</f>
        <v>-0.116804644465446</v>
      </c>
      <c r="L3">
        <f>-1*$B3</f>
        <v>-0.49594429135322599</v>
      </c>
      <c r="M3">
        <f>$A3</f>
        <v>-0.37272521853446999</v>
      </c>
    </row>
    <row r="4" spans="1:13" x14ac:dyDescent="0.25">
      <c r="A4">
        <v>-0.39405557513237</v>
      </c>
      <c r="B4">
        <v>0.52405667304992698</v>
      </c>
      <c r="C4">
        <v>-0.12376701831817601</v>
      </c>
      <c r="D4">
        <v>-7.9401433467865004E-2</v>
      </c>
      <c r="E4">
        <v>-0.110692381858826</v>
      </c>
      <c r="F4">
        <v>-4.2061894200742201E-3</v>
      </c>
      <c r="H4">
        <f t="shared" ref="H4:H26" si="0">$F4</f>
        <v>-4.2061894200742201E-3</v>
      </c>
      <c r="I4">
        <f t="shared" ref="I4:I26" si="1">-1*$E4</f>
        <v>0.110692381858826</v>
      </c>
      <c r="J4">
        <f t="shared" ref="J4:J26" si="2">$D4</f>
        <v>-7.9401433467865004E-2</v>
      </c>
      <c r="K4">
        <f t="shared" ref="K4:K26" si="3">$C4</f>
        <v>-0.12376701831817601</v>
      </c>
      <c r="L4">
        <f t="shared" ref="L4:L26" si="4">-1*$B4</f>
        <v>-0.52405667304992698</v>
      </c>
      <c r="M4">
        <f t="shared" ref="M4:M26" si="5">$A4</f>
        <v>-0.39405557513237</v>
      </c>
    </row>
    <row r="5" spans="1:13" x14ac:dyDescent="0.25">
      <c r="A5">
        <v>-0.39102971553802501</v>
      </c>
      <c r="B5">
        <v>0.46096909046173101</v>
      </c>
      <c r="C5">
        <v>-0.120608620345592</v>
      </c>
      <c r="D5">
        <v>-6.7554011940956102E-2</v>
      </c>
      <c r="E5">
        <v>-0.10995040088892</v>
      </c>
      <c r="F5">
        <v>-1.24317593872547E-5</v>
      </c>
      <c r="H5">
        <f t="shared" si="0"/>
        <v>-1.24317593872547E-5</v>
      </c>
      <c r="I5">
        <f t="shared" si="1"/>
        <v>0.10995040088892</v>
      </c>
      <c r="J5">
        <f t="shared" si="2"/>
        <v>-6.7554011940956102E-2</v>
      </c>
      <c r="K5">
        <f t="shared" si="3"/>
        <v>-0.120608620345592</v>
      </c>
      <c r="L5">
        <f t="shared" si="4"/>
        <v>-0.46096909046173101</v>
      </c>
      <c r="M5">
        <f t="shared" si="5"/>
        <v>-0.39102971553802501</v>
      </c>
    </row>
    <row r="6" spans="1:13" x14ac:dyDescent="0.25">
      <c r="A6">
        <v>-0.32724213600158703</v>
      </c>
      <c r="B6">
        <v>0.49263995885848999</v>
      </c>
      <c r="C6">
        <v>-9.4696290791034698E-2</v>
      </c>
      <c r="D6">
        <v>-7.2757899761200007E-2</v>
      </c>
      <c r="E6">
        <v>-9.0238310396671295E-2</v>
      </c>
      <c r="F6">
        <v>-1.92089332267642E-3</v>
      </c>
      <c r="H6">
        <f t="shared" si="0"/>
        <v>-1.92089332267642E-3</v>
      </c>
      <c r="I6">
        <f t="shared" si="1"/>
        <v>9.0238310396671295E-2</v>
      </c>
      <c r="J6">
        <f t="shared" si="2"/>
        <v>-7.2757899761200007E-2</v>
      </c>
      <c r="K6">
        <f t="shared" si="3"/>
        <v>-9.4696290791034698E-2</v>
      </c>
      <c r="L6">
        <f t="shared" si="4"/>
        <v>-0.49263995885848999</v>
      </c>
      <c r="M6">
        <f t="shared" si="5"/>
        <v>-0.32724213600158703</v>
      </c>
    </row>
    <row r="7" spans="1:13" x14ac:dyDescent="0.25">
      <c r="A7">
        <v>-1.05074739456177</v>
      </c>
      <c r="B7">
        <v>4.6346724033355699E-2</v>
      </c>
      <c r="C7">
        <v>-0.253807783126831</v>
      </c>
      <c r="D7">
        <v>-9.0219676494598406E-3</v>
      </c>
      <c r="E7">
        <v>-0.19658188521861999</v>
      </c>
      <c r="F7">
        <v>-7.0373835042119E-3</v>
      </c>
      <c r="H7">
        <f t="shared" si="0"/>
        <v>-7.0373835042119E-3</v>
      </c>
      <c r="I7">
        <f t="shared" si="1"/>
        <v>0.19658188521861999</v>
      </c>
      <c r="J7">
        <f t="shared" si="2"/>
        <v>-9.0219676494598406E-3</v>
      </c>
      <c r="K7">
        <f t="shared" si="3"/>
        <v>-0.253807783126831</v>
      </c>
      <c r="L7">
        <f t="shared" si="4"/>
        <v>-4.6346724033355699E-2</v>
      </c>
      <c r="M7">
        <f t="shared" si="5"/>
        <v>-1.05074739456177</v>
      </c>
    </row>
    <row r="8" spans="1:13" x14ac:dyDescent="0.25">
      <c r="A8">
        <v>-1.06184089183807</v>
      </c>
      <c r="B8">
        <v>6.0807853937148999E-2</v>
      </c>
      <c r="C8">
        <v>-0.25792148709297202</v>
      </c>
      <c r="D8">
        <v>-1.2096893042326E-2</v>
      </c>
      <c r="E8">
        <v>-0.19916532933712</v>
      </c>
      <c r="F8">
        <v>-9.5165185630321503E-3</v>
      </c>
      <c r="H8">
        <f t="shared" si="0"/>
        <v>-9.5165185630321503E-3</v>
      </c>
      <c r="I8">
        <f t="shared" si="1"/>
        <v>0.19916532933712</v>
      </c>
      <c r="J8">
        <f t="shared" si="2"/>
        <v>-1.2096893042326E-2</v>
      </c>
      <c r="K8">
        <f t="shared" si="3"/>
        <v>-0.25792148709297202</v>
      </c>
      <c r="L8">
        <f t="shared" si="4"/>
        <v>-6.0807853937148999E-2</v>
      </c>
      <c r="M8">
        <f t="shared" si="5"/>
        <v>-1.06184089183807</v>
      </c>
    </row>
    <row r="9" spans="1:13" x14ac:dyDescent="0.25">
      <c r="A9">
        <v>-1.0567824840545701</v>
      </c>
      <c r="B9">
        <v>3.1391993165016202E-2</v>
      </c>
      <c r="C9">
        <v>-0.26251405477523798</v>
      </c>
      <c r="D9">
        <v>-6.0360664501786197E-3</v>
      </c>
      <c r="E9">
        <v>-0.199218094348907</v>
      </c>
      <c r="F9">
        <v>-4.27589192986488E-3</v>
      </c>
      <c r="H9">
        <f t="shared" si="0"/>
        <v>-4.27589192986488E-3</v>
      </c>
      <c r="I9">
        <f t="shared" si="1"/>
        <v>0.199218094348907</v>
      </c>
      <c r="J9">
        <f t="shared" si="2"/>
        <v>-6.0360664501786197E-3</v>
      </c>
      <c r="K9">
        <f t="shared" si="3"/>
        <v>-0.26251405477523798</v>
      </c>
      <c r="L9">
        <f t="shared" si="4"/>
        <v>-3.1391993165016202E-2</v>
      </c>
      <c r="M9">
        <f t="shared" si="5"/>
        <v>-1.0567824840545701</v>
      </c>
    </row>
    <row r="10" spans="1:13" x14ac:dyDescent="0.25">
      <c r="A10">
        <v>-1.0179758071899401</v>
      </c>
      <c r="B10">
        <v>4.1011303663253798E-2</v>
      </c>
      <c r="C10">
        <v>-0.22237786650657701</v>
      </c>
      <c r="D10">
        <v>-7.2069587185978898E-3</v>
      </c>
      <c r="E10">
        <v>-0.18305945396423301</v>
      </c>
      <c r="F10">
        <v>-5.2960673347115499E-3</v>
      </c>
      <c r="H10">
        <f t="shared" si="0"/>
        <v>-5.2960673347115499E-3</v>
      </c>
      <c r="I10">
        <f t="shared" si="1"/>
        <v>0.18305945396423301</v>
      </c>
      <c r="J10">
        <f t="shared" si="2"/>
        <v>-7.2069587185978898E-3</v>
      </c>
      <c r="K10">
        <f t="shared" si="3"/>
        <v>-0.22237786650657701</v>
      </c>
      <c r="L10">
        <f t="shared" si="4"/>
        <v>-4.1011303663253798E-2</v>
      </c>
      <c r="M10">
        <f t="shared" si="5"/>
        <v>-1.0179758071899401</v>
      </c>
    </row>
    <row r="11" spans="1:13" x14ac:dyDescent="0.25">
      <c r="A11">
        <v>-0.37296327948570301</v>
      </c>
      <c r="B11">
        <v>0.25099590420723</v>
      </c>
      <c r="C11">
        <v>-0.53051334619522095</v>
      </c>
      <c r="D11">
        <v>-4.6406555920839303E-2</v>
      </c>
      <c r="E11">
        <v>-0.158558174967766</v>
      </c>
      <c r="F11">
        <v>-1.45209429319948E-3</v>
      </c>
      <c r="H11">
        <f t="shared" si="0"/>
        <v>-1.45209429319948E-3</v>
      </c>
      <c r="I11">
        <f t="shared" si="1"/>
        <v>0.158558174967766</v>
      </c>
      <c r="J11">
        <f t="shared" si="2"/>
        <v>-4.6406555920839303E-2</v>
      </c>
      <c r="K11">
        <f t="shared" si="3"/>
        <v>-0.53051334619522095</v>
      </c>
      <c r="L11">
        <f t="shared" si="4"/>
        <v>-0.25099590420723</v>
      </c>
      <c r="M11">
        <f t="shared" si="5"/>
        <v>-0.37296327948570301</v>
      </c>
    </row>
    <row r="12" spans="1:13" x14ac:dyDescent="0.25">
      <c r="A12">
        <v>-0.38318055868148798</v>
      </c>
      <c r="B12">
        <v>0.29847210645675698</v>
      </c>
      <c r="C12">
        <v>-0.55159246921539296</v>
      </c>
      <c r="D12">
        <v>-5.44005744159222E-2</v>
      </c>
      <c r="E12">
        <v>-0.16300922632217399</v>
      </c>
      <c r="F12">
        <v>-5.6697223335504497E-3</v>
      </c>
      <c r="H12">
        <f t="shared" si="0"/>
        <v>-5.6697223335504497E-3</v>
      </c>
      <c r="I12">
        <f t="shared" si="1"/>
        <v>0.16300922632217399</v>
      </c>
      <c r="J12">
        <f t="shared" si="2"/>
        <v>-5.44005744159222E-2</v>
      </c>
      <c r="K12">
        <f t="shared" si="3"/>
        <v>-0.55159246921539296</v>
      </c>
      <c r="L12">
        <f t="shared" si="4"/>
        <v>-0.29847210645675698</v>
      </c>
      <c r="M12">
        <f t="shared" si="5"/>
        <v>-0.38318055868148798</v>
      </c>
    </row>
    <row r="13" spans="1:13" x14ac:dyDescent="0.25">
      <c r="A13">
        <v>-0.38281130790710399</v>
      </c>
      <c r="B13">
        <v>0.200562968850136</v>
      </c>
      <c r="C13">
        <v>-0.53685086965560902</v>
      </c>
      <c r="D13">
        <v>-3.7582073360681499E-2</v>
      </c>
      <c r="E13">
        <v>-0.16158325970172899</v>
      </c>
      <c r="F13">
        <v>2.9093888588249701E-3</v>
      </c>
      <c r="H13">
        <f t="shared" si="0"/>
        <v>2.9093888588249701E-3</v>
      </c>
      <c r="I13">
        <f t="shared" si="1"/>
        <v>0.16158325970172899</v>
      </c>
      <c r="J13">
        <f t="shared" si="2"/>
        <v>-3.7582073360681499E-2</v>
      </c>
      <c r="K13">
        <f t="shared" si="3"/>
        <v>-0.53685086965560902</v>
      </c>
      <c r="L13">
        <f t="shared" si="4"/>
        <v>-0.200562968850136</v>
      </c>
      <c r="M13">
        <f t="shared" si="5"/>
        <v>-0.38281130790710399</v>
      </c>
    </row>
    <row r="14" spans="1:13" x14ac:dyDescent="0.25">
      <c r="A14">
        <v>-0.359762072563171</v>
      </c>
      <c r="B14">
        <v>0.24365806579589799</v>
      </c>
      <c r="C14">
        <v>-0.49502161145210299</v>
      </c>
      <c r="D14">
        <v>-4.4777002185583101E-2</v>
      </c>
      <c r="E14">
        <v>-0.14788705110549899</v>
      </c>
      <c r="F14">
        <v>-6.0013111215084802E-4</v>
      </c>
      <c r="H14">
        <f t="shared" si="0"/>
        <v>-6.0013111215084802E-4</v>
      </c>
      <c r="I14">
        <f t="shared" si="1"/>
        <v>0.14788705110549899</v>
      </c>
      <c r="J14">
        <f t="shared" si="2"/>
        <v>-4.4777002185583101E-2</v>
      </c>
      <c r="K14">
        <f t="shared" si="3"/>
        <v>-0.49502161145210299</v>
      </c>
      <c r="L14">
        <f t="shared" si="4"/>
        <v>-0.24365806579589799</v>
      </c>
      <c r="M14">
        <f t="shared" si="5"/>
        <v>-0.359762072563171</v>
      </c>
    </row>
    <row r="15" spans="1:13" x14ac:dyDescent="0.25">
      <c r="H15">
        <f t="shared" si="0"/>
        <v>0</v>
      </c>
      <c r="I15">
        <f t="shared" si="1"/>
        <v>0</v>
      </c>
      <c r="J15">
        <f t="shared" si="2"/>
        <v>0</v>
      </c>
      <c r="K15">
        <f t="shared" si="3"/>
        <v>0</v>
      </c>
      <c r="L15">
        <f t="shared" si="4"/>
        <v>0</v>
      </c>
      <c r="M15">
        <f t="shared" si="5"/>
        <v>0</v>
      </c>
    </row>
    <row r="16" spans="1:13" x14ac:dyDescent="0.25">
      <c r="H16">
        <f t="shared" si="0"/>
        <v>0</v>
      </c>
      <c r="I16">
        <f t="shared" si="1"/>
        <v>0</v>
      </c>
      <c r="J16">
        <f t="shared" si="2"/>
        <v>0</v>
      </c>
      <c r="K16">
        <f t="shared" si="3"/>
        <v>0</v>
      </c>
      <c r="L16">
        <f t="shared" si="4"/>
        <v>0</v>
      </c>
      <c r="M16">
        <f t="shared" si="5"/>
        <v>0</v>
      </c>
    </row>
    <row r="17" spans="8:13" x14ac:dyDescent="0.25">
      <c r="H17">
        <f t="shared" si="0"/>
        <v>0</v>
      </c>
      <c r="I17">
        <f t="shared" si="1"/>
        <v>0</v>
      </c>
      <c r="J17">
        <f t="shared" si="2"/>
        <v>0</v>
      </c>
      <c r="K17">
        <f t="shared" si="3"/>
        <v>0</v>
      </c>
      <c r="L17">
        <f t="shared" si="4"/>
        <v>0</v>
      </c>
      <c r="M17">
        <f t="shared" si="5"/>
        <v>0</v>
      </c>
    </row>
    <row r="18" spans="8:13" x14ac:dyDescent="0.25">
      <c r="H18">
        <f t="shared" si="0"/>
        <v>0</v>
      </c>
      <c r="I18">
        <f t="shared" si="1"/>
        <v>0</v>
      </c>
      <c r="J18">
        <f t="shared" si="2"/>
        <v>0</v>
      </c>
      <c r="K18">
        <f t="shared" si="3"/>
        <v>0</v>
      </c>
      <c r="L18">
        <f t="shared" si="4"/>
        <v>0</v>
      </c>
      <c r="M18">
        <f t="shared" si="5"/>
        <v>0</v>
      </c>
    </row>
    <row r="19" spans="8:13" x14ac:dyDescent="0.25">
      <c r="H19">
        <f t="shared" si="0"/>
        <v>0</v>
      </c>
      <c r="I19">
        <f t="shared" si="1"/>
        <v>0</v>
      </c>
      <c r="J19">
        <f t="shared" si="2"/>
        <v>0</v>
      </c>
      <c r="K19">
        <f t="shared" si="3"/>
        <v>0</v>
      </c>
      <c r="L19">
        <f t="shared" si="4"/>
        <v>0</v>
      </c>
      <c r="M19">
        <f t="shared" si="5"/>
        <v>0</v>
      </c>
    </row>
    <row r="20" spans="8:13" x14ac:dyDescent="0.25">
      <c r="H20">
        <f t="shared" si="0"/>
        <v>0</v>
      </c>
      <c r="I20">
        <f t="shared" si="1"/>
        <v>0</v>
      </c>
      <c r="J20">
        <f t="shared" si="2"/>
        <v>0</v>
      </c>
      <c r="K20">
        <f t="shared" si="3"/>
        <v>0</v>
      </c>
      <c r="L20">
        <f t="shared" si="4"/>
        <v>0</v>
      </c>
      <c r="M20">
        <f t="shared" si="5"/>
        <v>0</v>
      </c>
    </row>
    <row r="21" spans="8:13" x14ac:dyDescent="0.25">
      <c r="H21">
        <f t="shared" si="0"/>
        <v>0</v>
      </c>
      <c r="I21">
        <f t="shared" si="1"/>
        <v>0</v>
      </c>
      <c r="J21">
        <f t="shared" si="2"/>
        <v>0</v>
      </c>
      <c r="K21">
        <f t="shared" si="3"/>
        <v>0</v>
      </c>
      <c r="L21">
        <f t="shared" si="4"/>
        <v>0</v>
      </c>
      <c r="M21">
        <f t="shared" si="5"/>
        <v>0</v>
      </c>
    </row>
    <row r="22" spans="8:13" x14ac:dyDescent="0.25">
      <c r="H22">
        <f t="shared" si="0"/>
        <v>0</v>
      </c>
      <c r="I22">
        <f t="shared" si="1"/>
        <v>0</v>
      </c>
      <c r="J22">
        <f t="shared" si="2"/>
        <v>0</v>
      </c>
      <c r="K22">
        <f t="shared" si="3"/>
        <v>0</v>
      </c>
      <c r="L22">
        <f t="shared" si="4"/>
        <v>0</v>
      </c>
      <c r="M22">
        <f t="shared" si="5"/>
        <v>0</v>
      </c>
    </row>
    <row r="23" spans="8:13" x14ac:dyDescent="0.25">
      <c r="H23">
        <f t="shared" si="0"/>
        <v>0</v>
      </c>
      <c r="I23">
        <f t="shared" si="1"/>
        <v>0</v>
      </c>
      <c r="J23">
        <f t="shared" si="2"/>
        <v>0</v>
      </c>
      <c r="K23">
        <f t="shared" si="3"/>
        <v>0</v>
      </c>
      <c r="L23">
        <f t="shared" si="4"/>
        <v>0</v>
      </c>
      <c r="M23">
        <f t="shared" si="5"/>
        <v>0</v>
      </c>
    </row>
    <row r="24" spans="8:13" x14ac:dyDescent="0.25">
      <c r="H24">
        <f t="shared" si="0"/>
        <v>0</v>
      </c>
      <c r="I24">
        <f t="shared" si="1"/>
        <v>0</v>
      </c>
      <c r="J24">
        <f t="shared" si="2"/>
        <v>0</v>
      </c>
      <c r="K24">
        <f t="shared" si="3"/>
        <v>0</v>
      </c>
      <c r="L24">
        <f t="shared" si="4"/>
        <v>0</v>
      </c>
      <c r="M24">
        <f t="shared" si="5"/>
        <v>0</v>
      </c>
    </row>
    <row r="25" spans="8:13" x14ac:dyDescent="0.25">
      <c r="H25">
        <f t="shared" si="0"/>
        <v>0</v>
      </c>
      <c r="I25">
        <f t="shared" si="1"/>
        <v>0</v>
      </c>
      <c r="J25">
        <f t="shared" si="2"/>
        <v>0</v>
      </c>
      <c r="K25">
        <f t="shared" si="3"/>
        <v>0</v>
      </c>
      <c r="L25">
        <f t="shared" si="4"/>
        <v>0</v>
      </c>
      <c r="M25">
        <f t="shared" si="5"/>
        <v>0</v>
      </c>
    </row>
    <row r="26" spans="8:13" x14ac:dyDescent="0.25">
      <c r="H26">
        <f t="shared" si="0"/>
        <v>0</v>
      </c>
      <c r="I26">
        <f t="shared" si="1"/>
        <v>0</v>
      </c>
      <c r="J26">
        <f t="shared" si="2"/>
        <v>0</v>
      </c>
      <c r="K26">
        <f t="shared" si="3"/>
        <v>0</v>
      </c>
      <c r="L26">
        <f t="shared" si="4"/>
        <v>0</v>
      </c>
      <c r="M26">
        <f t="shared" si="5"/>
        <v>0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</vt:lpstr>
      <vt:lpstr>Distal Validation (no perturb)</vt:lpstr>
      <vt:lpstr>Distal Vali (0.6N perturb)</vt:lpstr>
      <vt:lpstr>Sheet1</vt:lpstr>
      <vt:lpstr>Sheet5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2025-10-19T23:25:04Z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