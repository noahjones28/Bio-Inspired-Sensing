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Calibration/Winch Calibration Curve/"/>
    </mc:Choice>
  </mc:AlternateContent>
  <xr:revisionPtr revIDLastSave="602" documentId="11_F25DC773A252ABDACC10483729DA651C5BDE58E9" xr6:coauthVersionLast="47" xr6:coauthVersionMax="47" xr10:uidLastSave="{53C5AE62-140F-4702-9B3F-C11A02A4F55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C40" i="1"/>
  <c r="C39" i="1"/>
  <c r="C36" i="1"/>
  <c r="C35" i="1"/>
  <c r="C34" i="1"/>
  <c r="C33" i="1"/>
  <c r="C30" i="1"/>
  <c r="C29" i="1"/>
  <c r="C28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A4" i="1"/>
  <c r="B4" i="1" s="1"/>
  <c r="D5" i="1"/>
  <c r="D6" i="1"/>
  <c r="D7" i="1"/>
  <c r="D8" i="1"/>
  <c r="D9" i="1"/>
  <c r="D10" i="1"/>
  <c r="D11" i="1"/>
  <c r="D4" i="1"/>
  <c r="E8" i="1" l="1"/>
  <c r="E9" i="1"/>
  <c r="E10" i="1"/>
  <c r="E11" i="1"/>
  <c r="E4" i="1"/>
  <c r="E7" i="1"/>
  <c r="E6" i="1"/>
  <c r="E5" i="1"/>
</calcChain>
</file>

<file path=xl/sharedStrings.xml><?xml version="1.0" encoding="utf-8"?>
<sst xmlns="http://schemas.openxmlformats.org/spreadsheetml/2006/main" count="31" uniqueCount="31">
  <si>
    <t>Screw + Nut Weight (g)</t>
  </si>
  <si>
    <t>Weight (g)</t>
  </si>
  <si>
    <t>Force (N)</t>
  </si>
  <si>
    <t>Measured Load Cell Force (N)</t>
  </si>
  <si>
    <t>Winch 2</t>
  </si>
  <si>
    <t>Trial 1</t>
  </si>
  <si>
    <t>Trial 2</t>
  </si>
  <si>
    <t>Trial 3</t>
  </si>
  <si>
    <t>Total Force Applied</t>
  </si>
  <si>
    <t>Screw + Nut Weight (N)</t>
  </si>
  <si>
    <t>Total Force Applied (N)</t>
  </si>
  <si>
    <t>Mean Measured Force (N)</t>
  </si>
  <si>
    <t>Std Dev</t>
  </si>
  <si>
    <t>Ideal (1:1)</t>
  </si>
  <si>
    <t>Regression Fit</t>
  </si>
  <si>
    <t>Key Calibration Statistics</t>
  </si>
  <si>
    <t>Linear Regression</t>
  </si>
  <si>
    <t xml:space="preserve">  Slope</t>
  </si>
  <si>
    <t xml:space="preserve">  Intercept</t>
  </si>
  <si>
    <t xml:space="preserve">  R²</t>
  </si>
  <si>
    <t>Accuracy Metrics</t>
  </si>
  <si>
    <t xml:space="preserve">  Mean Absolute Error (N)</t>
  </si>
  <si>
    <t xml:space="preserve">  RMSE (N)</t>
  </si>
  <si>
    <t xml:space="preserve">  Max Absolute Error (N)</t>
  </si>
  <si>
    <t xml:space="preserve">  Mean % Error</t>
  </si>
  <si>
    <t>Repeatability</t>
  </si>
  <si>
    <t xml:space="preserve">  Avg Std Dev (N)</t>
  </si>
  <si>
    <t xml:space="preserve">  Avg Coeff. of Variation</t>
  </si>
  <si>
    <t>Chart Data</t>
  </si>
  <si>
    <t>MAE Label X</t>
  </si>
  <si>
    <t>MAE Label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</si>
</sst>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000"/>
    <numFmt numFmtId="167" formatCode="0.00&quot;%&quot;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scheme val="minor"/>
    </font>
    <font>
      <b/>
      <sz val="13"/>
      <color rgb="FFFFFFFF"/>
      <name val="Calibri"/>
      <scheme val="minor"/>
    </font>
    <font>
      <b/>
      <i/>
      <sz val="10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375623"/>
      <name val="Calibri"/>
      <scheme val="minor"/>
    </font>
    <font>
      <b/>
      <sz val="12"/>
      <color rgb="FFFFFFFF"/>
      <name val="Calibri"/>
      <scheme val="minor"/>
    </font>
    <font>
      <b/>
      <sz val="10"/>
      <color rgb="FF375623"/>
      <name val="Calibri"/>
      <family val="2"/>
      <scheme val="minor"/>
    </font>
    <font>
      <sz val="10"/>
      <color rgb="FF333333"/>
      <name val="Calibri"/>
      <family val="2"/>
      <scheme val="minor"/>
    </font>
    <font>
      <sz val="4"/>
      <color theme="1"/>
      <name val="Calibri"/>
      <family val="2"/>
      <scheme val="minor"/>
    </font>
    <font>
      <b/>
      <i/>
      <sz val="11"/>
      <color rgb="FF1F4E79"/>
      <name val="Calibri"/>
      <family val="2"/>
      <scheme val="minor"/>
    </font>
    <font>
      <b/>
      <sz val="8"/>
      <color rgb="FFFFFFFF"/>
      <name val="Calibri"/>
      <scheme val="minor"/>
    </font>
    <font>
      <sz val="8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medium">
        <color rgb="FF1F4E79"/>
      </top>
      <bottom/>
      <diagonal/>
    </border>
    <border>
      <left/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/>
      <top style="thin">
        <color rgb="FFB8CCE4"/>
      </top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 style="thin">
        <color rgb="FFB8CCE4"/>
      </right>
      <top/>
      <bottom style="thin">
        <color rgb="FFB8CCE4"/>
      </bottom>
      <diagonal/>
    </border>
    <border>
      <left style="medium">
        <color rgb="FF1F4E79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4E79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 style="thin">
        <color rgb="FFB8CCE4"/>
      </left>
      <right style="medium">
        <color rgb="FF1F4E79"/>
      </right>
      <top/>
      <bottom style="thin">
        <color rgb="FFB8CCE4"/>
      </bottom>
      <diagonal/>
    </border>
    <border>
      <left style="thin">
        <color rgb="FFB8CCE4"/>
      </left>
      <right style="medium">
        <color rgb="FF1F4E79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medium">
        <color rgb="FF1F4E79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/>
      <bottom style="medium">
        <color rgb="FF1F4E79"/>
      </bottom>
      <diagonal/>
    </border>
    <border>
      <left style="medium">
        <color rgb="FF1F4E79"/>
      </left>
      <right style="thin">
        <color rgb="FFB8CCE4"/>
      </right>
      <top/>
      <bottom style="medium">
        <color rgb="FF1F4E79"/>
      </bottom>
      <diagonal/>
    </border>
    <border>
      <left style="thin">
        <color rgb="FFB8CCE4"/>
      </left>
      <right/>
      <top/>
      <bottom style="medium">
        <color rgb="FF1F4E79"/>
      </bottom>
      <diagonal/>
    </border>
    <border>
      <left/>
      <right style="thin">
        <color rgb="FFB8CCE4"/>
      </right>
      <top/>
      <bottom style="medium">
        <color rgb="FF1F4E79"/>
      </bottom>
      <diagonal/>
    </border>
    <border>
      <left style="thin">
        <color rgb="FFB8CCE4"/>
      </left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8CCE4"/>
      </right>
      <top style="medium">
        <color rgb="FF1F4E79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medium">
        <color rgb="FF1F4E79"/>
      </top>
      <bottom style="medium">
        <color rgb="FF1F4E79"/>
      </bottom>
      <diagonal/>
    </border>
    <border>
      <left style="thin">
        <color rgb="FFB8CCE4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 style="medium">
        <color rgb="FF375623"/>
      </left>
      <right/>
      <top/>
      <bottom/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/>
      <right style="medium">
        <color rgb="FF375623"/>
      </right>
      <top/>
      <bottom/>
      <diagonal/>
    </border>
    <border>
      <left/>
      <right style="medium">
        <color rgb="FF375623"/>
      </right>
      <top/>
      <bottom style="medium">
        <color rgb="FF375623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2" fillId="0" borderId="0" xfId="0" applyFont="1"/>
    <xf numFmtId="1" fontId="2" fillId="7" borderId="6" xfId="0" applyNumberFormat="1" applyFon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0" fontId="2" fillId="0" borderId="8" xfId="0" applyFont="1" applyBorder="1"/>
    <xf numFmtId="1" fontId="2" fillId="8" borderId="10" xfId="0" applyNumberFormat="1" applyFont="1" applyFill="1" applyBorder="1" applyAlignment="1">
      <alignment horizontal="center"/>
    </xf>
    <xf numFmtId="164" fontId="2" fillId="8" borderId="10" xfId="0" applyNumberFormat="1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6" borderId="15" xfId="0" applyFont="1" applyFill="1" applyBorder="1"/>
    <xf numFmtId="0" fontId="2" fillId="6" borderId="16" xfId="0" applyFont="1" applyFill="1" applyBorder="1"/>
    <xf numFmtId="2" fontId="2" fillId="7" borderId="20" xfId="0" applyNumberFormat="1" applyFont="1" applyFill="1" applyBorder="1" applyAlignment="1">
      <alignment horizontal="center"/>
    </xf>
    <xf numFmtId="2" fontId="2" fillId="8" borderId="20" xfId="0" applyNumberFormat="1" applyFont="1" applyFill="1" applyBorder="1" applyAlignment="1">
      <alignment horizontal="center"/>
    </xf>
    <xf numFmtId="2" fontId="2" fillId="8" borderId="21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164" fontId="2" fillId="8" borderId="7" xfId="0" applyNumberFormat="1" applyFont="1" applyFill="1" applyBorder="1" applyAlignment="1">
      <alignment horizontal="center"/>
    </xf>
    <xf numFmtId="164" fontId="2" fillId="8" borderId="11" xfId="0" applyNumberFormat="1" applyFont="1" applyFill="1" applyBorder="1" applyAlignment="1">
      <alignment horizontal="center"/>
    </xf>
    <xf numFmtId="2" fontId="2" fillId="7" borderId="5" xfId="0" applyNumberFormat="1" applyFont="1" applyFill="1" applyBorder="1" applyAlignment="1">
      <alignment horizontal="center"/>
    </xf>
    <xf numFmtId="2" fontId="2" fillId="8" borderId="5" xfId="0" applyNumberFormat="1" applyFont="1" applyFill="1" applyBorder="1" applyAlignment="1">
      <alignment horizontal="center"/>
    </xf>
    <xf numFmtId="2" fontId="2" fillId="8" borderId="9" xfId="0" applyNumberFormat="1" applyFont="1" applyFill="1" applyBorder="1" applyAlignment="1">
      <alignment horizontal="center"/>
    </xf>
    <xf numFmtId="2" fontId="2" fillId="7" borderId="15" xfId="0" applyNumberFormat="1" applyFont="1" applyFill="1" applyBorder="1" applyAlignment="1">
      <alignment horizontal="center"/>
    </xf>
    <xf numFmtId="2" fontId="2" fillId="8" borderId="15" xfId="0" applyNumberFormat="1" applyFont="1" applyFill="1" applyBorder="1" applyAlignment="1">
      <alignment horizontal="center"/>
    </xf>
    <xf numFmtId="2" fontId="2" fillId="8" borderId="16" xfId="0" applyNumberFormat="1" applyFont="1" applyFill="1" applyBorder="1" applyAlignment="1">
      <alignment horizontal="center"/>
    </xf>
    <xf numFmtId="164" fontId="6" fillId="5" borderId="14" xfId="0" applyNumberFormat="1" applyFont="1" applyFill="1" applyBorder="1" applyAlignment="1">
      <alignment horizontal="center"/>
    </xf>
    <xf numFmtId="1" fontId="2" fillId="7" borderId="3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2" fontId="2" fillId="7" borderId="14" xfId="0" applyNumberFormat="1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2" fontId="2" fillId="7" borderId="19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wrapText="1"/>
    </xf>
    <xf numFmtId="0" fontId="5" fillId="4" borderId="22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horizontal="center" wrapText="1"/>
    </xf>
    <xf numFmtId="0" fontId="5" fillId="3" borderId="23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wrapText="1"/>
    </xf>
    <xf numFmtId="164" fontId="0" fillId="7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164" fontId="0" fillId="7" borderId="15" xfId="0" applyNumberFormat="1" applyFill="1" applyBorder="1" applyAlignment="1">
      <alignment horizontal="center"/>
    </xf>
    <xf numFmtId="164" fontId="0" fillId="8" borderId="15" xfId="0" applyNumberFormat="1" applyFill="1" applyBorder="1" applyAlignment="1">
      <alignment horizontal="center"/>
    </xf>
    <xf numFmtId="164" fontId="0" fillId="8" borderId="16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0" fillId="8" borderId="21" xfId="0" applyNumberFormat="1" applyFill="1" applyBorder="1" applyAlignment="1">
      <alignment horizontal="center"/>
    </xf>
    <xf numFmtId="164" fontId="0" fillId="7" borderId="14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0" fontId="5" fillId="2" borderId="2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7" fillId="4" borderId="30" xfId="0" applyFont="1" applyFill="1" applyBorder="1" applyAlignment="1">
      <alignment horizontal="left"/>
    </xf>
    <xf numFmtId="0" fontId="0" fillId="5" borderId="31" xfId="0" applyFill="1" applyBorder="1"/>
    <xf numFmtId="0" fontId="8" fillId="5" borderId="31" xfId="0" applyFont="1" applyFill="1" applyBorder="1"/>
    <xf numFmtId="0" fontId="9" fillId="0" borderId="31" xfId="0" applyFont="1" applyBorder="1"/>
    <xf numFmtId="0" fontId="10" fillId="0" borderId="31" xfId="0" applyFont="1" applyBorder="1"/>
    <xf numFmtId="0" fontId="9" fillId="0" borderId="32" xfId="0" applyFont="1" applyBorder="1"/>
    <xf numFmtId="0" fontId="0" fillId="4" borderId="33" xfId="0" applyFill="1" applyBorder="1"/>
    <xf numFmtId="0" fontId="0" fillId="5" borderId="34" xfId="0" applyFill="1" applyBorder="1"/>
    <xf numFmtId="165" fontId="9" fillId="0" borderId="34" xfId="0" applyNumberFormat="1" applyFont="1" applyBorder="1" applyAlignment="1">
      <alignment horizontal="center"/>
    </xf>
    <xf numFmtId="166" fontId="9" fillId="0" borderId="34" xfId="0" applyNumberFormat="1" applyFont="1" applyBorder="1" applyAlignment="1">
      <alignment horizontal="center"/>
    </xf>
    <xf numFmtId="0" fontId="10" fillId="0" borderId="34" xfId="0" applyFont="1" applyBorder="1"/>
    <xf numFmtId="167" fontId="9" fillId="0" borderId="34" xfId="0" applyNumberFormat="1" applyFont="1" applyBorder="1" applyAlignment="1">
      <alignment horizontal="center"/>
    </xf>
    <xf numFmtId="167" fontId="9" fillId="0" borderId="35" xfId="0" applyNumberFormat="1" applyFont="1" applyBorder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 wrapText="1"/>
    </xf>
    <xf numFmtId="0" fontId="13" fillId="0" borderId="0" xfId="0" applyFont="1"/>
    <xf numFmtId="0" fontId="3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Cell Calibration Verification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Measured Force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Sheet1!$D$15:$D$22</c:f>
                <c:numCache>
                  <c:formatCode>General</c:formatCode>
                  <c:ptCount val="8"/>
                  <c:pt idx="0">
                    <c:v>5.7735026918962623E-3</c:v>
                  </c:pt>
                  <c:pt idx="1">
                    <c:v>5.507570547286101E-2</c:v>
                  </c:pt>
                  <c:pt idx="2">
                    <c:v>1.527525231651948E-2</c:v>
                  </c:pt>
                  <c:pt idx="3">
                    <c:v>4.7258156262526066E-2</c:v>
                  </c:pt>
                  <c:pt idx="4">
                    <c:v>3.0000000000000027E-2</c:v>
                  </c:pt>
                  <c:pt idx="5">
                    <c:v>1.0000000000000009E-2</c:v>
                  </c:pt>
                  <c:pt idx="6">
                    <c:v>2.0816659994661344E-2</c:v>
                  </c:pt>
                  <c:pt idx="7">
                    <c:v>2.0816659994661344E-2</c:v>
                  </c:pt>
                </c:numCache>
              </c:numRef>
            </c:plus>
            <c:minus>
              <c:numRef>
                <c:f>Sheet1!$D$15:$D$22</c:f>
                <c:numCache>
                  <c:formatCode>General</c:formatCode>
                  <c:ptCount val="8"/>
                  <c:pt idx="0">
                    <c:v>5.7735026918962623E-3</c:v>
                  </c:pt>
                  <c:pt idx="1">
                    <c:v>5.507570547286101E-2</c:v>
                  </c:pt>
                  <c:pt idx="2">
                    <c:v>1.527525231651948E-2</c:v>
                  </c:pt>
                  <c:pt idx="3">
                    <c:v>4.7258156262526066E-2</c:v>
                  </c:pt>
                  <c:pt idx="4">
                    <c:v>3.0000000000000027E-2</c:v>
                  </c:pt>
                  <c:pt idx="5">
                    <c:v>1.0000000000000009E-2</c:v>
                  </c:pt>
                  <c:pt idx="6">
                    <c:v>2.0816659994661344E-2</c:v>
                  </c:pt>
                  <c:pt idx="7">
                    <c:v>2.0816659994661344E-2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Sheet1!$B$15:$B$22</c:f>
              <c:numCache>
                <c:formatCode>0.0000</c:formatCode>
                <c:ptCount val="8"/>
                <c:pt idx="0">
                  <c:v>0.24387660000000003</c:v>
                </c:pt>
                <c:pt idx="1">
                  <c:v>0.44007660000000004</c:v>
                </c:pt>
                <c:pt idx="2">
                  <c:v>0.63627659999999997</c:v>
                </c:pt>
                <c:pt idx="3">
                  <c:v>0.83247660000000001</c:v>
                </c:pt>
                <c:pt idx="4">
                  <c:v>1.0286766000000001</c:v>
                </c:pt>
                <c:pt idx="5">
                  <c:v>1.1267766000000001</c:v>
                </c:pt>
                <c:pt idx="6">
                  <c:v>1.3229766000000001</c:v>
                </c:pt>
                <c:pt idx="7">
                  <c:v>1.5191766</c:v>
                </c:pt>
              </c:numCache>
            </c:numRef>
          </c:xVal>
          <c:yVal>
            <c:numRef>
              <c:f>Sheet1!$C$15:$C$22</c:f>
              <c:numCache>
                <c:formatCode>0.0000</c:formatCode>
                <c:ptCount val="8"/>
                <c:pt idx="0">
                  <c:v>0.27333333333333337</c:v>
                </c:pt>
                <c:pt idx="1">
                  <c:v>0.43333333333333335</c:v>
                </c:pt>
                <c:pt idx="2">
                  <c:v>0.6333333333333333</c:v>
                </c:pt>
                <c:pt idx="3">
                  <c:v>0.80666666666666664</c:v>
                </c:pt>
                <c:pt idx="4">
                  <c:v>0.98</c:v>
                </c:pt>
                <c:pt idx="5">
                  <c:v>1.08</c:v>
                </c:pt>
                <c:pt idx="6">
                  <c:v>1.2766666666666666</c:v>
                </c:pt>
                <c:pt idx="7">
                  <c:v>1.4466666666666665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9-4581-8B06-F11458F2DA9B}"/>
            </c:ext>
          </c:extLst>
        </c:ser>
        <c:ser>
          <c:idx val="1"/>
          <c:order val="1"/>
          <c:tx>
            <c:v>Ideal (1:1)</c:v>
          </c:tx>
          <c:spPr>
            <a:ln w="1905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Sheet1!$B$15:$B$22</c:f>
              <c:numCache>
                <c:formatCode>0.0000</c:formatCode>
                <c:ptCount val="8"/>
                <c:pt idx="0">
                  <c:v>0.24387660000000003</c:v>
                </c:pt>
                <c:pt idx="1">
                  <c:v>0.44007660000000004</c:v>
                </c:pt>
                <c:pt idx="2">
                  <c:v>0.63627659999999997</c:v>
                </c:pt>
                <c:pt idx="3">
                  <c:v>0.83247660000000001</c:v>
                </c:pt>
                <c:pt idx="4">
                  <c:v>1.0286766000000001</c:v>
                </c:pt>
                <c:pt idx="5">
                  <c:v>1.1267766000000001</c:v>
                </c:pt>
                <c:pt idx="6">
                  <c:v>1.3229766000000001</c:v>
                </c:pt>
                <c:pt idx="7">
                  <c:v>1.5191766</c:v>
                </c:pt>
              </c:numCache>
            </c:numRef>
          </c:xVal>
          <c:yVal>
            <c:numRef>
              <c:f>Sheet1!$E$15:$E$22</c:f>
              <c:numCache>
                <c:formatCode>0.0000</c:formatCode>
                <c:ptCount val="8"/>
                <c:pt idx="0">
                  <c:v>0.24387660000000003</c:v>
                </c:pt>
                <c:pt idx="1">
                  <c:v>0.44007660000000004</c:v>
                </c:pt>
                <c:pt idx="2">
                  <c:v>0.63627659999999997</c:v>
                </c:pt>
                <c:pt idx="3">
                  <c:v>0.83247660000000001</c:v>
                </c:pt>
                <c:pt idx="4">
                  <c:v>1.0286766000000001</c:v>
                </c:pt>
                <c:pt idx="5">
                  <c:v>1.1267766000000001</c:v>
                </c:pt>
                <c:pt idx="6">
                  <c:v>1.3229766000000001</c:v>
                </c:pt>
                <c:pt idx="7">
                  <c:v>1.5191766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89-4581-8B06-F11458F2DA9B}"/>
            </c:ext>
          </c:extLst>
        </c:ser>
        <c:ser>
          <c:idx val="2"/>
          <c:order val="2"/>
          <c:tx>
            <c:v>Regression Fit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Sheet1!$B$15:$B$22</c:f>
              <c:numCache>
                <c:formatCode>0.0000</c:formatCode>
                <c:ptCount val="8"/>
                <c:pt idx="0">
                  <c:v>0.24387660000000003</c:v>
                </c:pt>
                <c:pt idx="1">
                  <c:v>0.44007660000000004</c:v>
                </c:pt>
                <c:pt idx="2">
                  <c:v>0.63627659999999997</c:v>
                </c:pt>
                <c:pt idx="3">
                  <c:v>0.83247660000000001</c:v>
                </c:pt>
                <c:pt idx="4">
                  <c:v>1.0286766000000001</c:v>
                </c:pt>
                <c:pt idx="5">
                  <c:v>1.1267766000000001</c:v>
                </c:pt>
                <c:pt idx="6">
                  <c:v>1.3229766000000001</c:v>
                </c:pt>
                <c:pt idx="7">
                  <c:v>1.5191766</c:v>
                </c:pt>
              </c:numCache>
            </c:numRef>
          </c:xVal>
          <c:yVal>
            <c:numRef>
              <c:f>Sheet1!$F$15:$F$22</c:f>
              <c:numCache>
                <c:formatCode>0.0000</c:formatCode>
                <c:ptCount val="8"/>
                <c:pt idx="0">
                  <c:v>0.26289544235924944</c:v>
                </c:pt>
                <c:pt idx="1">
                  <c:v>0.44504021447721187</c:v>
                </c:pt>
                <c:pt idx="2">
                  <c:v>0.6271849865951743</c:v>
                </c:pt>
                <c:pt idx="3">
                  <c:v>0.80932975871313673</c:v>
                </c:pt>
                <c:pt idx="4">
                  <c:v>0.99147453083109915</c:v>
                </c:pt>
                <c:pt idx="5">
                  <c:v>1.0825469168900805</c:v>
                </c:pt>
                <c:pt idx="6">
                  <c:v>1.2646916890080426</c:v>
                </c:pt>
                <c:pt idx="7">
                  <c:v>1.4468364611260052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89-4581-8B06-F11458F2DA9B}"/>
            </c:ext>
          </c:extLst>
        </c:ser>
        <c:ser>
          <c:idx val="3"/>
          <c:order val="3"/>
          <c:tx>
            <c:v>_annotation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231231231231144E-2"/>
                  <c:y val="3.88890067561257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1F4E7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MAE = 0.0349 N</a:t>
                    </a:r>
                  </a:p>
                </c:rich>
              </c:tx>
              <c:spPr>
                <a:noFill/>
                <a:ln>
                  <a:solidFill>
                    <a:srgbClr val="1F4E79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1F4E7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91544300205717"/>
                      <c:h val="9.65000211067412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4C89-4581-8B06-F11458F2DA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Sheet1!$G$15</c:f>
              <c:numCache>
                <c:formatCode>General</c:formatCode>
                <c:ptCount val="1"/>
                <c:pt idx="0">
                  <c:v>1.25</c:v>
                </c:pt>
              </c:numCache>
            </c:numRef>
          </c:xVal>
          <c:yVal>
            <c:numRef>
              <c:f>Sheet1!$H$15</c:f>
              <c:numCache>
                <c:formatCode>General</c:formatCode>
                <c:ptCount val="1"/>
                <c:pt idx="0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89-4581-8B06-F11458F2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40272"/>
        <c:axId val="650542192"/>
      </c:scatterChart>
      <c:valAx>
        <c:axId val="6505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Force Applied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42192"/>
        <c:crosses val="autoZero"/>
        <c:crossBetween val="midCat"/>
      </c:valAx>
      <c:valAx>
        <c:axId val="6505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Load Cell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F4E7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29</xdr:row>
      <xdr:rowOff>180975</xdr:rowOff>
    </xdr:from>
    <xdr:to>
      <xdr:col>9</xdr:col>
      <xdr:colOff>533400</xdr:colOff>
      <xdr:row>53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0C5E5-7B4E-F0C5-A51C-D80F6664D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9C2FC1-82F5-4847-9639-639165E461AE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B21" workbookViewId="0">
      <selection activeCell="M42" sqref="M42"/>
    </sheetView>
  </sheetViews>
  <sheetFormatPr defaultRowHeight="15" outlineLevelRow="1" x14ac:dyDescent="0.25"/>
  <cols>
    <col min="1" max="1" width="21.5703125" bestFit="1" customWidth="1"/>
    <col min="2" max="2" width="30.42578125" customWidth="1"/>
    <col min="3" max="3" width="19" customWidth="1"/>
    <col min="4" max="4" width="14.28515625" customWidth="1"/>
    <col min="5" max="5" width="17.5703125" customWidth="1"/>
    <col min="6" max="6" width="17.140625" customWidth="1"/>
    <col min="7" max="8" width="13.7109375" customWidth="1"/>
  </cols>
  <sheetData>
    <row r="1" spans="1:8" ht="26.1" customHeight="1" x14ac:dyDescent="0.3">
      <c r="A1" s="1"/>
      <c r="B1" s="10"/>
      <c r="C1" s="7"/>
      <c r="D1" s="7"/>
      <c r="E1" s="7"/>
      <c r="F1" s="72" t="s">
        <v>4</v>
      </c>
      <c r="G1" s="73"/>
      <c r="H1" s="74"/>
    </row>
    <row r="2" spans="1:8" ht="20.100000000000001" customHeight="1" x14ac:dyDescent="0.25">
      <c r="A2" s="1"/>
      <c r="B2" s="11"/>
      <c r="C2" s="2"/>
      <c r="D2" s="2"/>
      <c r="E2" s="2"/>
      <c r="F2" s="75" t="s">
        <v>3</v>
      </c>
      <c r="G2" s="76"/>
      <c r="H2" s="77"/>
    </row>
    <row r="3" spans="1:8" ht="42" customHeight="1" thickBot="1" x14ac:dyDescent="0.3">
      <c r="A3" s="1" t="s">
        <v>0</v>
      </c>
      <c r="B3" s="33" t="s">
        <v>9</v>
      </c>
      <c r="C3" s="34" t="s">
        <v>1</v>
      </c>
      <c r="D3" s="34" t="s">
        <v>2</v>
      </c>
      <c r="E3" s="35" t="s">
        <v>8</v>
      </c>
      <c r="F3" s="36" t="s">
        <v>5</v>
      </c>
      <c r="G3" s="37" t="s">
        <v>6</v>
      </c>
      <c r="H3" s="38" t="s">
        <v>7</v>
      </c>
    </row>
    <row r="4" spans="1:8" ht="20.100000000000001" customHeight="1" x14ac:dyDescent="0.25">
      <c r="A4" s="1">
        <f>4.86</f>
        <v>4.8600000000000003</v>
      </c>
      <c r="B4" s="26">
        <f>(A4/1000)*9.81</f>
        <v>4.7676600000000006E-2</v>
      </c>
      <c r="C4" s="27">
        <v>20</v>
      </c>
      <c r="D4" s="28">
        <f>(C4/1000)*9.81</f>
        <v>0.19620000000000001</v>
      </c>
      <c r="E4" s="29">
        <f>$B$4+D4</f>
        <v>0.24387660000000003</v>
      </c>
      <c r="F4" s="30">
        <v>0.27</v>
      </c>
      <c r="G4" s="31">
        <v>0.28000000000000003</v>
      </c>
      <c r="H4" s="32">
        <v>0.27</v>
      </c>
    </row>
    <row r="5" spans="1:8" ht="20.100000000000001" customHeight="1" x14ac:dyDescent="0.25">
      <c r="A5" s="1"/>
      <c r="B5" s="12"/>
      <c r="C5" s="5">
        <v>40</v>
      </c>
      <c r="D5" s="6">
        <f t="shared" ref="D5:D11" si="0">(C5/1000)*9.81</f>
        <v>0.39240000000000003</v>
      </c>
      <c r="E5" s="18">
        <f t="shared" ref="E5:E11" si="1">$B$4+D5</f>
        <v>0.44007660000000004</v>
      </c>
      <c r="F5" s="24">
        <v>0.46</v>
      </c>
      <c r="G5" s="21">
        <v>0.37</v>
      </c>
      <c r="H5" s="15">
        <v>0.47</v>
      </c>
    </row>
    <row r="6" spans="1:8" ht="20.100000000000001" customHeight="1" x14ac:dyDescent="0.25">
      <c r="A6" s="1"/>
      <c r="B6" s="12"/>
      <c r="C6" s="3">
        <v>60</v>
      </c>
      <c r="D6" s="4">
        <f t="shared" si="0"/>
        <v>0.58860000000000001</v>
      </c>
      <c r="E6" s="17">
        <f t="shared" si="1"/>
        <v>0.63627659999999997</v>
      </c>
      <c r="F6" s="23">
        <v>0.63</v>
      </c>
      <c r="G6" s="20">
        <v>0.65</v>
      </c>
      <c r="H6" s="14">
        <v>0.62</v>
      </c>
    </row>
    <row r="7" spans="1:8" ht="20.100000000000001" customHeight="1" x14ac:dyDescent="0.25">
      <c r="A7" s="1"/>
      <c r="B7" s="12"/>
      <c r="C7" s="5">
        <v>80</v>
      </c>
      <c r="D7" s="6">
        <f t="shared" si="0"/>
        <v>0.78480000000000005</v>
      </c>
      <c r="E7" s="18">
        <f t="shared" si="1"/>
        <v>0.83247660000000001</v>
      </c>
      <c r="F7" s="24">
        <v>0.86</v>
      </c>
      <c r="G7" s="21">
        <v>0.77</v>
      </c>
      <c r="H7" s="15">
        <v>0.79</v>
      </c>
    </row>
    <row r="8" spans="1:8" ht="20.100000000000001" customHeight="1" x14ac:dyDescent="0.25">
      <c r="A8" s="1"/>
      <c r="B8" s="12"/>
      <c r="C8" s="3">
        <v>100</v>
      </c>
      <c r="D8" s="4">
        <f t="shared" si="0"/>
        <v>0.98100000000000009</v>
      </c>
      <c r="E8" s="17">
        <f t="shared" si="1"/>
        <v>1.0286766000000001</v>
      </c>
      <c r="F8" s="23">
        <v>0.98</v>
      </c>
      <c r="G8" s="20">
        <v>1.01</v>
      </c>
      <c r="H8" s="14">
        <v>0.95</v>
      </c>
    </row>
    <row r="9" spans="1:8" ht="20.100000000000001" customHeight="1" x14ac:dyDescent="0.25">
      <c r="A9" s="1"/>
      <c r="B9" s="12"/>
      <c r="C9" s="5">
        <v>110</v>
      </c>
      <c r="D9" s="6">
        <f t="shared" si="0"/>
        <v>1.0791000000000002</v>
      </c>
      <c r="E9" s="18">
        <f t="shared" si="1"/>
        <v>1.1267766000000001</v>
      </c>
      <c r="F9" s="24">
        <v>1.08</v>
      </c>
      <c r="G9" s="21">
        <v>1.07</v>
      </c>
      <c r="H9" s="15">
        <v>1.0900000000000001</v>
      </c>
    </row>
    <row r="10" spans="1:8" ht="20.100000000000001" customHeight="1" x14ac:dyDescent="0.25">
      <c r="A10" s="1"/>
      <c r="B10" s="12"/>
      <c r="C10" s="3">
        <v>130</v>
      </c>
      <c r="D10" s="4">
        <f t="shared" si="0"/>
        <v>1.2753000000000001</v>
      </c>
      <c r="E10" s="17">
        <f t="shared" si="1"/>
        <v>1.3229766000000001</v>
      </c>
      <c r="F10" s="23">
        <v>1.27</v>
      </c>
      <c r="G10" s="20">
        <v>1.26</v>
      </c>
      <c r="H10" s="14">
        <v>1.3</v>
      </c>
    </row>
    <row r="11" spans="1:8" ht="20.100000000000001" customHeight="1" thickBot="1" x14ac:dyDescent="0.3">
      <c r="A11" s="1"/>
      <c r="B11" s="13"/>
      <c r="C11" s="8">
        <v>150</v>
      </c>
      <c r="D11" s="9">
        <f t="shared" si="0"/>
        <v>1.4715</v>
      </c>
      <c r="E11" s="19">
        <f t="shared" si="1"/>
        <v>1.5191766</v>
      </c>
      <c r="F11" s="25">
        <v>1.47</v>
      </c>
      <c r="G11" s="22">
        <v>1.44</v>
      </c>
      <c r="H11" s="16">
        <v>1.43</v>
      </c>
    </row>
    <row r="13" spans="1:8" ht="15.75" outlineLevel="1" thickBot="1" x14ac:dyDescent="0.3">
      <c r="B13" s="69" t="s">
        <v>28</v>
      </c>
    </row>
    <row r="14" spans="1:8" s="40" customFormat="1" ht="30" customHeight="1" outlineLevel="1" thickBot="1" x14ac:dyDescent="0.3">
      <c r="B14" s="53" t="s">
        <v>10</v>
      </c>
      <c r="C14" s="54" t="s">
        <v>11</v>
      </c>
      <c r="D14" s="54" t="s">
        <v>12</v>
      </c>
      <c r="E14" s="54" t="s">
        <v>13</v>
      </c>
      <c r="F14" s="55" t="s">
        <v>14</v>
      </c>
      <c r="G14" s="70" t="s">
        <v>29</v>
      </c>
      <c r="H14" s="70" t="s">
        <v>30</v>
      </c>
    </row>
    <row r="15" spans="1:8" outlineLevel="1" x14ac:dyDescent="0.25">
      <c r="B15" s="50">
        <f t="shared" ref="B15:B22" si="2">E4</f>
        <v>0.24387660000000003</v>
      </c>
      <c r="C15" s="51">
        <f t="shared" ref="C15:C22" si="3">AVERAGE(F4:H4)</f>
        <v>0.27333333333333337</v>
      </c>
      <c r="D15" s="51">
        <f t="shared" ref="D15:D22" si="4">STDEV(F4:H4)</f>
        <v>5.7735026918962623E-3</v>
      </c>
      <c r="E15" s="51">
        <f t="shared" ref="E15:E22" si="5">E4</f>
        <v>0.24387660000000003</v>
      </c>
      <c r="F15" s="52">
        <f t="shared" ref="F15:F22" si="6">$C$28*B15+$C$29</f>
        <v>0.26289544235924944</v>
      </c>
      <c r="G15" s="71">
        <v>1.25</v>
      </c>
      <c r="H15" s="71">
        <v>0.4</v>
      </c>
    </row>
    <row r="16" spans="1:8" outlineLevel="1" x14ac:dyDescent="0.25">
      <c r="B16" s="45">
        <f t="shared" si="2"/>
        <v>0.44007660000000004</v>
      </c>
      <c r="C16" s="42">
        <f t="shared" si="3"/>
        <v>0.43333333333333335</v>
      </c>
      <c r="D16" s="42">
        <f t="shared" si="4"/>
        <v>5.507570547286101E-2</v>
      </c>
      <c r="E16" s="42">
        <f t="shared" si="5"/>
        <v>0.44007660000000004</v>
      </c>
      <c r="F16" s="48">
        <f t="shared" si="6"/>
        <v>0.44504021447721187</v>
      </c>
    </row>
    <row r="17" spans="2:6" outlineLevel="1" x14ac:dyDescent="0.25">
      <c r="B17" s="44">
        <f t="shared" si="2"/>
        <v>0.63627659999999997</v>
      </c>
      <c r="C17" s="41">
        <f t="shared" si="3"/>
        <v>0.6333333333333333</v>
      </c>
      <c r="D17" s="41">
        <f t="shared" si="4"/>
        <v>1.527525231651948E-2</v>
      </c>
      <c r="E17" s="41">
        <f t="shared" si="5"/>
        <v>0.63627659999999997</v>
      </c>
      <c r="F17" s="47">
        <f t="shared" si="6"/>
        <v>0.6271849865951743</v>
      </c>
    </row>
    <row r="18" spans="2:6" outlineLevel="1" x14ac:dyDescent="0.25">
      <c r="B18" s="45">
        <f t="shared" si="2"/>
        <v>0.83247660000000001</v>
      </c>
      <c r="C18" s="42">
        <f t="shared" si="3"/>
        <v>0.80666666666666664</v>
      </c>
      <c r="D18" s="42">
        <f t="shared" si="4"/>
        <v>4.7258156262526066E-2</v>
      </c>
      <c r="E18" s="42">
        <f t="shared" si="5"/>
        <v>0.83247660000000001</v>
      </c>
      <c r="F18" s="48">
        <f t="shared" si="6"/>
        <v>0.80932975871313673</v>
      </c>
    </row>
    <row r="19" spans="2:6" outlineLevel="1" x14ac:dyDescent="0.25">
      <c r="B19" s="44">
        <f t="shared" si="2"/>
        <v>1.0286766000000001</v>
      </c>
      <c r="C19" s="41">
        <f t="shared" si="3"/>
        <v>0.98</v>
      </c>
      <c r="D19" s="41">
        <f t="shared" si="4"/>
        <v>3.0000000000000027E-2</v>
      </c>
      <c r="E19" s="41">
        <f t="shared" si="5"/>
        <v>1.0286766000000001</v>
      </c>
      <c r="F19" s="47">
        <f t="shared" si="6"/>
        <v>0.99147453083109915</v>
      </c>
    </row>
    <row r="20" spans="2:6" outlineLevel="1" x14ac:dyDescent="0.25">
      <c r="B20" s="45">
        <f t="shared" si="2"/>
        <v>1.1267766000000001</v>
      </c>
      <c r="C20" s="42">
        <f t="shared" si="3"/>
        <v>1.08</v>
      </c>
      <c r="D20" s="42">
        <f t="shared" si="4"/>
        <v>1.0000000000000009E-2</v>
      </c>
      <c r="E20" s="42">
        <f t="shared" si="5"/>
        <v>1.1267766000000001</v>
      </c>
      <c r="F20" s="48">
        <f t="shared" si="6"/>
        <v>1.0825469168900805</v>
      </c>
    </row>
    <row r="21" spans="2:6" outlineLevel="1" x14ac:dyDescent="0.25">
      <c r="B21" s="44">
        <f t="shared" si="2"/>
        <v>1.3229766000000001</v>
      </c>
      <c r="C21" s="41">
        <f t="shared" si="3"/>
        <v>1.2766666666666666</v>
      </c>
      <c r="D21" s="41">
        <f t="shared" si="4"/>
        <v>2.0816659994661344E-2</v>
      </c>
      <c r="E21" s="41">
        <f t="shared" si="5"/>
        <v>1.3229766000000001</v>
      </c>
      <c r="F21" s="47">
        <f t="shared" si="6"/>
        <v>1.2646916890080426</v>
      </c>
    </row>
    <row r="22" spans="2:6" ht="15.75" outlineLevel="1" thickBot="1" x14ac:dyDescent="0.3">
      <c r="B22" s="46">
        <f t="shared" si="2"/>
        <v>1.5191766</v>
      </c>
      <c r="C22" s="43">
        <f t="shared" si="3"/>
        <v>1.4466666666666665</v>
      </c>
      <c r="D22" s="43">
        <f t="shared" si="4"/>
        <v>2.0816659994661344E-2</v>
      </c>
      <c r="E22" s="43">
        <f t="shared" si="5"/>
        <v>1.5191766</v>
      </c>
      <c r="F22" s="49">
        <f t="shared" si="6"/>
        <v>1.4468364611260052</v>
      </c>
    </row>
    <row r="24" spans="2:6" ht="15.75" thickBot="1" x14ac:dyDescent="0.3"/>
    <row r="25" spans="2:6" ht="15.75" x14ac:dyDescent="0.25">
      <c r="B25" s="56" t="s">
        <v>15</v>
      </c>
      <c r="C25" s="62"/>
      <c r="D25" s="39"/>
      <c r="E25" s="39"/>
      <c r="F25" s="39"/>
    </row>
    <row r="26" spans="2:6" x14ac:dyDescent="0.25">
      <c r="B26" s="57"/>
      <c r="C26" s="63"/>
    </row>
    <row r="27" spans="2:6" x14ac:dyDescent="0.25">
      <c r="B27" s="58" t="s">
        <v>16</v>
      </c>
      <c r="C27" s="63"/>
    </row>
    <row r="28" spans="2:6" x14ac:dyDescent="0.25">
      <c r="B28" s="59" t="s">
        <v>17</v>
      </c>
      <c r="C28" s="64">
        <f>SLOPE(C15:C22,B15:B22)</f>
        <v>0.92836275289481363</v>
      </c>
    </row>
    <row r="29" spans="2:6" x14ac:dyDescent="0.25">
      <c r="B29" s="59" t="s">
        <v>18</v>
      </c>
      <c r="C29" s="64">
        <f>INTERCEPT(C15:C22,B15:B22)</f>
        <v>3.64894906166221E-2</v>
      </c>
    </row>
    <row r="30" spans="2:6" x14ac:dyDescent="0.25">
      <c r="B30" s="59" t="s">
        <v>19</v>
      </c>
      <c r="C30" s="65">
        <f>RSQ(C15:C22,B15:B22)</f>
        <v>0.99950679318571178</v>
      </c>
    </row>
    <row r="31" spans="2:6" x14ac:dyDescent="0.25">
      <c r="B31" s="60"/>
      <c r="C31" s="66"/>
    </row>
    <row r="32" spans="2:6" x14ac:dyDescent="0.25">
      <c r="B32" s="58" t="s">
        <v>20</v>
      </c>
      <c r="C32" s="63"/>
    </row>
    <row r="33" spans="2:3" x14ac:dyDescent="0.25">
      <c r="B33" s="59" t="s">
        <v>21</v>
      </c>
      <c r="C33" s="64">
        <f>AVERAGE(ABS(C15-B15),ABS(C16-B16),ABS(C17-B17),ABS(C18-B18),ABS(C19-B19),ABS(C20-B20),ABS(C21-B21),ABS(C22-B22))</f>
        <v>3.4903283333333382E-2</v>
      </c>
    </row>
    <row r="34" spans="2:3" x14ac:dyDescent="0.25">
      <c r="B34" s="59" t="s">
        <v>22</v>
      </c>
      <c r="C34" s="64">
        <f>SQRT(AVERAGE((C15-B15)^2,(C16-B16)^2,(C17-B17)^2,(C18-B18)^2,(C19-B19)^2,(C20-B20)^2,(C21-B21)^2,(C22-B22)^2))</f>
        <v>4.115177443594227E-2</v>
      </c>
    </row>
    <row r="35" spans="2:3" x14ac:dyDescent="0.25">
      <c r="B35" s="59" t="s">
        <v>23</v>
      </c>
      <c r="C35" s="64">
        <f>MAX(ABS(C15-B15),ABS(C16-B16),ABS(C17-B17),ABS(C18-B18),ABS(C19-B19),ABS(C20-B20),ABS(C21-B21),ABS(C22-B22))</f>
        <v>7.2509933333333443E-2</v>
      </c>
    </row>
    <row r="36" spans="2:3" x14ac:dyDescent="0.25">
      <c r="B36" s="59" t="s">
        <v>24</v>
      </c>
      <c r="C36" s="67">
        <f>AVERAGE(ABS(C15-B15)/B15,ABS(C16-B16)/B16,ABS(C17-B17)/B17,ABS(C18-B18)/B18,ABS(C19-B19)/B19,ABS(C20-B20)/B20,ABS(C21-B21)/B21,ABS(C22-B22)/B22)*100</f>
        <v>4.2913160528430172</v>
      </c>
    </row>
    <row r="37" spans="2:3" x14ac:dyDescent="0.25">
      <c r="B37" s="60"/>
      <c r="C37" s="66"/>
    </row>
    <row r="38" spans="2:3" x14ac:dyDescent="0.25">
      <c r="B38" s="58" t="s">
        <v>25</v>
      </c>
      <c r="C38" s="63"/>
    </row>
    <row r="39" spans="2:3" x14ac:dyDescent="0.25">
      <c r="B39" s="59" t="s">
        <v>26</v>
      </c>
      <c r="C39" s="64">
        <f>AVERAGE(D15:D22)</f>
        <v>2.5626992091640689E-2</v>
      </c>
    </row>
    <row r="40" spans="2:3" ht="15.75" thickBot="1" x14ac:dyDescent="0.3">
      <c r="B40" s="61" t="s">
        <v>27</v>
      </c>
      <c r="C40" s="68">
        <f>AVERAGE(D15/C15,D16/C16,D17/C17,D18/C18,D19/C19,D20/C20,D21/C21,D22/C22)*100</f>
        <v>3.7686255204453829</v>
      </c>
    </row>
  </sheetData>
  <mergeCells count="2">
    <mergeCell ref="F1:H1"/>
    <mergeCell ref="F2:H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2026-03-01T04:41:56Z</dcterms:modified>
</cp:coreProperties>
</file>